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<sst xmlns="http://schemas.openxmlformats.org/spreadsheetml/2006/main" count="65645" uniqueCount="9329">
  <si>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</si>
  <si>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</si>
  <si>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</si>
  <si>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</si>
  <si>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</si>
  <si>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</si>
  <si>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</si>
  <si>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</si>
  <si>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</si>
  <si>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</si>
  <si>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</si>
  <si>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</si>
  <si>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</si>
  <si>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</si>
  <si>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</si>
  <si>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</si>
  <si>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</si>
  <si>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</si>
  <si>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</si>
  <si>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</si>
  <si>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</si>
  <si>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</si>
  <si>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</si>
  <si>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</si>
  <si>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</si>
  <si>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</si>
  <si>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</si>
  <si>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</si>
  <si>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</si>
  <si>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</si>
  <si>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</si>
  <si>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</si>
  <si>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</si>
  <si>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</si>
  <si>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</si>
  <si>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</si>
  <si>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</si>
  <si>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</si>
  <si>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</si>
  <si>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</si>
  <si>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</si>
  <si>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</si>
  <si>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</si>
  <si>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</si>
  <si>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</si>
  <si>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</si>
  <si>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</si>
  <si>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</si>
  <si>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</si>
  <si>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</si>
  <si>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</si>
  <si>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</si>
  <si>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</si>
  <si>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</si>
  <si>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</si>
  <si>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</si>
  <si>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</si>
  <si>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</si>
  <si>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</si>
  <si>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</si>
  <si>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</si>
  <si>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</si>
  <si>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</si>
  <si>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</si>
  <si>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</si>
  <si>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</si>
  <si>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</si>
  <si>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</si>
  <si>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</si>
  <si>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</si>
  <si>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</si>
  <si>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</si>
  <si>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</si>
  <si>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de la Hoz, A; Caripan, P; Moltedo, B; Ferrada, N; Contreras, RA</t>
  </si>
  <si>
    <t/>
  </si>
  <si>
    <t>de la Hoz, Ander; Caripan, Patricio; Moltedo, Bernardo; Ferrada, Nicole; Contreras, Rodrigo A.</t>
  </si>
  <si>
    <t>A metabolomic approach of AI-driven enzymatic digestion of pumpkin seed flour for producing umami metabolites</t>
  </si>
  <si>
    <t>INTERNATIONAL JOURNAL OF GASTRONOMY AND FOOD SCIENCE</t>
  </si>
  <si>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</si>
  <si>
    <t>Contreras, Rodrigo/I-1871-2013</t>
  </si>
  <si>
    <t>Contreras, Rodrigo/0000-0001-9970-3125</t>
  </si>
  <si>
    <t>1878-450X</t>
  </si>
  <si>
    <t>1878-4518</t>
  </si>
  <si>
    <t>MAR</t>
  </si>
  <si>
    <t>10.1016/j.ijgfs.2025.101117</t>
  </si>
  <si>
    <t>JAN 2025</t>
  </si>
  <si>
    <t>WOS:001407854100001</t>
  </si>
  <si>
    <t>Muñoz-Shuguli, C; Rodríguez-Mercado, F; Guarda, A; Galotto, MJ; Jiménez, A; Garrigós, MC; Ramos, M</t>
  </si>
  <si>
    <t>Munoz-Shuguli, Cristina; Rodriguez-Mercado, Francisco; Guarda, Abel; Galotto, Maria Jose; Jimenez, Alfonso; Garrigos, Maria Carmen; Ramos, Marina</t>
  </si>
  <si>
    <t>Release and Disintegration Properties of Poly(lactic Acid) Films with Allyl Isothiocyanate-β-Cyclodextrin Inclusion Complexes for Active Food Packaging</t>
  </si>
  <si>
    <t>MOLECULES</t>
  </si>
  <si>
    <t>This study aimed to enhance the properties and compostability of active poly(lactic acid) (PLA) films by incorporating beta-cyclodextrin (beta-CD) inclusion complexes with allyl isothiocyanate (AITC). Films were prepared using melt extrusion and characterized based on their structural, chemical, morphological, thermal, and barrier properties. These inclusion complexes improved the thermal stability and moisture absorption of films, enhancing disintegration under composting conditions. The release of AITC in the vapor phase was responsive to relative humidity, maintaining the antimicrobial functionality at low values and releasing effectively at higher humidity levels, with a maximum release at 100%. Incorporating 5% and 10% beta-CD:AITC complexes accelerated disintegration under composting conditions, reducing the time by 5 days for disintegration compared to pure PLA, achieving up to 90% in 23 days. These results, with a general improvement in functional properties, suggest that PLA films with beta-CD:AITC are promising for developing sustainable, biodegradable antimicrobial packaging solutions for food applications.</t>
  </si>
  <si>
    <t>Ramos, Marina/Y-1506-2019; Rodríguez, Francisco/I-5283-2018; Garrigós, M./H-5418-2019; Muñoz-Shugulí, Cristina/AAO-4231-2020; Jiménez, Alfonso/L-2211-2014</t>
  </si>
  <si>
    <t>Munoz Shuguli, Cristina Alejandra/0000-0003-0052-7411</t>
  </si>
  <si>
    <t>1420-3049</t>
  </si>
  <si>
    <t>DEC</t>
  </si>
  <si>
    <t>10.3390/molecules29245859</t>
  </si>
  <si>
    <t>WOS:001384784800001</t>
  </si>
  <si>
    <t>Qiao, ZJ; Reyes, EG</t>
  </si>
  <si>
    <t>Qiao, Zhijun; Reyes, Enrique G.</t>
  </si>
  <si>
    <t>Fifth-order equations of Camassa-Holm type and pseudo-peakons</t>
  </si>
  <si>
    <t>APPLIED NUMERICAL MATHEMATICS</t>
  </si>
  <si>
    <t>In this paper we discuss pseudo-peakons, a new class of weak solutions found in the study of higher order equations of Camassa-Holm (CH) type . A pseudo-peakon is a weak bounded solution with differentiable first derivative and continuous and bounded second derivative, but such that any higher order derivative blows up. We recall that pseudo-peakons appear if we change the momentum m appearing in the Camassa-Holm equation from m = ( 1 - partial derivative x 2 ) u to m = ( 1 - alpha partial derivative x 2 )( 1 - beta partial derivative x 2 ) u ( alpha and beta are two real parameters). Here we note that they also appear if we look for geometrically integrable fifth order equations, that is, for equations describing one -parametric families of pseudo -spherical surfaces in a sense explained in Section 1. (c) 2023 IMACS. Published by Elsevier B.V. All rights reserved.</t>
  </si>
  <si>
    <t>Reyes, Enrique/AAD-1308-2019</t>
  </si>
  <si>
    <t>Reyes, Enrique G./0000-0001-8460-444X</t>
  </si>
  <si>
    <t>0168-9274</t>
  </si>
  <si>
    <t>1873-5460</t>
  </si>
  <si>
    <t>MAY</t>
  </si>
  <si>
    <t>10.1016/j.apnum.2022.12.015</t>
  </si>
  <si>
    <t>MAR 2024</t>
  </si>
  <si>
    <t>WOS:001225030500001</t>
  </si>
  <si>
    <t>Vergara, PM; Fierro, A; Carvajal, MA; Alaniz, AJ; Diaz, PA; Elgueta, M</t>
  </si>
  <si>
    <t>Vergara, Pablo M.; Fierro, Andres; Carvajal, Mario A.; Alaniz, Alberto J.; Diaz, Paola A.; Elgueta, Mario</t>
  </si>
  <si>
    <t>The importance of habitat and microclimate on the functional and guild structure of canopy-dwelling beetle communities in subantarctic forest</t>
  </si>
  <si>
    <t>BIODIVERSITY AND CONSERVATION</t>
  </si>
  <si>
    <t>Beetle species living in high-latitude forests may be sensitive to variations in habitat conditions and microclimate. We tested that the functional traits and guild structure of canopy-dwelling beetle species of the southernmost subantarctic forests respond to habitat and microclimate. Beetles were collected in 50,400 m radius circular landscapes regularly distributed over the study area, where habitat and microclimate variables were quantified. We assigned species to representative ecological guilds and estimated four components of functional diversity using traits related to feeding ecology, dispersion, size and color patterns. Generalized linear mixed models were used to estimate the additive and interactive effects of habitat and microclimate. The cover of open habitats (peatbogs and meadow) and landscape diversity had a negative effect on functional dispersion and richness, as well as on the abundance of large-sized, small-sized and saproxylic species. The moisture stress index (MSI) negatively affected the abundance of all species, large-sized species and saproxylic species. Winter temperature positively affected predators and interacted with woodpecker's foraging holes to positively affect small-sized species. A larger density of dead trees positively influenced large-sized species and reduced the negative effect of elevation and MSI on saproxylic species. These findings suggest that human-created habitat heterogeneity engages in negative effects on different guilds of beetles whereas climate conditions are limiting factors. However, unfavorable microclimate conditions are buffered by habitat and microhabitat features. Therefore, the conservation of beetle assemblages in high-latitude forests requires the preservation of habitats and microhabitats providing less stressful climate conditions to beetles.</t>
  </si>
  <si>
    <t>Vergara, Pablo/F-2519-2010; Carvajal, Mario/GYU-2659-2022; Alaniz, Alberto/J-3104-2019</t>
  </si>
  <si>
    <t>Vergara, Pablo/0000-0002-0024-1678</t>
  </si>
  <si>
    <t>0960-3115</t>
  </si>
  <si>
    <t>1572-9710</t>
  </si>
  <si>
    <t>FEB</t>
  </si>
  <si>
    <t>10.1007/s10531-023-02775-9</t>
  </si>
  <si>
    <t>FEB 2024</t>
  </si>
  <si>
    <t>WOS:001152239300002</t>
  </si>
  <si>
    <t>Marileo, AM; Gavilán, J; San Martín, VP; Lara, CO; Sazo, A; Muñoz-Montesino, C; Castro, PA; Burgos, CF; Leiva-Salcedo, E; Aguayo, LG; Moraga-Cid, G; Fuentealba, J; Yévenes, GE</t>
  </si>
  <si>
    <t>Marileo, Ana M.; Gavilan, Javiera; San Martin, Victoria P.; Lara, Cesar O.; Sazo, Anggelo; Munoz-Montesino, Carola; Castro, Patricio A.; Burgos, Carlos F.; Leiva-Salcedo, Elias; Aguayo, Luis G.; Moraga-Cid, Gustavo; Fuentealba, Jorge; Yevenes, Gonzalo E.</t>
  </si>
  <si>
    <t>Modulation of GABAA receptors and of GABAergic synapses by the natural alkaloid gelsemine</t>
  </si>
  <si>
    <t>FRONTIERS IN MOLECULAR NEUROSCIENCE</t>
  </si>
  <si>
    <t>The Gelsemium elegans plant preparations have shown beneficial activity against common diseases, including chronic pain and anxiety. Nevertheless, their clinical uses are limited by their toxicity. Gelsemine, one of the most abundant alkaloids in the Gelsemium plants, have replicated these therapeutic and toxic actions in experimental behavioral models. However, the molecular targets underlying these biological effects remain unclear. The behavioral activity profile of gelsemine suggests the involvement of GABA(A) receptors (GABA(A)Rs), which are the main biological targets of benzodiazepines (BDZs), a group of drugs with anxiolytic, hypnotic, and analgesic properties. Here, we aim to define the modulation of GABA(A)Rs by gelsemine, with a special focus on the subtypes involved in the BDZ actions. The gelsemine actions were determined by electrophysiological recordings of recombinant GABA(A)Rs expressed in HEK293 cells, and of native receptors in cortical neurons. Gelsemine inhibited the agonist-evoked currents of recombinant and native receptors. The functional inhibition was not associated with the BDZ binding site. We determined in addition that gelsemine diminished the frequency of GABAergic synaptic events, likely through a presynaptic modulation. Our findings establish gelsemine as a negative modulator of GABA(A)Rs and of GABAergic synaptic function. These pharmacological features discard direct anxiolytic or analgesic actions of gelsemine through GABA(A)Rs but support a role of GABA(A)Rs on the alkaloid induced toxicity. On the other hand, the presynaptic effects of the alkaloid provide an additional mechanism to explain their beneficial effects. Collectively, our results contribute novel information to improve understanding of gelsemine actions in the mammalian nervous system.</t>
  </si>
  <si>
    <t>Moraga-Cid, Gustavo/AAC-3314-2021</t>
  </si>
  <si>
    <t>Aguayo, Luis/0000-0003-3160-1522; Yevenes, Gonzalo/0000-0003-0294-4075</t>
  </si>
  <si>
    <t>1662-5099</t>
  </si>
  <si>
    <t>JAN 17</t>
  </si>
  <si>
    <t>10.3389/fnmol.2022.1083189</t>
  </si>
  <si>
    <t>WOS:000919466300001</t>
  </si>
  <si>
    <t>Valenzuela-Fernández, L; Escobar-Farfán, M</t>
  </si>
  <si>
    <t>Valenzuela-Fernandez, Leslier; Escobar-Farfan, Manuel</t>
  </si>
  <si>
    <t>Zero-Waste Management and Sustainable Consumption: A Comprehensive Bibliometric Mapping Analysis</t>
  </si>
  <si>
    <t>SUSTAINABILITY</t>
  </si>
  <si>
    <t>The growth of waste generation is a global problem. Developing effective waste management methods is challenging for companies and the government. This research aims to provide a global perspective regarding scientific research on zero-waste management and sustainable consumption by identifying years of evolution, the most relevant and influential keywords, articles, journals, universities, countries, and authors. This research examines 2534 publications from the Web of Science Core Collection from 2011 to 2021. Numerous bibliometric indices, including the number of publications, the h-index, and citation requirements, have been used as evaluating techniques. Additionally, a relational technique has been developed through graphical maps using the VOS viewer Software. Results show a growing trend in the number of zero-waste management's publications and citations. Regarding the h-index, the five most relevant journals are the Journal of Cleaner Production, Resources Conservation and Recycling, Waste Management, Waste Management Research, and Sustainability. The most outstanding author is Tsang Dan from Zhejiang University, and the leading university is the Chinese Academy of Science, China. Furthermore, the principal regions and continents are China-Asia, USA-America, and Italy-Europe. The most important keywords are waste management, sustainability, circular economy, and sustainable development. This article is the first quantitative study focused on contributing a complete overview of the progress of zero-waste management and sustainable consumption, providing a collaborative network of researchers for future use in generating knowledge.</t>
  </si>
  <si>
    <t>Escobar Farfán, Manuel/HJH-8388-2023; Valenzuela-Fernández, Leslier/B-5486-2014</t>
  </si>
  <si>
    <t>Escobar-Farfan, Manuel/0000-0002-2975-7010</t>
  </si>
  <si>
    <t>2071-1050</t>
  </si>
  <si>
    <t>10.3390/su142316269</t>
  </si>
  <si>
    <t>WOS:000896389600001</t>
  </si>
  <si>
    <t>Briega-Martos, V; Soleymani, J; Zagal, JH</t>
  </si>
  <si>
    <t>Briega-Martos, Valentin; Soleymani, Jafar; Zagal, Jose H.</t>
  </si>
  <si>
    <t>Editorial: Rising stars in electrochemistry 2021</t>
  </si>
  <si>
    <t>FRONTIERS IN CHEMISTRY</t>
  </si>
  <si>
    <t>Soleymani, Jafar/U-5220-2018; Briega-Martos, Valentin/AAL-1512-2020; zagal, jose/L-9648-2014</t>
  </si>
  <si>
    <t>Soleymani, Jafar/0000-0002-8316-5104</t>
  </si>
  <si>
    <t>2296-2646</t>
  </si>
  <si>
    <t>NOV 30</t>
  </si>
  <si>
    <t>10.3389/fchem.2022.1099546</t>
  </si>
  <si>
    <t>WOS:000898846700001</t>
  </si>
  <si>
    <t>Abella, A; León, MA; Marco-Almagro, L; Garcia, LC</t>
  </si>
  <si>
    <t>Abella, Ainoa; Araya Leon, Maria; Marco-Almagro, Lluis; Cleries Garcia, Laura</t>
  </si>
  <si>
    <t>Perception evaluation kit: a case study with materials and learning styles</t>
  </si>
  <si>
    <t>INTERNATIONAL JOURNAL OF TECHNOLOGY AND DESIGN EDUCATION</t>
  </si>
  <si>
    <t>Materials are elements that configure our built environment and are key components in design and engineering education. This research aims to understand learners' sensorial perception of materials as stimuli and what constitutes the most appropriate communication channel for learning about their characteristics without losing information in accordance with their VAK learning styles-visual, auditory and kinaesthetic-. Seventy-five people participated in this workshop. Using evaluation tools in a test format, they evaluated all the sensory properties of the following materials: Alusion (TM), PolarMoss, and Silkworms. These three materials were presented in various interaction formats, called channels: a text plus image-C1-, video-C2-, and a physical sample plus audio-C3-. Two types of experiments were carried out: mixed per person-interaction with the three materials in a different channel each time in random order-and blocked per person-interaction with the same material in the three channels, in an order of C1-C3. The data obtained was analysed using mixed models with the channel as a fixed factor and the individuals and material as the random factors. The most relevant results indicate significant differences between channels in accordance with the sensory property, normally C2 and C3. The level of responses between the two experiments is similar, therefore showing that the order C1-C2-C3 does not affect perception. Although the three learning styles-visual, auditory, and kinaesthetic-coexist in the participants, the vast majority agree that they prefer C3 as easier to evaluate, more entertaining and the best way to learn.</t>
  </si>
  <si>
    <t>Abella, Ainoa/GNP-4400-2022; Marco-Almagro, Lluís/I-2852-2015; Araya, Maria/HSG-3880-2023</t>
  </si>
  <si>
    <t>Abella, Ainoa/0000-0001-6375-0317; Araya Leon, Maria Jose/0000-0001-7284-6943; Marco-Almagro, Lluis/0000-0002-0440-1675</t>
  </si>
  <si>
    <t>0957-7572</t>
  </si>
  <si>
    <t>1573-1804</t>
  </si>
  <si>
    <t>JUL</t>
  </si>
  <si>
    <t>10.1007/s10798-021-09676-4</t>
  </si>
  <si>
    <t>AUG 2021</t>
  </si>
  <si>
    <t>WOS:000685143100001</t>
  </si>
  <si>
    <t>Saavedra, A; Valdés, H; Mahn, A; Acosta, O</t>
  </si>
  <si>
    <t>Saavedra, Aldo; Valdes, Hugo; Mahn, Andrea; Acosta, Orlando</t>
  </si>
  <si>
    <t>Comparative Analysis of Conventional and Emerging Technologies for Seawater Desalination: Northern Chile as A Case Study</t>
  </si>
  <si>
    <t>MEMBRANES</t>
  </si>
  <si>
    <t>The aim of this work was to study different desalination technologies as alternatives to conventional reverse osmosis (RO) through a systematic literature review. An expert panel evaluated thermal and membrane processes considering their possible implementation at a pilot plant scale (100 m(3)/d of purified water) starting from seawater at 20 degrees C with an average salinity of 34,000 ppm. The desalination plant would be located in the Atacama Region (Chile), where the high solar radiation level justifies an off-grid installation using photovoltaic panels. We classified the collected information about conventional and emerging technologies for seawater desalination, and then an expert panel evaluated these technologies considering five categories: (1) technical characteristics, (2) scale-up potential, (3) temperature effect, (4) electrical supply options, and (5) economic viability. Further, the potential inclusion of graphene oxide and aquaporin-based biomimetic membranes in the desalinization processes was analyzed. The comparative analysis lets us conclude that nanomembranes represent a technically and economically competitive alternative versus RO membranes. Therefore, a profitable desalination process should consider nanomembranes, use of an energy recovery system, and mixed energy supply (non-conventional renewable energy + electrical network). This document presents an up-to-date overview of the impact of emerging technologies on desalinated quality water, process costs, productivity, renewable energy use, and separation efficiency.</t>
  </si>
  <si>
    <t>Valdés, Hugo/L-2657-2019; Valdes, Hugo/H-2019-2017</t>
  </si>
  <si>
    <t>Valdes, Hugo/0000-0002-2486-5872; Mahn, Andrea/0000-0001-6082-0279</t>
  </si>
  <si>
    <t>2077-0375</t>
  </si>
  <si>
    <t>10.3390/membranes11030180</t>
  </si>
  <si>
    <t>WOS:000633859000001</t>
  </si>
  <si>
    <t>López, J; Vera, C; Bustos, R; Florez-Mendez, J</t>
  </si>
  <si>
    <t>Lopez, Jessica; Vera, Carlos; Bustos, Ruben; Florez-Mendez, Jennyfer</t>
  </si>
  <si>
    <t>Native berries of Chile: a comprehensive review on nutritional aspects, functional properties, and potential health benefits</t>
  </si>
  <si>
    <t>JOURNAL OF FOOD MEASUREMENT AND CHARACTERIZATION</t>
  </si>
  <si>
    <t>In recent years, the use of native berries has increased, since the presence of elevated levels of bioactive compounds and, consequently compounds that provide beneficial effects for human health has been shown. This study reviews the nutritional aspects, phytochemical composition, and biological activities of native berries of Chile, specifically Ugni molinae, Berberis microphylla, Fragaria chiloensis, Aristotelia chilensis, and Ribes spp. These species are rich in bioactive compound with several health promoting effects. The most significant health benefits have been attributed to phenolic compounds, specifically anthocyanins, which have potential protective roles against cancer and cardiovascular diseases. This paper discusses the biological activity of those compounds, in particular their antioxidant properties, the bioaccessibility and bioavailability of phenolic compounds and their health-promoting properties to emphasize the importance of native berries from Chile in healthy diets.</t>
  </si>
  <si>
    <t>vera, Carlos/G-5240-2019; Lopez, Jessica/IQT-7114-2023; Bustos, Ruben/AAM-2029-2020</t>
  </si>
  <si>
    <t>Bustos, Ruben/0000-0003-0183-0324; Lopez, Jessica/0000-0001-5064-4486; Vera Vera, Carlos Felipe/0000-0003-2179-9467; Florez Mendez, Jennyfer/0000-0003-1515-6262</t>
  </si>
  <si>
    <t>2193-4126</t>
  </si>
  <si>
    <t>2193-4134</t>
  </si>
  <si>
    <t>APR</t>
  </si>
  <si>
    <t>10.1007/s11694-020-00699-4</t>
  </si>
  <si>
    <t>OCT 2020</t>
  </si>
  <si>
    <t>WOS:000583472400001</t>
  </si>
  <si>
    <t>Llanos, L; Vera, C; Vega, A; Aravena, D; Lemus, L</t>
  </si>
  <si>
    <t>Llanos, Leonel; Vera, Cristian; Vega, Andres; Aravena, Daniel; Lemus, Luis</t>
  </si>
  <si>
    <t>Reactivity of CuIN4 Flattened Complexes: Interplay between Coordination Geometry and Ligand Flexibility</t>
  </si>
  <si>
    <t>INORGANIC CHEMISTRY</t>
  </si>
  <si>
    <t>The relation between redox activity and coordination geometry in (CuN4)-N-I complexes indicates that more flattened structures tend to be more reactive. Such a preorganization of the ligand confers to the complex geometries closer to a transition state, which has been termed the entatic state in metalloproteins, more recently extending this concept for copper complexes. However, many aspects of the redox chemistry of Cu-I complexes cannot be explained only by flattening. For instance, the role of ligand flexibility in this context is an open debate nowadays. To analyze this point, we studied oxidation properties of a series of five monometallic Cu-I Schiff-base complexes, [Cu-I(L-n)](+), which span a range of geometries from a distorted square planar (n = 3) to a distorted tetrahedron (n = 6, 7). This stepped control of the structure around the Cu-I atom allows us to explore the effect of the flattening distortion on both the electronic and redox properties through the series. Experimental studies were complemented by a theoretical analysis based on density functional theory calculations. As expected, oxidation was favored in the flattened structures, spanning a broad potential window of 370 mV for the complete series. This orderly behavior was tested in the reductive dehalogenation reaction of tetrachloroethane (TCE). Kinetic studies show that Cu-I oxidation by TCE is faster as the flattening distortion is higher and the oxidation potentials of the metal are lower. However, the most reactive complex was not the more planar, contradicting the trend expected from oxidation potentials. The origin of this irregularity is related to ligand flexibility and its connection with the atom/electron transfer reaction path, highlighting the need to consider effects beyond flattening distortion to better understand the reactivity of this important class of complexes.</t>
  </si>
  <si>
    <t>Vega, Andres/B-2122-2010; Aravena, Daniel/F-2174-2011</t>
  </si>
  <si>
    <t>Vega, Andres/0000-0001-6501-4161; Aravena, Daniel/0000-0003-3140-4852; llanos silva, leonel/0000-0001-6494-1908; Vera Oyarce, Cristian/0000-0001-9972-8904; LEMUS, LUIS/0000-0002-5499-8115</t>
  </si>
  <si>
    <t>0020-1669</t>
  </si>
  <si>
    <t>1520-510X</t>
  </si>
  <si>
    <t>OCT 19</t>
  </si>
  <si>
    <t>10.1021/acs.inorgchem.0c02037</t>
  </si>
  <si>
    <t>WOS:000584351700042</t>
  </si>
  <si>
    <t>Saez, G; Cisternas, E; Díaz, P; Vogel, EE; Burr, JP; Saavedra, E; Escrig, J</t>
  </si>
  <si>
    <t>Saez, Guidobeth; Cisternas, Eduardo; Diaz, Pablo; Vogel, Eugenio E.; Burr, Juan Pablo; Saavedra, Eduardo; Escrig, Juan</t>
  </si>
  <si>
    <t>Tuning the coercive field by controlling the magnetization reversal process in permalloy modulated nanowires</t>
  </si>
  <si>
    <t>JOURNAL OF MAGNETISM AND MAGNETIC MATERIALS</t>
  </si>
  <si>
    <t>Magnetic nanowires of diameter d with a concentric cylindrical modulation of larger diameter D can lead to the production of devices with a variety of coercive fields. Besides D, the modulation thickness t and its position z along the axis of the wire are varied in the vicinity of values usually reported in the experimental literature. It is shown that the system can be understood as the combination of a long wire (with its usual properties for large aspect ratios), a short wire with lower coercive field and a wider modulation with a tendency to produce an early vortex configuration that softens the whole system from the magnetic point of view. The triggering mechanism to achieve the reversal at different coercive fields is studied by means of snapshots of the configurations just prior to the reversal itself. Altogether, upon spanning the parameter space (D, t, and z) a variety of hysteresis curves are obtained and a large range of coercive fields are shown to be possible. Micromagnetic simulations by means of Mumax3 solving the Landau-Lifshitz-Gilbert equation provide the theoretical framework of this work. Possible extensions of this work are also mentioned.</t>
  </si>
  <si>
    <t>Saavedra, Eduardo/IQS-4264-2023; Cisternas, E/AAE-5482-2019; Escrig, Juan/N-4304-2015</t>
  </si>
  <si>
    <t>Saavedra Diaz, Eduardo Andres/0000-0002-2842-2526; Saez, Guidobeth/0000-0003-1401-2531; Vogel, Eugenio/0000-0002-1701-3030; Escrig, Juan/0000-0002-3958-8185; Diaz, Pablo/0000-0002-8624-1707</t>
  </si>
  <si>
    <t>0304-8853</t>
  </si>
  <si>
    <t>1873-4766</t>
  </si>
  <si>
    <t>OCT 15</t>
  </si>
  <si>
    <t>10.1016/j.jmmm.2020.167045</t>
  </si>
  <si>
    <t>WOS:000539946400001</t>
  </si>
  <si>
    <t>Rippey, PLF; Aravena, F; Nyonator, JP</t>
  </si>
  <si>
    <t>Rippey, Phyllis L. F.; Aravena, Fabiola; Nyonator, John Paul</t>
  </si>
  <si>
    <t>Health Impacts of Early Complementary Food Introduction Between Formula-fed and Breastfed Infants</t>
  </si>
  <si>
    <t>JOURNAL OF PEDIATRIC GASTROENTEROLOGY AND NUTRITION</t>
  </si>
  <si>
    <t>Background: Global health agencies agree that infants should not be fed complementary foods before 4 to 6 months of age. However, given the World Health Organization (WHO) definition of complementary food as anything other than breast milk, little is known about the relative risks of formula compared with other complementary foods on infant health. This article aims to fill this gap in the literature, by assessing how differences in the timing of the introduction of nonformula complementary food between breastfed and formula-fed infants impacts infant health. Methods: Eight health outcomes by complementary food introduction, breast-feeding, formula feeding, and mixed feeding (breastfed and formula-fed) were predicted using logistic regression with generalized estimating equations on the newborn through 6-month waves of the Infant Feeding Practices Study II (IFPS-II). Results: Complementary foods increased the likelihood for all health risks measured. Given greater prevalence of early complementary food introduction among formula-fed infants, most health differences between breast-feeding groups shift to nonsignificance in full models, with the exception of higher rates of hard stool and cough/wheeze among formula-fed and mixed-fed infants but lower rates of diarrhea (LO = -0.577; 95% confidence interval [CI] = -1.074 to 0.080) and runny nose or cold (LO = -3.19; 95% CI = -0.552 to -0.086) for mixed-fed than breastfed infants. Conclusions: Our results confirm health benefits of exclusive breast-feeding and that the introduction of complementary foods before 4 to 6 months poses a greater risk to infant health than does formula. Greater attention to the early introduction of complementary foods is needed in research and clinical practice.</t>
  </si>
  <si>
    <t>0277-2116</t>
  </si>
  <si>
    <t>1536-4801</t>
  </si>
  <si>
    <t>10.1097/MPG.0000000000002581</t>
  </si>
  <si>
    <t>WOS:000561365200025</t>
  </si>
  <si>
    <t>Letelier, MF; Siginer, DA; Almendra, DL; Stockle, JS</t>
  </si>
  <si>
    <t>Letelier, Mario F.; Siginer, Dennis A.; Almendra, Diego L.; Stockle, Juan S.</t>
  </si>
  <si>
    <t>Resonance in laminar pipe flow of non-linear viscoelastic fluids</t>
  </si>
  <si>
    <t>INTERNATIONAL JOURNAL OF NON-LINEAR MECHANICS</t>
  </si>
  <si>
    <t>Resonance phenomenon is investigated in pulsating flows in straight circular tubes for the class of constitutively non-linear affine viscoelastic fluids represented by the Johnson-Segalman constitutive model. The relaxation response of non-linear viscoelastic fluids associated with the natural frequencies of oscillation that arise as a consequence of the structure of the constitutive equation is explored. An analytical solution, which circumvents the high-Weissenberg number problem, which plagues numerical solutions of highly viscoelastic fluids, based on an asymptotic expansion in terms of a small material parameter is developed. At the lowest order of the asymptotic expansion the velocity field of the Maxwell fluid in round tubes is recovered, therefore providing validation of the computations. The analytical solution allows insights into the high Weissenberg number behavior of highly elastic fluids and thus avoids the difficulties the numerical solutions of high Weissenberg number problems are fraught with such as instability and lack of convergence. The analysis reveals that the forcing frequency associated with the pressure gradient generates a sequence of resonances of rapidly decaying intensity with increasing forcing frequency for a fixed value of the Weissenberg number. The intensity of the resonance is a rapidly increasing function of the increasing Weissenberg numbers, in particular at the first natural frequency. The latter is a decreasing function of the increasing elasticity of the fluid that is of the increasing Weissenberg numbers. The intensity of the resonance at the first natural frequency is a rapidly increasing function of the increasing elasticity. We show the existence of a limit point for the enhancement in energy savings with increasing elasticity. The effect of resonance on the flow rate, maximum amplitude of the average velocity, the mean flow rate and the oscillating velocity field is explored.</t>
  </si>
  <si>
    <t>Almendra, Diego/0000-0002-0132-7713</t>
  </si>
  <si>
    <t>0020-7462</t>
  </si>
  <si>
    <t>1878-5638</t>
  </si>
  <si>
    <t>OCT</t>
  </si>
  <si>
    <t>10.1016/j.ijnonlinmec.2019.03.015</t>
  </si>
  <si>
    <t>WOS:000484876400006</t>
  </si>
  <si>
    <t>Freire, RM; Freitas, PGC; Galvao, WS; Costa, LS; Ribeiro, TS; Vasconcelos, IF; Denardin, JC; de Oliveira, RC; Sousa, CP; de-Lima-Neto, P; Correia, AN; Fechine, PBA</t>
  </si>
  <si>
    <t>Freire, R. M.; Freitas, P. G. C.; Galvao, W. S.; Costa, L. S.; Ribeiro, T. S.; Vasconcelos, I. F.; Denardin, J. C.; de Oliveira, R. C.; Sousa, C. P.; de-Lima-Neto, P.; Correia, A. N.; Fechine, P. B. A.</t>
  </si>
  <si>
    <t>Nanocrystal growth, magnetic and electrochemical properties of NiZn ferrite</t>
  </si>
  <si>
    <t>JOURNAL OF ALLOYS AND COMPOUNDS</t>
  </si>
  <si>
    <t>Ni0.5Zn0.5Fe2O4 nanocrystals were successfully synthesized under different pure hydrothermal conditions (no organic solvent). The effects of the NaOH content and reaction time on the growth mechanism, as well as structural, morphological and magnetic properties were investigated. High-resolution electron microscopy transmission (HRTEM) revealed the formation of the nanocrystals, mainly via oriented attachment or in addition by a coalescence mechanism depending on the NaOH concentration (3.7 -5.2M). This secondary mechanism was found to give rise to defects in the network and structural disorder on the surface of the nanocrystals. By extending the reaction time (6-24 h), a morphology transition from truncated-hexagonal to rounded structures was seen, which evidenced a self-integration mechanism to achieve the most stable shape. Moreover, preferential exposure of the (111) plane was observed. Electrochemical measurements using [Fe(CN)(6)](3-)/(4-) to check the surface status further supported this statement. This indicated an adsorption effect of the NaOH on the surface of the MNPs allowing an oriented growth of the nanocrystals. In addition, the blocking temperature (TB) was affected by different factors (rearrangement of the atoms on the surface or increase of the magnetically-ordered core) depending on the hydrothermal conditions used. (C) 2017 Elsevier B.V. All rights reserved.</t>
  </si>
  <si>
    <t>Denardin, Juliano/S-6407-2019; De Lima-Neto, Pedro/F-2440-2012; Costa, Luelc/P-7007-2019; Fechine, Pierre/B-7937-2013; Frota de Vasconcelos, Igor/G-6800-2012; Souza da Costa, Luelc/R-9326-2016; NUNES CORREIA, ADRIANA/K-3953-2015; Sousa, Camila/M-3959-2015</t>
  </si>
  <si>
    <t>Fechine, Pierre/0000-0002-7822-2354; Frota de Vasconcelos, Igor/0000-0002-6172-805X; Souza da Costa, Luelc/0000-0002-1831-8602; NUNES CORREIA, ADRIANA/0000-0002-3357-0160; Denardin, Juliano/0000-0002-1373-6207; Galvao, Wesley/0000-0001-5364-393X; Sousa, Camila/0000-0003-0158-0281</t>
  </si>
  <si>
    <t>0925-8388</t>
  </si>
  <si>
    <t>1873-4669</t>
  </si>
  <si>
    <t>MAR 25</t>
  </si>
  <si>
    <t>10.1016/j.jallcom.2017.12.088</t>
  </si>
  <si>
    <t>WOS:000419214800026</t>
  </si>
  <si>
    <t>Quiroz, M; Orlando, J; Carú, M</t>
  </si>
  <si>
    <t>Quiroz, M.; Orlando, J.; Caru, M.</t>
  </si>
  <si>
    <t>Phototrophic bacteria dominate consortia, potentially to remove CO2 and H2S from biogas under microaerophilic conditions</t>
  </si>
  <si>
    <t>INTERNATIONAL JOURNAL OF ENVIRONMENTAL SCIENCE AND TECHNOLOGY</t>
  </si>
  <si>
    <t>The use of microbial consortia to remove contaminants in industrial systems and in natural environments could be an alternative to the use of unique strains of microorganisms, since microbial consortia have greater robustness to environmental fluctuations. However, it is necessary to evaluate the relationship between the genetic structure and functionality of the consortia. In this work, the functional and structural stability over time of two bacterial consortia (C5 and C6) with the potential to remove CO2 and H2S from biogas was evaluated. Both consortia decreased the dissolved CO2 by over 30% at the end of the incubation period, but C5 presented shorter removal kinetics (3.9 days) than C6 (6.4 days). Additionally, a chemical oxidation of H2S could have occurred in the microcosms. Moreover, both consortia presented a stable genetic structure, measured by terminal restriction fragment length polymorphism profiles of the 16S rRNA gene, characterized by high homogeneity and prevalence of the genus Rhodopseudomonas throughout the incubation period, and an increasing abundance of Xanthobacter during the exponential phase of the growth curve in C5, which would account for the functionality of the consortia.</t>
  </si>
  <si>
    <t>Quiroz, Madelaine/ACG-9162-2022; Orlando, Julieta/E-1399-2014</t>
  </si>
  <si>
    <t>Orlando, Julieta/0000-0002-2902-8870</t>
  </si>
  <si>
    <t>1735-1472</t>
  </si>
  <si>
    <t>1735-2630</t>
  </si>
  <si>
    <t>10.1007/s13762-017-1428-6</t>
  </si>
  <si>
    <t>WOS:000427115800018</t>
  </si>
  <si>
    <t>Ibacache, JA; Faundes, J; Montoya, M; Mejías, S; Valderrama, JA</t>
  </si>
  <si>
    <t>Andrea Ibacache, Juana; Faundes, Judith; Montoya, Margarita; Mejias, Sophia; Valderrama, Jaime A.</t>
  </si>
  <si>
    <t>Preparation of Novel Homodimers Derived from Cytotoxic Isoquinolinequinones. A Twin Drug Approach</t>
  </si>
  <si>
    <t>The synthesis of five novel homodimers is reported based on the anilinoisoquinolinequinone scaffold. In these twin-drug derivatives, two units of the anilinoquinone pharmacophores are linked through a methylene spacer. The formation of dimers was achieved by reaction of isoquinolinequinones with 4, 4'-diaminodiphenylmethane via a sequence of two oxidative amination reactions. A preliminary in vitro screening of the homodimers reveals moderate to high cytotoxic activities against MDA-MB-21 breast adenocarcinoma and B16-F10 murine metastatic melanoma cell lines. The asymmetrical homodimer 15 stands out due to its cytotoxic potencies at submicromolar concentrations and high selectivity index (mean IC50 = 0.37 mu M; SI = 6.97) compared to those of etoposide (mean IC50 = 3.67; SI = 0.32) and taxol (mean IC50 = 0.35; SI = 0.91) employed as reference anticancer drugs.</t>
  </si>
  <si>
    <t>Faundes, Judith/0000-0001-8063-7885; Montoya, Margarita/0000-0002-6268-1118</t>
  </si>
  <si>
    <t>10.3390/molecules23020439</t>
  </si>
  <si>
    <t>WOS:000426436300219</t>
  </si>
  <si>
    <t>Levin, P; Lemus, L; González, D; Romo, AB</t>
  </si>
  <si>
    <t>Levin, Pedro; Lemus, Luis; Gonzalez, David; Romo, Adolfo B.</t>
  </si>
  <si>
    <t>DNA nuclease activity of [Cu(dmp)2]+ and reactive specie involved in oxidative mechanism</t>
  </si>
  <si>
    <t>JOURNAL OF BIOLOGICAL INORGANIC CHEMISTRY</t>
  </si>
  <si>
    <t>18th International Conference on Biological Inorganic Chemistry (ICBIC)</t>
  </si>
  <si>
    <t>JUL 31-AUG 04, 2017</t>
  </si>
  <si>
    <t>Florianopolis, BRAZIL</t>
  </si>
  <si>
    <t>CNPq,CAPES,FAPESC,Journal Inorgan Chem,ACS, Div Inorgan Chem,Soc Biol Inorgan Chem,Journal Biol Inorgan Chem,UFSC,Springer,Metallomics,RSC Advances,Dalton Transact,Bruker,Pharmaceuticals</t>
  </si>
  <si>
    <t>Levín, Pedro/ABG-4500-2020</t>
  </si>
  <si>
    <t>0949-8257</t>
  </si>
  <si>
    <t>1432-1327</t>
  </si>
  <si>
    <t>S139</t>
  </si>
  <si>
    <t>WOS:000419606600108</t>
  </si>
  <si>
    <t>Aralekallu, S; Thimmappa, R; Gaikwad, P; Devendrachari, MC; Kottaichamy, AR; Shafi, SP; Lokesh, KS; Sánchez, J; Thotiyl, MO</t>
  </si>
  <si>
    <t>Aralekallu, Shambhulinga; Thimmappa, Ravikumar; Gaikwad, Pramod; Devendrachari, Mruthyunjayachari Chattanahalli; Kottaichamy, Alagar Raja; Shafi, Shahid Pottachola; Lokesh, Koodlur Sannegowda; Sanchez, Julio; Thotiyl, Musthafa Ottakam</t>
  </si>
  <si>
    <t>Tuning the Interfacial Chemistry of Redox-Active Polymer for Bifunctional Probing</t>
  </si>
  <si>
    <t>CHEMELECTROCHEM</t>
  </si>
  <si>
    <t>Redox-active conducting polymers are ubiquitous in sensing devices, owing to their good conductivity, ease of synthesis, and processability. The necessity of proton transfer during their redox energy modulations projected them as universal pH sensors, owing to Nernstian dependence of electromotive force (EMF) on the pH. Here, we show that the pH-dependent Nernstian EMF of redox-active conducting polymeric interfaces becomes universal only with a cation-selective ionomer cover, without which the interface transforms depending on the chemistry of the conjugate base, owing to the dependency of the polymer's redox energy on the nature of the conjugate base. For an uncovered redox-active polymer, galvanostatic intermittent titration (GITT) and electrochemical quartz crystal microbalance (EQCM) studies demonstrate a clear distinction in the kinetics of psuedocapacitive charge injection between spherical and tetrahedral anions, leading to a multifunctional ion-sensing probe. Nonetheless, for a polymer with a cation-selective ionomer cover, GITT and EQCM measurements demonstrate a unified response, irrespective of the nature of the conjugate bases, owing to rectified cationic transport, leading to a universal pH sensor. A bifunctional ion-sensing meter is constructed by coupling the redox-active polymer probe with a non-polarizable interface and it can signal the end user the cation concentration and the type of conjugate base in a single measurement.</t>
  </si>
  <si>
    <t>Sanchez, Julio/AEO-4360-2022; Sannegowda, Lokesh/L-3140-2018; Aralekallu, Dr. Shambhulinga/ABB-4431-2020</t>
  </si>
  <si>
    <t>Lokesh, Koodlur Sannegowda/0000-0001-7682-8750; Sanchez, Julio/0000-0003-4245-0096; O T, Musthafa/0000-0002-2439-4708; Aralekallu, Dr. Shambhulinga/0000-0002-1267-8252; Kottaichamy, Alagar Raja/0000-0002-7997-6342; Chattanahalli Devendrachari, Dr. Mruthyunjayachari/0000-0002-8716-5785</t>
  </si>
  <si>
    <t>2196-0216</t>
  </si>
  <si>
    <t>10.1002/celc.201600775</t>
  </si>
  <si>
    <t>WOS:000397473700034</t>
  </si>
  <si>
    <t>Rad, AE; Magnot, JP; Reyes, EG</t>
  </si>
  <si>
    <t>Rad, Anahita Eslami; Magnot, Jean-Pierre; Reyes, Enrique G.</t>
  </si>
  <si>
    <t>The Cauchy problem of the Kadomtsev-Petviashvili hierarchy with arbitrary coefficient algebra</t>
  </si>
  <si>
    <t>JOURNAL OF NONLINEAR MATHEMATICAL PHYSICS</t>
  </si>
  <si>
    <t>Mulase solved the Cauchy problem of the Kadomtsev-Petviashvili (KP) hierarchy in an algebraic category in Solvability of the super KP equation and a generalization of the Birkhoff decomposition (Inventiones Mathematicae, 1988), making use of a delicate factorization of an infinite-dimensional group of formal pseudodifferential operators of infinite order. We prove Mulase's factorization theorem in a smooth category in the setting of formal pseudo-differential operators with coefficients in a (non-commutative) algebra equipped with a valuation. As an application, we solve the initial value problem for the KP hierarchy using r-matrix theory.</t>
  </si>
  <si>
    <t>Reyes, Enrique/AAD-1308-2019; Magnot, Jean-pierre/K-7324-2013</t>
  </si>
  <si>
    <t>Magnot, Jean-Pierre/0000-0002-3959-3443; Reyes, Enrique G./0000-0001-8460-444X</t>
  </si>
  <si>
    <t>1402-9251</t>
  </si>
  <si>
    <t>1776-0852</t>
  </si>
  <si>
    <t>SI</t>
  </si>
  <si>
    <t>10.1080/14029251.2017.1418057</t>
  </si>
  <si>
    <t>WOS:000435599000009</t>
  </si>
  <si>
    <t>Freire, TM; Dutra, LMU; Queiroz, DC; Ricardo, NMPS; Barreto, K; Denardin, JC; Wurm, FR; Sousa, CP; Correia, AN; de Lima-Neto, P; Fechine, PBA</t>
  </si>
  <si>
    <t>Freire, T. M.; Dutra, L. M. U.; Queiroz, D. C.; Ricardo, N. M. P. S.; Barreto, K.; Denardin, J. C.; Wurm, Frederik R.; Sousa, C. P.; Correia, A. N.; de Lima-Neto, P.; Fechine, P. B. A.</t>
  </si>
  <si>
    <t>Fast ultrasound assisted synthesis of chitosan-based magnetite nanocomposites as a modified electrode sensor</t>
  </si>
  <si>
    <t>CARBOHYDRATE POLYMERS</t>
  </si>
  <si>
    <t>Chitosan-based magnetite nanocomposites were synthesized using a versatile ultrasound assisted in situ method involving one quick step. This synthetic route approach results in the formation of spheroidal nanoparticles (Fe3O4) with average diameter between 10 and 24 nm, which were found to be superparamagnetic with saturation magnetization (Ms) ranges from 32-57 emu g(-1), depending on the concentration. The incorporation of Fe3O4 into chitosan matrix was also confirmed by FTIR and TG techniques. This hybrid nanocomposite has the potential application as electrochemical sensors, since the electrochemical signal was excepitionally stable. In addition, the in situ strategy proposed in this work allowed us to synthesize the nanocomposite system in a short time, around 2 min of time-consuming, showing great potential to replace conventional methods. Herein, the procedure will permit a further diversity of applications into nanocomposite materials engineering. (C) 2016 Elsevier Ltd. All rights reserved.</t>
  </si>
  <si>
    <t>Denardin, Juliano/S-6407-2019; Ricardo, Nágila/C-3630-2015; De Lima-Neto, Pedro/F-2440-2012; Dutra, Lillian/AAD-7774-2022; NUNES CORREIA, ADRIANA/K-3953-2015; Sousa, Camila/M-3959-2015; Melo Freire, Tiago/AED-7512-2022; Fechine, Pierre/B-7937-2013; Wurm, Frederik R./A-2522-2010</t>
  </si>
  <si>
    <t>Fechine, Lillian/0000-0002-4207-349X; NUNES CORREIA, ADRIANA/0000-0002-3357-0160; Denardin, Juliano/0000-0002-1373-6207; Sousa, Camila/0000-0003-0158-0281; Melo Freire, Tiago/0000-0001-5389-1087; Fechine, Pierre/0000-0002-7822-2354; Wurm, Frederik R./0000-0002-6955-8489</t>
  </si>
  <si>
    <t>0144-8617</t>
  </si>
  <si>
    <t>1879-1344</t>
  </si>
  <si>
    <t>OCT 20</t>
  </si>
  <si>
    <t>10.1016/j.carbpol.2016.05.095</t>
  </si>
  <si>
    <t>WOS:000380943900087</t>
  </si>
  <si>
    <t>Caballero, L; Mena, J; Morales-Alvarez, A; Kogan, MJ; Melo, F</t>
  </si>
  <si>
    <t>Caballero, Leonardo; Mena, Juan; Morales-Alvarez, Aurora; Kogan, Marcelo J.; Melo, Francisco</t>
  </si>
  <si>
    <t>Assessment of the Nature Interactions of β-Amyloid Protein by a Nanoprobe Method</t>
  </si>
  <si>
    <t>LANGMUIR</t>
  </si>
  <si>
    <t>We present a method based on atomic force microscopy (AFM) to assess the work of adhesion between the interfaces of gold AFM tips functionalized with three peptides derived from beta-sheet breaker LPFFD [CLPFFD-NH2 (i(0)) and their isomers CDLPFF-NH2 (i(1)) and CLPDFF-NH2 (i(2))], and the beta-amyloid protein (A beta 1-42). beta-Amyloid protein was deposited onto a highly oriented graphite (HOPG) surface as protofibrils and fibrils. The presence of the residues Leu (L), Phe (F), and Phe (F), which are also present in the native sequence, confirm that the peptides are able to bind to the aggregates of A beta 1-42 fibrils and protofibrils. Force of adhesion data were directly obtained from the maximum force on retraction, and the work of adhesion was calculated from the Jhonson-Kendall-Roberts model (JKR-Model). Both the polar and dispersive contributions to the surface energy of the peptides i(0), i(1), and i(2), as well as A beta 1-42 fibrils and protofibrils, were determined by means of measuring the contact angle and using the two-fluid method. The macroscopic energies of the functionalized gold surfaces do not differ significantly between isomers, which confirms the similar nature of the peptides i(0), i(1), and i(2) but suggests that the macroscopic measurements are not able to distinguish specific sequences. The nanoprobe reveals a typical adhesion work value associated with the interaction of protofibrils with i(0) and i(2); this value is three times higher than that of i(1). The difference is attributed to the hydrophobic nature of protofibrils, the predominant exposition of hydrophobic residues of the peptides i(0) and i(2), with respect to i(1), and the degree of functionalization. i(0) and i(2) presented a slight adhesion with A beta fibrils, which is associated with the exposed hydrophilic groups of these fibrils (onto HOPG) compared to the protofibrils. However, i(1) showed interaction with both A beta fibrils and protofibrils. For this, we propose an explanation based on the fact that the peptide i(1) locates itself adjacent to the gold surface of the probe, concealing their hydrophobic groups and therefore decreasing the probability of interaction with A beta fibrils and protofibrils. The peptide-gold nano probe represents a useful tool to study the nanobiointeractions of functionalized nanoparticles with amyloid aggregates.</t>
  </si>
  <si>
    <t>Melo, Francisco/M-3923-2014; kogan, Marcelo/I-2868-2013</t>
  </si>
  <si>
    <t>Melo, Francisco Esteban/0000-0001-6818-5476</t>
  </si>
  <si>
    <t>0743-7463</t>
  </si>
  <si>
    <t>JAN 13</t>
  </si>
  <si>
    <t>10.1021/la502777h</t>
  </si>
  <si>
    <t>WOS:000348085900040</t>
  </si>
  <si>
    <t>Tasca, F; Recio, FJ; Venegas, R; Geraldo, DA; Sancy, M; Zagal, JH</t>
  </si>
  <si>
    <t>Tasca, Federico; Recio, F. Javier; Venegas, Ricardo; Geraldo, Daniela A.; Sancy, Mamie; Zagal, Jose H.</t>
  </si>
  <si>
    <t>Linear versus volcano correlations for the electrocatalytic oxidation of hydrazine on graphite electrodes modified with MN4 macrocyclic complexes</t>
  </si>
  <si>
    <t>ELECTROCHIMICA ACTA</t>
  </si>
  <si>
    <t>For electrochemical reactions catalyzed by electrodes modified with MN4 macrocyclic transition metal complexes, it is commonly accepted that d-band vacancy, surface lattice strain, and e(g)-orbital filling the transition metals are essential parameters to take in account for an optimum catalysis. These parameters affect the formal potential of the catalyst which is related to the free energy of the adsorption of the reacting molecule to a point that volcano correlations have been reported when plotting the activity of the catalyst versus the Mz+/M(z-I)+ formal potential of the catalyst (M (II) = Fe, Co). The highest catalytic activity is achieved when the formal potential of the catalyst is close to -0.5V vs SCE regardless of whether the central metal is Fe or Co. In this work, we review the work done until now on the oxidation of hydrazine in alkaline medium at metallophthalocyanines modified graphite electrodes and we show that for some complexes the redox potential of the MN4 macrocyclic transition metal complex can be varied changing the concentration of the catalyst at the electrode surface. Therefore we show that if log i (normalized for the actual surface concentrations of M(II) active sites (M = Fe, Co) at constant potential is plotted versus the M(II)/(I), the correlations is linear with a slope close to 2RT/F. (C) 2014 Elsevier Ltd. All rights reserved.</t>
  </si>
  <si>
    <t>Venegas, Ricardo/U-6376-2019; Tasca, Federico/J-4134-2015; Recio, Francisco/AAB-2148-2020; zagal, jose/L-9648-2014; Sancy, Mamie/L-6270-2014</t>
  </si>
  <si>
    <t>Venegas, Ricardo/0000-0001-7440-484X; Sancy, Mamie/0000-0001-9523-2629; Geraldo, Daniela/0000-0001-6029-5697; Recio, Francisco/0000-0002-5181-3197</t>
  </si>
  <si>
    <t>0013-4686</t>
  </si>
  <si>
    <t>1873-3859</t>
  </si>
  <si>
    <t>SEP 10</t>
  </si>
  <si>
    <t>10.1016/j.electacta.2014.04.059</t>
  </si>
  <si>
    <t>WOS:000342528600041</t>
  </si>
  <si>
    <t>Keyantuo, V; Lizama, C; Warma, M</t>
  </si>
  <si>
    <t>Keyantuo, Valentin; Lizama, Carlos; Warma, Mahamadi</t>
  </si>
  <si>
    <t>Spectral Criteria for Solvability of Boundary Value Problems and Positivity of Solutions of Time-Fractional Differential Equations</t>
  </si>
  <si>
    <t>ABSTRACT AND APPLIED ANALYSIS</t>
  </si>
  <si>
    <t>We investigate mild solutions of the fractional order nonhomogeneous Cauchy problem D(t)(alpha)u(t) = Au(t) +f (t) , t &gt; 0 , where 0 &lt; alpha &lt; 1 . When ?? is the generator of a (T(t))(t &gt;= 0) -semigroupon a Banach space X , we obtain an explicit representation of mild solutions of the above problem in terms of the semigroup. We then prove that this problem under the boundary condition u(0) =u(1)admits a unique mild solution for each f is an element of C([0,1]X] ;X if and only if the operator I-S-alpha( 1 ) is invertible. Here, we use the representation S-alpha(t) x-integral(0)8= phi(alpha)(S)T (St(alpha))xds t&gt;0 in which phi(alpha) is a Wright type function. For the first order case, that is, alpha= 1 , the corresponding result was proved by Pruss in 1984. In case is a Banach lattice and the semigroup (T(t))(t &gt;= 0) is positive, we obtain existence of solutions of the semilinear problem D(t)(alpha)u(t) = Au(t) +f (t) , t &gt; 0 , where 0 &lt; alpha &lt; 1.</t>
  </si>
  <si>
    <t>Lizama, Carlos/E-5909-2011</t>
  </si>
  <si>
    <t>Lizama, Carlos/0000-0002-9807-1100</t>
  </si>
  <si>
    <t>1085-3375</t>
  </si>
  <si>
    <t>1687-0409</t>
  </si>
  <si>
    <t>10.1155/2013/614328</t>
  </si>
  <si>
    <t>WOS:000327353900001</t>
  </si>
  <si>
    <t>C</t>
  </si>
  <si>
    <t>Piggott, P; Carter, C; Patterson, W; Gutierrez, F; Mujica, S; Rojas, E; Valenzuela, C</t>
  </si>
  <si>
    <t>IEEE</t>
  </si>
  <si>
    <t>Piggott, Paige; Carter, Camille; Patterson, Wayne; Gutierrez, Fredy; Mujica, Sergio; Rojas, Esteban; Valenzuela, Cristhofer</t>
  </si>
  <si>
    <t>Development of an Indicator to Distinguish DDoS Attacks from Other Anomalous Events</t>
  </si>
  <si>
    <t>2013 PROCEEDINGS OF IEEE SOUTHEASTCON</t>
  </si>
  <si>
    <t>IEEE SoutheastCon-Proceedings</t>
  </si>
  <si>
    <t>IEEE SoutheastCon</t>
  </si>
  <si>
    <t>APR 04-07, 2013</t>
  </si>
  <si>
    <t>IEEE Jacksonville Sect, Jacksonville, FL</t>
  </si>
  <si>
    <t>IEEE,UNF Student Branch</t>
  </si>
  <si>
    <t>IEEE Jacksonville Sect</t>
  </si>
  <si>
    <t>Distributed Denial of Service attacks (DDoS) are coordinated efforts, by human or machine, to overwhelm web sites, and at a minimum, to cause them to shut down. The use of this type of malicious software has grown exponentially in the past decade, and despite considerable research, it has proven very difficult to identify, detect or prevent such attacks. On the other hand, increases in traffic at web sites may not be the result of a DDoS attack, but a legitimate increase in demand for the Web service. Our current research attempts to find indicators that will enable a system or network to distinguish between a DDoS attack and legitimate heavy traffic in real time.</t>
  </si>
  <si>
    <t>1558-058X</t>
  </si>
  <si>
    <t>978-1-4799-0053-4; 978-1-4799-0052-7</t>
  </si>
  <si>
    <t>WOS:000326283200037</t>
  </si>
  <si>
    <t>Copia, J; Gaete, H; Zúñiga, G; Hidalgo, M; Cabrera, E</t>
  </si>
  <si>
    <t>Copia, Jaime; Gaete, Hernan; Zuniga, Gustavo; Hidalgo, Maria; Cabrera, Enrique</t>
  </si>
  <si>
    <t>Effect of ultraviolet B radiation on the production of polyphenols in the marine microalga Chlorella sp.</t>
  </si>
  <si>
    <t>LATIN AMERICAN JOURNAL OF AQUATIC RESEARCH</t>
  </si>
  <si>
    <t>Marine algae are an important source of antioxidant compounds (phenols and polyphenols), generated as defense mechanisms against stress factors (UV radiation, temperature, herbivory). The aim of this study was to evaluate the strategy of adaptation to the effect of ultraviolet B radiation (UV-B, 280-315 nm) in the marine microalga Chlorella sp. through, the production of polyphenols and total antioxidant capacity. Chlorella sp. cultures were exposed to UV-B radiation (470 mu W cm(-2)) over increasing time periods. We evaluated the total antioxidant capacity DPPH, total polyphenols, chlorophyll-a and b, and cell densities in exposed and unexposed cultures. The results indicated that UV-B caused a decrease in cell density in cultures irradiated for the first time (1st stage), with a significant increment (P &lt; 0.05, lower than the control) in the 2nd and 3rd stages only through the 4th stage (day 7), corresponding to a dose of 16,920 J m(-2). The production of total phenols increased significantly (P &lt; 0.05) for the IVth extract with respect to the control, confirming that the exposure to UV-B caused a reaction in the microalgae, generating higher levels of photoprotector substances. Total antioxidant capacity and total polyphenols did not show a significant correlation (R-2 = 0.72) due to the lack of specificity of the DPPH assay for this type of antioxidant, but a very similar trend was observed. Although the amounts of antioxidant compounds were not high, their synthesis corresponded to the response developed by the microalgae Chlorella sp. against UV-B radiation. The exposure of the microalga Chlorella sp. to incremental doses of UV-B radiation, repeated over time, caused a response in the form of increasing antioxidant defenses.</t>
  </si>
  <si>
    <t>Zuñiga, Gustavo/P-8306-2015</t>
  </si>
  <si>
    <t>Zuniga, Gustavo/0000-0002-8286-9468</t>
  </si>
  <si>
    <t>0718-560X</t>
  </si>
  <si>
    <t>0717-7178</t>
  </si>
  <si>
    <t>10.3856/vol40-issue1-fulltext-11</t>
  </si>
  <si>
    <t>WOS:000306645800011</t>
  </si>
  <si>
    <t>Rojas, MQ</t>
  </si>
  <si>
    <t>Quitral Rojas, Maximo</t>
  </si>
  <si>
    <t>STATE, MARKET AND SOCIETY IN CHILE OF THE NINETEEN-NINETIES: THE INHERITANCE OF AN AUTHORITARIAN MODEL OF MODERNIZATION?</t>
  </si>
  <si>
    <t>ATENEA</t>
  </si>
  <si>
    <t>This paper studies three main hypotheses. The first is that economic change implemented by Chilean technocrats was not synonymous of modernization. The second hypothesis concerns the societal disruption which occurred under authoritarian rule. The third hypothesis rests on the fact of the dismantling and replacement of the Latin American sociopolitical matrix (MSPL) for an array-centric market.</t>
  </si>
  <si>
    <t>0718-0462</t>
  </si>
  <si>
    <t>WOS:000317251300007</t>
  </si>
  <si>
    <t>B</t>
  </si>
  <si>
    <t>Castañeda, F; Cloke, J; Brown, E</t>
  </si>
  <si>
    <t>Taylor, PJ; Ni, P; Derudder, B; Hoyler, M; Huang, J; Witlox, F</t>
  </si>
  <si>
    <t>Castaneda, Francisco; Cloke, Jon; Brown, Ed</t>
  </si>
  <si>
    <t>Latin American Cities in Globalization</t>
  </si>
  <si>
    <t>GLOBAL URBAN ANALYSIS: A SURVEY OF CITIES IN GLOBALIZATION</t>
  </si>
  <si>
    <t>978-1-136-53929-9; 978-1-84971-213-2</t>
  </si>
  <si>
    <t>WOS:000383978700016</t>
  </si>
  <si>
    <t>Cortez, MI; Durand, F; Petite, S</t>
  </si>
  <si>
    <t>Isabel Cortez, Maria; Durand, Fabien; Petite, Samuel</t>
  </si>
  <si>
    <t>LINEARLY REPETITIVE DELONE SYSTEMS HAVE A FINITE NUMBER OF NONPERIODIC DELONE SYSTEM FACTORS</t>
  </si>
  <si>
    <t>PROCEEDINGS OF THE AMERICAN MATHEMATICAL SOCIETY</t>
  </si>
  <si>
    <t>In this paper we prove linearly repetitive Delone systems have finitely many Delone system factors up to conjugacy. This result is also applicable to linearly repetitive tiling systems.</t>
  </si>
  <si>
    <t>Durand, Fabien/0000-0001-6625-1839; Cortez, Maria Isabel/0000-0002-1819-032X</t>
  </si>
  <si>
    <t>0002-9939</t>
  </si>
  <si>
    <t>10.1090/S0002-9939-09-10139-9</t>
  </si>
  <si>
    <t>WOS:000275015700027</t>
  </si>
  <si>
    <t>Bueno, C; Pavez, P; Salazar, R; Encinas, MV</t>
  </si>
  <si>
    <t>Bueno, Claudia; Pavez, Paulina; Salazar, Ricardo; Victoria Encinas, Maria</t>
  </si>
  <si>
    <t>Photophysics and Photochemical Studies of the Vitamin B6 Group and Related Derivatives</t>
  </si>
  <si>
    <t>PHOTOCHEMISTRY AND PHOTOBIOLOGY</t>
  </si>
  <si>
    <t>The photophysics and photochemical properties of vitamin B6 constituents and analogs were studied as function of pH and solvent. The pK of the phenolic oxygen and the pyridine ring nitrogen depends on the electron donor-acceptor ability of the 4-substituent, and agrees with the calculated proton affinity. For all studied compounds, the fluorescence properties showed that the phenolic oxygen is 8 units more acidic in the lowest singlet excited state than in the ground state. The pyridine N-atom is slightly more basic in the excited state. At pH of biological significance, pH 6-8, pyridoxamine and 4-pyridoxic acid are the more efficient chromophores with higher fluorescence yield and longer lifetime. Spectroscopic studies showed that the tautomeric equilibrium depends on the nature of the 4-substituent. The quenching of the singlet excited state of pyridoxamine and 4-pyridoxic acid by amino acids, free or in a peptide, and DNA bases at pH 7 was studied by time-resolved fluorescence techniques. The quenching rate constants are well correlated with the redox properties of the pyridoxinic compound and amino acids, and are related to the free energy change in the electron transfer process. Guanosine and pyrimidine bases also are efficient quenchers, involving an electron transfer reaction.</t>
  </si>
  <si>
    <t>Salazar, Ricardo/L-7870-2013; Encinas, Maria/L-9686-2014; Pavez, Paulina/O-4122-2015</t>
  </si>
  <si>
    <t>Pavez, Paulina/0000-0002-8891-3802; Salazar-Gonzalez, Ricardo/0000-0003-2180-6022</t>
  </si>
  <si>
    <t>0031-8655</t>
  </si>
  <si>
    <t>1751-1097</t>
  </si>
  <si>
    <t>JAN-FEB</t>
  </si>
  <si>
    <t>10.1111/j.1751-1097.2009.00643.x</t>
  </si>
  <si>
    <t>WOS:000273318800005</t>
  </si>
  <si>
    <t>Vargas, C; Navarro, P; Araya, E; Pavez, F; Alguacil, FJ</t>
  </si>
  <si>
    <t>Vargas, C.; Navarro, P.; Araya, E.; Pavez, F.; Alguacil, F. J.</t>
  </si>
  <si>
    <t>Recovery of gold from solutions with ammonia and thiosulfate using activated carbon</t>
  </si>
  <si>
    <t>REVISTA DE METALURGIA</t>
  </si>
  <si>
    <t>The recovery of gold from solutions containing thiosulfate and ammonia using granular activated carbon was studied, evaluating the adsorption and elution stages. The influence of ammonia and thiosulfate concentration and the presence of impurities such as copper and zinc were also evaluated. In the presence of ammonia there was a concentration which maximized the adsorption of gold, while thiosulfate and impurities presence was harmful for the adsorption of gold. During elution, ammonia and thiosulfate concentration, pH regulator and temperature were evaluated. Ammonia favored the process as long as thiosulfate showed a maximum starting from which the elution diminishes. The effect of the pH regulator was very important; If was revealed that when the pH was regulated with caustic ammonia, a synergic effect appeared which favored the elution. Temperature favored the elution process, with activation energy of 9.13 kJ/mol.</t>
  </si>
  <si>
    <t>Vargas, Cristian/0000-0002-7360-6201; alguacil, francisco jose/0000-0002-0247-3384</t>
  </si>
  <si>
    <t>0034-8570</t>
  </si>
  <si>
    <t>1988-4222</t>
  </si>
  <si>
    <t>MAY-JUN</t>
  </si>
  <si>
    <t>WOS:000241465500008</t>
  </si>
  <si>
    <t>Ojeda, J; Escalona, N; Fierro, JLG; Agudo, AL; Gil-Llambías, F</t>
  </si>
  <si>
    <t>Effect of the preparation of Re/-γ-Al2O3 catalysts on the HDS and HDN of gas oil</t>
  </si>
  <si>
    <t>APPLIED CATALYSIS A-GENERAL</t>
  </si>
  <si>
    <t>The effects of Re content and catalyst preparation on the surface structure of two series of Re/gamma-Al2O3 catalysts, prepared by one-step (Re(x)-II) and successive-step impregnation (Re(x)-II) methods, and their catalytic behaviour in the HDS and HDN of gas oil were studied. Characterization data by XRD, Raman spectroscopy and XPS revealed that the structure of Re on Re(x)-I and Re(x)-II catalysts in their oxidic state was very similar: Re in oxided state was present as two slightly different isolated ReO4- monomeric species coordinated to the alumina surface in all the range of Re content Studied, but the Re coverage was slightly lower on Re(x)-I than on Re(x)-II catalysts. Upon sulfidation, the dispersion of Re decreased significantly and left to be monomolecularly dispersed above 0.5 Re at. nm(-2), especially for the Re(x)-I catalysts. causing therefore that the HDS and HDN activities of the two catalyst series reached maximum values at a Re content of about 0.5 at. nm(-2) and then decreased. The higher activity for both HDS and HDN reactions observed for the Re(x)-II catalysts are consistent with their higher dispersion of the Re sulfided phase. Both Re(x)-I and Re(x)-II catalysts showed exceptionally high HDN/HDS selectivity values, which were slightly higher for the Re(x)-II catalysts due to their slightly higher concentration of acid sites in the oxidic state. (c) 2004 Elsevier B.V. All rights reserved.</t>
  </si>
  <si>
    <t>Escalona, Nestor/F-3593-2016; Garcia Fierro, Jose Luis/C-4774-2014</t>
  </si>
  <si>
    <t>Garcia Fierro, Jose Luis/0000-0002-6880-3737; Ojeda, Juan/0000-0002-9484-5017; Escalona Burgos, Nestor/0000-0002-2628-4609</t>
  </si>
  <si>
    <t>0926-860X</t>
  </si>
  <si>
    <t>1873-3875</t>
  </si>
  <si>
    <t>MAR 18</t>
  </si>
  <si>
    <t>1-2</t>
  </si>
  <si>
    <t>10.1016/j.apcata.2004.11.008</t>
  </si>
  <si>
    <t>WOS:000227853700004</t>
  </si>
  <si>
    <t>Soto-Suazo, M; San Martin, S; Ferro, ES; Zorn, TMT</t>
  </si>
  <si>
    <t>Differential expression of glycosaminoglycans and proteoglycans in the migratory pathway of the primordial germ cells of the mouse</t>
  </si>
  <si>
    <t>HISTOCHEMISTRY AND CELL BIOLOGY</t>
  </si>
  <si>
    <t>Primordial germ cells are an embryonic cell line that give rise to gametes in vertebrates. They originate outside the embryo proper and migrate by a well-defined route to the genital ridges. Proteoglycans and glycosaminoglycans have distinctive properties that affect many of the characteristics of the extracellular microenvironment of migratory pathways in a variety of developmental systems. The purpose of this work was to identify the proteoglycans and glycosaminoglycans that are spatially and temporally expressed in the migratory pathway of primordial germ cells. We showed that the expression of proteoglycans and glycosaminoglycans in the primordial acrin cells migratory pathway changes according, to the different phases of the migratory process. Some molecules such as chondroitin-0-sulfate, decorin, and biglycan are present only in certain phases of the migratory process of primordial germ cells. Henaran sulphate, chondroitin-6-sulfate, versican, perlecan, and syndecan-4, although exhibiting some variation in expression were detected during all phases of the migratory process. Our results indicate that the successive steps of primordial germ cell migration require a coordinated expression of proteoglycans and glycosaminoglycans, that should be present in appropriate levels and in specific areas of the embryo, and that the sequential expression of these extracellular matrix molecules is under a genetic program that appears to be common to a variety of cell types during embryonic development.</t>
  </si>
  <si>
    <t>Zorn, Telma/C-4065-2008; Ferro, Emer/D-3908-2012; San Martin, Sebastian/S-5268-2019</t>
  </si>
  <si>
    <t>San Martin, Sebastian/0000-0002-2569-1114</t>
  </si>
  <si>
    <t>0948-6143</t>
  </si>
  <si>
    <t>1432-119X</t>
  </si>
  <si>
    <t>10.1007/s00418-002-0414-2</t>
  </si>
  <si>
    <t>WOS:000177218100009</t>
  </si>
  <si>
    <t>Fernandez, R; Nelson, P; Delgado, J; Aguilera, J; Massai, I; Velasquez, L; Imarai, M; Croxatto, HB; Cardenas, H</t>
  </si>
  <si>
    <t>Increased adhesiveness and internalization of Neisseria gonorrhoeae and changes in the expression of epithelial gonococcal receptors in the Fallopian tube of copper T and Norplant® users</t>
  </si>
  <si>
    <t>HUMAN REPRODUCTION</t>
  </si>
  <si>
    <t>Interaction of Neisseria gonorrhoeae with the oviductal epithelium in vitro was examined in 2 cm length segments obtained after surgical sterilization from users of copper T intrauterine device (IUD) or Norplant(R) and control women. Segments perfused with N.gonorrhoeae suspensions were incubated from 30 min up to 4 h, fixed, frozen and cut in 6-10 mum sections. Bacteria were detected immunohistochemically with rabbit anti-gonococcal serum followed by light and confocal microscopy, Adhesion and internalization of gonococci by epithelial cells were observed at all incubation times, and both were higher in explants from users of copper T IUD or Norplant implants than controls, The epithelium of controls expressed CD66 and syndecan-1; but CD46 was found in only one out of six cases. The epithelium of copper T IUD users expressed CD66 but not syndecan-1 or CD46, Users of Norplant(R) exhibited expression of CD46, CD66 and syndecan-1. Label was always found along the luminal border of the epithelium. There were more intraepithelial lymphocytes in users of contraceptive methods than in controls. Results indicate that (i) N,gonorrhoeae invade the oviductal epithelium from the first minutes of exposure, (ii) the epithelium is constitutively endowed with two known receptors for the gonococcus, CD66 and syndecan-1, (iii) copper T IUD and Norplant users exhibit higher rates of attachment and internalization of the gonococcus into the oviductal epithelium associated with changes in expression of gonococcal receptors.</t>
  </si>
  <si>
    <t>; Fernandez, Ricardo/H-3422-2018</t>
  </si>
  <si>
    <t>Imarai, Monica/0000-0001-8767-9180; Velasquez, Luis/0000-0002-9479-1792; Fernandez, Ricardo/0000-0003-4493-9362; Delgado, Juan Luis/0000-0003-1687-0222</t>
  </si>
  <si>
    <t>0268-1161</t>
  </si>
  <si>
    <t>1460-2350</t>
  </si>
  <si>
    <t>10.1093/humrep/16.3.463</t>
  </si>
  <si>
    <t>WOS:000167497700011</t>
  </si>
  <si>
    <t>Baricelli, PJ; Lujano, RE; Medina, L; Longo, C; Pardey, AJ; Pastene, R; Moya, SA</t>
  </si>
  <si>
    <t>Homogeneous catalysis reaction of formaldehyde with synthesis gas using rhodium complexes.</t>
  </si>
  <si>
    <t>BOLETIN DE LA SOCIEDAD CHILENA DE QUIMICA</t>
  </si>
  <si>
    <t>Meeting of the Chilean-Chemical-Society</t>
  </si>
  <si>
    <t>JUN 14-16, 2000</t>
  </si>
  <si>
    <t>CHILE</t>
  </si>
  <si>
    <t>Chilean Chem Soc</t>
  </si>
  <si>
    <t>In the present work, we report the homogeneous catalytic hydroformylation reaction of formaldehyde with rhodium complexes like [Rh(CO)(2)L-2](PF6) with L = pyridine (1) or 4-picoline (2), using different solvents such as toluene, acetone, N,N-dimethylformamide, and 4-picoline. The experiments were carried out in an autoclave (Parr, 100 mL), 10 atm, CO/H-2 = 1 and ratio catalyst/substrate 1/100. Preliminary kinetics parameters show a high catalytic activity of these complexes to the formation of methanol and methyl formate.</t>
  </si>
  <si>
    <t>Medina, Laura/JJD-8089-2023</t>
  </si>
  <si>
    <t>0366-1644</t>
  </si>
  <si>
    <t>SEP</t>
  </si>
  <si>
    <t>WOS:000089763300008</t>
  </si>
  <si>
    <t>Pastene, R; Le Bozec, H; Moya, SA</t>
  </si>
  <si>
    <t>Synthesis and coordination studies of new ferrocene-bridged bis(1,8-naphthyridine)</t>
  </si>
  <si>
    <t>INORGANIC CHEMISTRY COMMUNICATIONS</t>
  </si>
  <si>
    <t>The new ferrocene-bridged bis( 1,8-naphthyridine) ligand 1 has been prepared in a good yield from 1, 1'-diacetylferrocene and 2-aminonicotinoaldehyde. The coordination with copper(I) and silver(I) gives mononuclear complexes, showing that 1 can act as a tetradentate ligand. (C) 2000 Elsevier Science S.A. All rights reserved.</t>
  </si>
  <si>
    <t>PASTENE OLIVARES, RUBEN/0000-0002-7137-0303</t>
  </si>
  <si>
    <t>1387-7003</t>
  </si>
  <si>
    <t>10.1016/S1387-7003(00)00095-2</t>
  </si>
  <si>
    <t>WOS:000088551400010</t>
  </si>
  <si>
    <t>Soto, MA; Gonzalez, C; Lissi, E; Vergara, C; Latorre, R</t>
  </si>
  <si>
    <t>Inhibition of Ca2+-dependent K+ channel currents by exposure to hydrogen peroxide</t>
  </si>
  <si>
    <t>JOURNAL OF PHYSIOLOGY-LONDON</t>
  </si>
  <si>
    <t>0022-3751</t>
  </si>
  <si>
    <t>S</t>
  </si>
  <si>
    <t>16P</t>
  </si>
  <si>
    <t>17P</t>
  </si>
  <si>
    <t>WOS:000085937100025</t>
  </si>
  <si>
    <t>de Molina, MDR; Lissi, MAS; Armesto, A; Lafourcade, C; Lissi, E</t>
  </si>
  <si>
    <t>Rat urinary chemiluminescence: Effect of ethanol and/or hexachlorobenzene uptake</t>
  </si>
  <si>
    <t>JOURNAL OF BIOLUMINESCENCE AND CHEMILUMINESCENCE</t>
  </si>
  <si>
    <t>Hexachlorobenzene (HCB) administration to rats induces porphyria cutanea tarda, characterized by high levels of urinary porphyrins (&gt;40 mu g/day) and accumulation of highly carboxylated porphyrins in liver (&gt;15 mu g/g of tissue). Ethanol administration, under the conditions employed, was not porphyrinogenic and was able to diminish some of the responses elicited by HCB. Furthermore, ethanol and/or HCB administration leads to organ disturbances that involve oxidative stress. We have measured the changes in urinary chemiluminescence (CL) levels, as part of a systematic evaluation of the metabolic alterations in rats chronically treated with ethanol and/or HCB. The results, that constitute the first set of urinary CL data obtained from an animal model system, indicate that the measurement of the spontaneous urinary CL can constitute a fast, simple and sensitive method to evaluate disturbances associated with oxidative stress. (C) 1998 John Wiley &amp; Sons, Ltd.</t>
  </si>
  <si>
    <t>Lafourcade, Carlos/0000-0002-6728-1009</t>
  </si>
  <si>
    <t>0884-3996</t>
  </si>
  <si>
    <t>MAR-APR</t>
  </si>
  <si>
    <t>WOS:000073860400001</t>
  </si>
  <si>
    <t>Wang, C; Hu, YM; Zheng, X; Zhao, DG; Chen, XL; Han, Y; Sun, C; Siginer, DA</t>
  </si>
  <si>
    <t>Wang, Chao; Hu, Yi-Ming; Zheng, Xin; Zhao, Da-Gang; Chen, Xi-Lin; Han, Yang; Sun, Cong; Siginer, Dennis A.</t>
  </si>
  <si>
    <t>On the stability of submerged gas jet in temporal mode</t>
  </si>
  <si>
    <t>PHYSICS OF FLUIDS</t>
  </si>
  <si>
    <t>The temporal mode stability of incompressible submerged axisymmetric gas jets is comprehensively investigated by linear stability analysis. The basic velocity profile is constructed using the hyperbolic tangent function approach. The influences of basic velocity profile, Reynolds Re, and Weber We numbers, and physical properties of the surrounding liquid on the stability of the gas jet are investigated and stability maps are constructed. We find that the jet breakup propagation velocity shows a strong linear relationship with the velocity of the two-phase interface, and the shear on the interface can greatly change the instability modes of submerged gas jet system. Large surface tension triggers long-wave instability of the jet and local shear at the interface leads to the unsteady transition to short-wave instability. Moreover, it is found that there is a strong linear relationship between the most unstable growth rate and dimensionless parameters directly or indirectly, and R-2 is above 0.95. In addition, the instability of the submerged gas jet shows a double-mode feature when the velocity profile parameters exceed their thresholds.</t>
  </si>
  <si>
    <t>Yang, Hongli/KEJ-5057-2024; wang, chao/ABK-5496-2022</t>
  </si>
  <si>
    <t>wang, chao/0000-0001-7855-6939; Hu, Yiming/0009-0000-5280-6100; zheng, xin/0000-0001-5628-7774; han, yang/0000-0002-4121-0261</t>
  </si>
  <si>
    <t>1070-6631</t>
  </si>
  <si>
    <t>1089-7666</t>
  </si>
  <si>
    <t>JAN</t>
  </si>
  <si>
    <t>10.1063/5.0238628</t>
  </si>
  <si>
    <t>WOS:001390887800028</t>
  </si>
  <si>
    <t>Mcsherry, JP</t>
  </si>
  <si>
    <t>Mcsherry, J. Patrice</t>
  </si>
  <si>
    <t>Democratization and Impunity for Human Rights Crimes</t>
  </si>
  <si>
    <t>AMERICAS</t>
  </si>
  <si>
    <t>0003-1615</t>
  </si>
  <si>
    <t>1533-6247</t>
  </si>
  <si>
    <t>10.1017/tam.2024.10</t>
  </si>
  <si>
    <t>WOS:001328792700012</t>
  </si>
  <si>
    <t>Calderón-Orellana, M; Aparicio, A; López-Huenante, N</t>
  </si>
  <si>
    <t>Calderon-Orellana, Magdalena; Aparicio, Andres; Lopez-Huenante, Nicolas</t>
  </si>
  <si>
    <t>COVID-19's impact on worker stress in human service organizations: The mediating role of inclusion</t>
  </si>
  <si>
    <t>PLOS ONE</t>
  </si>
  <si>
    <t>Human service organizations faced extraordinary challenges due to COVID-19. Despite the increasing interest and research in this new scenario, there has been limited discussion about the impact of COVID-19 on workers, the challenges they faced, and the resulting stress. This study aimed to analyze the impact of COVID-19 on work-related stress and the mediating role of inclusion among workers in human service organizations in Chile during the pandemic. The research design was quantitative and involved a sample of 173 workers from civil society organizations who were contacted during the pandemic. The study confirmed that individuals most affected by the pandemic experienced higher levels of work-related stress, and that inclusion played a negative mediating role in this relationship. This article highlights the importance of relationships, decision-making processes, and access to information in reducing stress in post-COVID scenarios for organizations that traditionally handle crises.</t>
  </si>
  <si>
    <t>Aparicio, Andrés/N-7893-2019; Calderon-Orellana, Magdalena/GRF-2302-2022</t>
  </si>
  <si>
    <t>Lopez Huenante, Nicolas Yuhary/0000-0003-4831-7675; Calderon-Orellana, Magdalena/0000-0003-0672-5873</t>
  </si>
  <si>
    <t>1932-6203</t>
  </si>
  <si>
    <t>DEC 11</t>
  </si>
  <si>
    <t>e0295743</t>
  </si>
  <si>
    <t>10.1371/journal.pone.0295743</t>
  </si>
  <si>
    <t>WOS:001126287700031</t>
  </si>
  <si>
    <t>Seguin, AK; Cruz, C; Villafuerte, K; Páez-Hernández, D; Venegas-Yazigi, D; Paredes-García, V</t>
  </si>
  <si>
    <t>Seguin, Ana Karina; Cruz, Carlos; Villafuerte, Katherine; Paez-Hernandez, Dayan; Venegas-Yazigi, Diego; Paredes-Garcia, Veronica</t>
  </si>
  <si>
    <t>One-Dimensional CoII and NiII Helical Coordination Polymers Exhibiting Zero-Field Splitting</t>
  </si>
  <si>
    <t>CRYSTAL GROWTH &amp; DESIGN</t>
  </si>
  <si>
    <t>Two new coordination polymers {[MII(HL)(EtOH)2]-(ClO4)}n, where MII= Co (1) and Ni (2), were synthesized using a Schiff base ligand H2L = 2-{[(E)-1H-imidazol-4-ylmethylidene}amino]benzoic acid. Compounds 1 and 2 are isostructural, presenting a one-dimensional helical chain arrangement. Each metal center has a distorted octahedral geometry bridged by a syn-anti carboxylate group. The fitting of the magnetic susceptibility data in the 1.8-300 K range shows weak intrachain antiferromagnetic interaction for 1 and weak ferromagnetic interaction for 2, with the presence of zero-field splitting (zfs) phenomenon in both compounds. Theoretical calculations confirm the weak intrachain coupling in both compounds, but with a zfs phenomenon dominant at lower temperatures. A positive value for the zfs is also obtained, with a major spin-orbit coupling component.</t>
  </si>
  <si>
    <t>Paredes-Garcia, Veronica/C-4415-2011; Páez-Hernández, Dayán/AAJ-3317-2020; Cruz, Carlos/KIG-8993-2024; Venegas-Yazigi, Diego/C-5022-2009</t>
  </si>
  <si>
    <t>Venegas-Yazigi, Diego/0000-0001-7816-2841; Paez-Hernandez, Dayan/0000-0002-8163-1343; Paez, Dayan/0000-0003-2747-9982; Cruz Herrera, Carlos/0000-0002-2644-4297</t>
  </si>
  <si>
    <t>1528-7483</t>
  </si>
  <si>
    <t>1528-7505</t>
  </si>
  <si>
    <t>JAN 4</t>
  </si>
  <si>
    <t>10.1021/acs.cgd.2c00728</t>
  </si>
  <si>
    <t>DEC 2022</t>
  </si>
  <si>
    <t>WOS:000892622700001</t>
  </si>
  <si>
    <t>Madero-Cabib, I; Dintrans, PV; Salas, JB</t>
  </si>
  <si>
    <t>Madero-Cabib, Ignacio; Villalobos Dintrans, Pablo; Browne Salas, Jorge</t>
  </si>
  <si>
    <t>Extending the Analysis of Functional Ability Trajectories to Unexplored National Contexts: The Case of Chile</t>
  </si>
  <si>
    <t>JOURNALS OF GERONTOLOGY SERIES B-PSYCHOLOGICAL SCIENCES AND SOCIAL SCIENCES</t>
  </si>
  <si>
    <t>Objectives Despite the enormous advances in the field, most evidence about functional ability trajectories in old age comes from studies conducted in developed and high-income countries. This research aims to build on these previous advances to examine functional ability trajectories in Chile. Method Drawing on a robust, publicly available 15-year panel data set (2004-2018), and using sequence analysis, we examine functional ability trajectories types among 4 age groups (people aged 46-50, 51-55, 56-60, and 61-64 at baseline). Then, we analyze trajectories' dynamics looking at intraindividual health-declining and health-recovery transitions between functional ability statuses, within each trajectory type. Finally, we assess how multiple baseline individual characteristics predict the likelihood of following a functional ability trajectory type, using multinomial regression models. Results Across all age groups, an important fraction (between 26% and 50%) reports stable healthy trajectories, and between 10% and 20% follow equivocal-declining trajectories (i.e., exhibiting both health-declining and health-recovery intraindividual transitions), suggesting that age might not be the main source of heterogeneity in functional ability trajectories. Overall, women, lower educated people, nonworking individuals, and people with a higher burden of chronic conditions at baseline are more prevalent among health-declining trajectory types; however, these results are not constant across the age groups analyzed. Discussion This nationally focused study reinforces the feasibility and usefulness of an in-depth analysis of functional ability trajectories in old age. The study findings can be crucial to define different prevention strategies according to the functional ability path that an individual might follow, especially in countries like Chile that currently navigate the challenges of population aging.</t>
  </si>
  <si>
    <t>Dintrans, Pablo/AAM-6248-2020; Cabib, Ignacio/H-5998-2016</t>
  </si>
  <si>
    <t>Cabib, Ignacio/0000-0002-9918-8562; Villalobos Dintrans, Pablo/0000-0002-2236-6447; Browne, Jorge/0000-0001-6586-7084</t>
  </si>
  <si>
    <t>1079-5014</t>
  </si>
  <si>
    <t>1758-5368</t>
  </si>
  <si>
    <t>JUL 5</t>
  </si>
  <si>
    <t>10.1093/geronb/gbab116</t>
  </si>
  <si>
    <t>SEP 2021</t>
  </si>
  <si>
    <t>WOS:000755887800001</t>
  </si>
  <si>
    <t>da Mata, AMM; de Moura, BF; Martins, MF; Palma, FHS; Ramos, R</t>
  </si>
  <si>
    <t>da Mata, Adriana Machado Malafaia; de Moura, Bruno Furtado; Martins, Marcio Ferreira; Palma, Francisco Hernan Sepulveda; Ramos, Rogerio</t>
  </si>
  <si>
    <t>Electrical conductivity effect on the performance evaluation of EIT systems: A review</t>
  </si>
  <si>
    <t>MEASUREMENT</t>
  </si>
  <si>
    <t>Electrical Impedance Tomography (EIT) is a non-invasive technique in the study for flow measurement of multiphase flow. Its high temporal resolution allows achieving images of the flow in real-time. In oil extraction, the demand for deepwater requires research and technologies capable of predicting the influence of the saline water's high conductivities in control systems. In this technique (EIT), most studies focus on low conductivities (from tap water). Therefore, this work's objective was to identify the effects of conductivity in the performance evaluation of systems in EIT. For that matter, a systematic review is conducted utilizing the Multiple Criteria Decision Analysis method (MCDA) to classify the works selected in the search.</t>
  </si>
  <si>
    <t>Sepúlveda, Francesca/AAW-8092-2021; de Moura, Bruno/AAT-7554-2021; Ferreia Martins, Marcio/T-5321-2017</t>
  </si>
  <si>
    <t>da Mata, Adriana/0000-0002-9076-456X; Sepulveda Palma, Francisco Hernan/0000-0002-1930-3859; Ferreia Martins, Marcio/0000-0002-3023-222X; Ramos, Rogerio/0000-0003-4493-2435; de Moura, Bruno Furtado/0000-0003-1912-3732</t>
  </si>
  <si>
    <t>0263-2241</t>
  </si>
  <si>
    <t>1873-412X</t>
  </si>
  <si>
    <t>JUN</t>
  </si>
  <si>
    <t>10.1016/j.measurement.2021.109401</t>
  </si>
  <si>
    <t>APR 2021</t>
  </si>
  <si>
    <t>WOS:000655278600001</t>
  </si>
  <si>
    <t>Arratia, LC; Córdova, F; de Arce, AP</t>
  </si>
  <si>
    <t>Dzitac, I; Filip, FG; Manolescu, MJ; Dzitac, S; Kacprzyk, J; Oros, H</t>
  </si>
  <si>
    <t>Canete Arratia, Lucio; Cordova, Felisa; Perez de Arce, Andres</t>
  </si>
  <si>
    <t>Automatons Immersed in Ocean Currents for Transformation of Biomass into Fuel</t>
  </si>
  <si>
    <t>INTELLIGENT METHODS IN COMPUTING, COMMUNICATIONS AND CONTROL</t>
  </si>
  <si>
    <t>Advances in Intelligent Systems and Computing</t>
  </si>
  <si>
    <t>8th International Conference on Computers Communications and Control (ICCCC)</t>
  </si>
  <si>
    <t>MAY 11-15, 2020</t>
  </si>
  <si>
    <t>ELECTR NETWORK</t>
  </si>
  <si>
    <t>When observing the Chilean sea from both biotic and mechanical perspective, oceanographers note that the Humboldt Current carries abundant biomass and that the movement of the water itself has the capacity to do work. Taking advantage of these two qualities of the ocean current, this article exposes the sketch of an automated device, the computational simulation when it was conceived and its mathematical model to make efficient the capture of biomass that will be processed, stored and dispatched as biodiesel. Said submerged automaton has a structural configuration that was outlined by cybernetic design resulting in a body that carries out the transformation process by itself, which starts on the side that faces the current with its content of biomass. This raw material is trapped thanks to an intelligent system that informs the reactor about the relative importance of the state variables that its body can control, stimulating those swimming organisms to move in the desired direction. The captured biomass begins its process until it becomes biodiesel by virtue of the mechanical energy provided by the same flow of seawater that affects the reactor. The rear part of the reactor releases both incident water and by-products into the sea without harmful environmental consequences. Some users of this new type of device are armies in time of conflict and merchant marines during algae bloom.</t>
  </si>
  <si>
    <t>Córdova, Felisa/AAK-4280-2020; Arratia, Lucio/AAV-6112-2020</t>
  </si>
  <si>
    <t>Canete Arratia, Lucio/0000-0002-1191-8728; CORDOVA, FELISA/0000-0002-5557-8569</t>
  </si>
  <si>
    <t>2194-5357</t>
  </si>
  <si>
    <t>2194-5365</t>
  </si>
  <si>
    <t>978-3-030-53651-0</t>
  </si>
  <si>
    <t>10.1007/978-3-030-53651-0_12</t>
  </si>
  <si>
    <t>WOS:000621675100012</t>
  </si>
  <si>
    <t>Zolorza, JA; El Aiss, H; Barbosa, KA; Palma, JM</t>
  </si>
  <si>
    <t>Zolorza, Jorge A.; El Aiss, Hicham; Barbosa, Karina A.; Palma, Jonathan M.</t>
  </si>
  <si>
    <t>H∞ Gain-Scheduled Controller Design for Multi Coupled Tank Represented by Takagi-Sugeno Fuzzy Systems</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</si>
  <si>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</si>
  <si>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</si>
  <si>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</si>
  <si>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</si>
  <si>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The paper addresses the problem of controlling four connected tanks with multiple operating points, represented as a Takagi-Sugeno (T-S) model. As a result, the Parallel Distributed Compensation (PDC) control is employed to stabilize the nonlinear tanks system given in the T-S model. Furthermore, in order to minimize the impact of the disturbance on the system output the system H-infinity norm is considered. The obtained results are given in a set of Linear matrix inequalities (LMIs) by adapting results from the literature to a T-S model. Finally, to show the efficacy of the proposed results, the proposed control method is numerically simulated and compared to different controllers found in the literature.</t>
  </si>
  <si>
    <t>El Aiss, Hicham/AAD-6510-2022; Barbosa, Karina/A-2236-2014; Palma Olate, Jonathan Matias/ADW-5898-2022; Palma Olate, Jonathan Matias/B-8798-2019</t>
  </si>
  <si>
    <t>Palma Olate, Jonathan Matias/0000-0002-3924-1907</t>
  </si>
  <si>
    <t>978-1-6654-0873-8</t>
  </si>
  <si>
    <t>10.1109/CHILECON54041.2021.9702997</t>
  </si>
  <si>
    <t>WOS:000788072700021</t>
  </si>
  <si>
    <t>Alekseeva, E; Doebeli, M; Ispolatov, I</t>
  </si>
  <si>
    <t>Alekseeva, Evgeniia; Doebeli, Michael; Ispolatov, Iaroslav</t>
  </si>
  <si>
    <t>Evolutionary adaptation of high-diversity communities to changing environments</t>
  </si>
  <si>
    <t>ECOLOGY AND EVOLUTION</t>
  </si>
  <si>
    <t>We use adaptive dynamics models to study how changes in the abiotic environment affect patterns of evolutionary dynamics and diversity in evolving communities of organisms with complex phenotypes. The models are based on the logistic competition model, and environmental changes are implemented as a temporal change of the carrying capacity as a function of phenotype. In general, we observe that environmental changes cause a reduction in the number of species, in total population size, and in phenotypic diversity. The rate of environmental change is crucial for determining whether a community survives or undergoes extinction. Until some critical rate of environmental changes, species are able to follow evolutionarily the shifting phenotypic optimum of the carrying capacity, and many communities adapt to the changing conditions and converge to new stationary states. When environmental changes stop, such communities gradually restore their initial phenotypic diversity.</t>
  </si>
  <si>
    <t>Ispolatov, Iaroslav/E-8544-2010</t>
  </si>
  <si>
    <t>Ispolatov, Iaroslav/0000-0002-0201-3396</t>
  </si>
  <si>
    <t>2045-7758</t>
  </si>
  <si>
    <t>NOV</t>
  </si>
  <si>
    <t>10.1002/ece3.6695</t>
  </si>
  <si>
    <t>WOS:000585259500001</t>
  </si>
  <si>
    <t>Peredo, S; Barrera, C; Martínez, JL; Romo, J</t>
  </si>
  <si>
    <t>Peredo, Santiago; Barrera, Claudia; Martinez, Jose L.; Romo, Javier</t>
  </si>
  <si>
    <t>Medicinal and aromatic plants as hosts of natural enemies of Saissetia oleae in spatio temporal arrangements for the agroecological cultivation of Olea europea</t>
  </si>
  <si>
    <t>BOLETIN LATINOAMERICANO Y DEL CARIBE DE PLANTAS MEDICINALES Y AROMATICAS</t>
  </si>
  <si>
    <t>Medicinal and aromatic plants can be considered as multifunctional plants due to the diverse properties and ecosystem services they provide in agroecosystems. Among the latter, they regulate the populations of insect pests in crops, harboring their natural enemies. In order to determine the plant species with the greatest presence of natural enemies of Saissetia oleae in an agro-ecological crop of Olea europea, biological corridors with species of medicinal and aromatic plants were established in three sectors of the farm. The plants were collected together with the farmers of the Maipo Province and sticky pheromone traps, vacuum cleaner and entomological umbrella were used to collect the arthropods. The results indicate that Calendula officinalis, Borago officinalis, Aquilea millefolium, Linun usitatissimun, Chamaemulum nobile, Origanum vulgare, Artemisia agrotanum and Symphytum officinale are the species with the highest presence of S. oleae natural enemies identified as Coccophagus sp., Metaphycus helvolus, Metaphycus lounsbury, Metaphycus sp., Rhyzobius lophanthae, Scutellista caerulea.</t>
  </si>
  <si>
    <t>Barrera Salas, Claudia Paz/0000-0001-7895-3045</t>
  </si>
  <si>
    <t>0717-7917</t>
  </si>
  <si>
    <t>10.37360/blacpma.20.19.5.32</t>
  </si>
  <si>
    <t>WOS:000592118400003</t>
  </si>
  <si>
    <t>Chi-Durán, I; Enríquez, J; Manquián, C; Fritz, RA; Vega, A; Serafini, D; Herrera, F; Singh, DP</t>
  </si>
  <si>
    <t>Chi-Duran, Ignacio; Enriquez, Javier; Manquian, Carolina; Fritz, Ruben Alejandro; Vega, Andres; Serafini, Daniel; Herrera, Felipe; Singh, Dinesh Pratap</t>
  </si>
  <si>
    <t>Azide-Based High-Energy Metal-Organic Frameworks with Enhanced Thermal Stability</t>
  </si>
  <si>
    <t>ACS OMEGA</t>
  </si>
  <si>
    <t>We describe the structure and properties of [Zn(C6H4N5)N-3](n), a new nonporous three-dimensional high-energy metal-organic framework (HE-MOF) with enhanced thermal stability. The compound is synthesized by the hydrothermal method with in situ ligand formation under controlled pH and characterized using single-crystal X-ray diffraction, elemental analysis, and Fourier transform infrared. The measured detonation temperature (T-det = 345 degrees C) and heat of detonation (Delta H-det = -0.380 kcal/g) compare well with commercial explosives and other nitrogen-rich HE-MOFs. The velocity and pressure of denotation are 5.96 km/s and 9.56 GPa, respectively. Differential scanning calorimetry analysis shows that the denotation of [Zn(C6H4N5)N-3](n) occurs via a complex temperature-dependent mechanism.</t>
  </si>
  <si>
    <t>Vega, Andres/B-2122-2010; Herrera, Felipe/KHD-8453-2024; SINGH, DINESH/A-2509-2011</t>
  </si>
  <si>
    <t>Fritz Fritz, Ruben Alejandro/0000-0002-6691-4740; SINGH, DINESH/0000-0002-2893-7749; Vega, Andres/0000-0001-6501-4161; Serafini, Daniel/0000-0002-1764-5900; Chi-Duran, Ignacio/0000-0002-3327-2825</t>
  </si>
  <si>
    <t>2470-1343</t>
  </si>
  <si>
    <t>10.1021/acsomega.9b01127</t>
  </si>
  <si>
    <t>WOS:000486396500005</t>
  </si>
  <si>
    <t>Urzúa, A; Leiva-Gutiérrez, J; Caqueo-Urízar, A; Vera-Villarroel, P</t>
  </si>
  <si>
    <t>Urzua, Alfonso; Leiva-Gutierrez, Jose; Caqueo-Urizar, Alejandro; Vera-Villarroel, Pablo</t>
  </si>
  <si>
    <t>Rooting mediates the effect of stress by acculturation on the psychological well-being of immigrants living in Chile</t>
  </si>
  <si>
    <t>Migration is a social phenomenon that has an impact both on the lives of the people who migrate, and on the societies who receive them; with psychological well-being being one of the most affected variables. The objective of this research is to analyze the possible mediating role of rooting in the host location on the negative effect that acculturation stress has on the level of well-being. Data for this study were collected using 699 Colombian and Peruvian immigrants who have been permanently residing in Chile for more than six months. Participants were assessed by using Riff's Psychological Well-being Scale, rooting of Torrente et al., and Ruiz et al. scales of stress. The results demonstrated the mediating role of settling down within the host country in relation to stress and psychological well-being, except for the sub-dimension of autonomy. It is concluded that the need for rooting in the host country is a protective factor against the negative effects of stress on perceived well-being.</t>
  </si>
  <si>
    <t>Vera-Villarroel, Pablo/A-1134-2011; Caqueo-Urízar, Alejandra/AAW-4045-2021; Leiva-Gutiérrez, Jose/AAP-6813-2020; Urzua, Alfonso/A-1208-2012</t>
  </si>
  <si>
    <t>Caqueo-Urizar, Alejandra/0000-0002-4614-8380; Urzua, Alfonso/0000-0002-0882-2194</t>
  </si>
  <si>
    <t>AUG 13</t>
  </si>
  <si>
    <t>e0219485</t>
  </si>
  <si>
    <t>10.1371/journal.pone.0219485</t>
  </si>
  <si>
    <t>WOS:000485009500004</t>
  </si>
  <si>
    <t>Cuevas, JG; Quiroz, M</t>
  </si>
  <si>
    <t>Cuevas, Jaime G.; Quiroz, Madelaine</t>
  </si>
  <si>
    <t>Screening of Native and Exotic Tree Species in Chile for Element Absorption from Dairy Slurry</t>
  </si>
  <si>
    <t>JOURNAL OF SOIL SCIENCE AND PLANT NUTRITION</t>
  </si>
  <si>
    <t>We studied the effect of fertigation with cattle slurry on native and exotic arboreal tree species in Chile. The objectives were to identify the most promising species for buffer strips to mitigate the stream pollution in dairy facilities, to determine where most nutrients accumulate (leaves, stems, or roots), and to test whether the native species are or are not a better biofilter than the exotic ones. We hypothesized that the individuals that were fertilized would have a higher nutrient concentration, nutrient accumulation, and growth than those non-fertilized. N and K concentrations were similar in fertilized trees and in the controls, while the P, Ca, Mg, and Na concentrations were higher in the control than those in the fertilized trees. Most species responded positively to fertilization on a dry matter basis. Luma apiculata, Drimys winteri, and Blepharocalyx cruckshanksii responded to fertilization showing a greater height and diameter growth. Generally, nutrients accumulated in leaves. Overall, the exotic Eucalyptus niter's was the species that accumulated more nutrients given its large growth rate. The native species that more commonly stood out in this study were D. winteri, Nothofagus dombeyi, and L. apiculata. In general, a minor proportion of the applied shirty was absorbed by trees, and we recommend the use of trees in biofilters as a complement to crop and pasture absorption.</t>
  </si>
  <si>
    <t>Quiroz, Madelaine/ACG-9162-2022</t>
  </si>
  <si>
    <t>0718-9508</t>
  </si>
  <si>
    <t>0718-9516</t>
  </si>
  <si>
    <t>10.1007/s42729-018-0002-8</t>
  </si>
  <si>
    <t>WOS:000471078200002</t>
  </si>
  <si>
    <t>Godino, A; Renard, GM</t>
  </si>
  <si>
    <t>Godino, A.; Renard, G. M.</t>
  </si>
  <si>
    <t>Effects of alcohol and psychostimulants on the vasopressin system: Behavioural implications</t>
  </si>
  <si>
    <t>JOURNAL OF NEUROENDOCRINOLOGY</t>
  </si>
  <si>
    <t>Drug addiction is a chronic brain disease characterised by a compulsion to seek drugs, a loss of control with respect to drug consumption and negative emotional states, including increased anxiety and irritability during withdrawal. Central vasopressin (AVP) and its receptors are involved in controlling social behaviour, anxiety and reward, all of which are altered by drugs of abuse. Hypothalamic AVP neurones influence the stress response by modulating the hypothalamic-pituitary-adrenal (HPA) axis. The extrahypothalamic AVP system, however, is commonly associated with social recognition, motivational and anxiety responses. The specific relationship between AVP and drugs of abuse has been rarely reviewed. Here, we provide an overview of the interaction between the brain AVP system and psychostimulants and alcohol. We focus on the effects of alcohol and psychostimulants on AVP regulation of the HPA axis, their effect on the brain AVP system and their behavioural implications, the influence of the AVP system on addictive behaviours, and the organisational effects of AVP on the brain and consequently on behaviour. In addition, we highlight clinical studies on the relationship between the AVP system and drug addiction. Finally, we discuss the data aiming to address areas that need further research with respect to supporting clinical trials and preventing drug-related disorders.</t>
  </si>
  <si>
    <t>Godino, Andrea/F-6255-2012</t>
  </si>
  <si>
    <t>Renard, Georgina Maria/0000-0002-5439-7547</t>
  </si>
  <si>
    <t>0953-8194</t>
  </si>
  <si>
    <t>1365-2826</t>
  </si>
  <si>
    <t>AUG</t>
  </si>
  <si>
    <t>e12611</t>
  </si>
  <si>
    <t>10.1111/jne.12611</t>
  </si>
  <si>
    <t>WOS:000441752000012</t>
  </si>
  <si>
    <t>Riquelme, N; Herrera, ML; Matiacevich, S</t>
  </si>
  <si>
    <t>Riquelme, Natalia; Lidia Herrera, Maria; Matiacevich, Silvia</t>
  </si>
  <si>
    <t>Active films based on alginate containing lemongrass essential oil encapsulated: Effect of process and storage conditions</t>
  </si>
  <si>
    <t>FOOD AND BIOPRODUCTS PROCESSING</t>
  </si>
  <si>
    <t>Antimicrobial active films are studied to increase fresh food shelf life. The aim of this study was to evaluate the effect of process and storage conditions on physical properties and antimicrobial activity of alginate-based films with encapsulated lemongrass essential oil. Films were obtained from film forming emulsions with different droplet sizes (2.9 +/- 0.2 pm and 0.43 +/- 0.02 p.m), containing 1%w/w alginate, 1%w/w sorbitol, 0.75%w/w-1.35%w/w sodium caseinate, 0.5%w/v lemongrass essential oil and 0.02%w/w calcium carbonate. Each film was characterized by physical properties and antimicrobial activity against Escherichia coli and Botrytis cinerea. Films were evaluated in different storage conditions (75%RH, 4 degrees C; 75%RH, 20 degrees C; 11%RH, 4 degrees C; 11%RH, 20 degrees C). Droplet sizes of film forming emulsions affected significantly the physical properties and antimicrobial activity of films, being more effective large droplet size. Particularly, high concentration of sodium caseinate affected optical properties of films. Moreover, storage conditions affected antimicrobial activity of films. The greatest inhibition of microbial growth was observed at 4 degrees C, reaching the highest percentages, after 15 days of storage, demonstrating the release of the active agent in a prolonged manner. In conclusion, differences in sustained release of the antimicrobial depended mainly on the processing and storage conditions of active film. (C) 2017 Institution of Chemical Engineers. Published by Elsevier B.V. All rights reserved.</t>
  </si>
  <si>
    <t>Riquelme Hinojosa, Natalia Andrea/0000-0003-3490-1045</t>
  </si>
  <si>
    <t>0960-3085</t>
  </si>
  <si>
    <t>1744-3571</t>
  </si>
  <si>
    <t>10.1016/j.fbp.2017.05.005</t>
  </si>
  <si>
    <t>WOS:000405765900010</t>
  </si>
  <si>
    <t>Herrera, F; Spano, FC</t>
  </si>
  <si>
    <t>Herrera, Felipe; Spano, Frank C.</t>
  </si>
  <si>
    <t>Absorption and photoluminescence in organic cavity QED</t>
  </si>
  <si>
    <t>PHYSICAL REVIEW A</t>
  </si>
  <si>
    <t>Organicmicrocavities can be engineered to reach exotic quantum regimes of strong and ultrastrong light-matter coupling. However, the microscopic interpretation of their spectroscopic signals can be challenging due to the competition between coherent and dissipative processes involving electrons, vibrations, and cavity photons. We develop here a theoretical framework based on the Holstein-Tavis-Cummings model and a Markovian treatment of dissipation to account for previously unexplained spectroscopic features of organic microcavities consistently. We identify conditions for the formation of dark vibronic polaritons, a class of light-matter excitations that are not visible in absorption but lead to strong photoluminescence lines. We show that photon leakage from dark vibronic polaritons can be responsible for enhancing photoluminescence at the lower polariton frequency, and also can explain the apparent breakdown of reciprocity between absorption and emission in the vicinity of the bare molecular transition frequency. Successful comparison with experimental data demonstrates the applicability of our theory.</t>
  </si>
  <si>
    <t>Herrera, Felipe/KHD-8453-2024</t>
  </si>
  <si>
    <t>2469-9926</t>
  </si>
  <si>
    <t>2469-9934</t>
  </si>
  <si>
    <t>MAY 30</t>
  </si>
  <si>
    <t>WOS:000402463200021</t>
  </si>
  <si>
    <t>Kumaresan, A; Liberona, D; Gnanamurthy, RK</t>
  </si>
  <si>
    <t>Uden, L; Lu, W; Ting, IH</t>
  </si>
  <si>
    <t>Kumaresan, Aravind; Liberona, Dario; Gnanamurthy, R. K.</t>
  </si>
  <si>
    <t>A Case Study on API-Centric Big Data Architecture</t>
  </si>
  <si>
    <t>KNOWLEDGE MANAGEMENT IN ORGANIZATIONS (KMO 2017)</t>
  </si>
  <si>
    <t>Communications in Computer and Information Science</t>
  </si>
  <si>
    <t>12th International Conference on Knowledge Management in Organizations (KMO) - Emerging Technology</t>
  </si>
  <si>
    <t>AUG 14-21, 2017</t>
  </si>
  <si>
    <t>Beijing Jiaotong Univ, Beijing, PEOPLES R CHINA</t>
  </si>
  <si>
    <t>Beijing Jiaotong Univ</t>
  </si>
  <si>
    <t>The digital transformation trend is a significant key factor in driving innovations in today's world. As a result the leaders of organizations are constantly under pressure to introduce a cost effective, performance enhanced big data systems to stay competitive. Organizations must run mission critical systems in a stable and secure ways at the same time they have to respond at pace with an ever changing customer expectations. Thus, an ability to scale the business operations to meet the demands from web apps, mobile apps, operational systems and big data analytical tools etc., are crucial. Integration patterns are at the heart of connecting the various systems in organizations for decades but now the industry is focusing more on API-centric approach as an alternate to that. API-centric software enables the component to solve a well detailed problem. So, the other programs can be built upon the existing functionalities of an API. This case study demonstrates the various available approach options to develop an API-centric Big Data system. It also explains the opportunities and challenges in various approaches. Among the various approaches the case study mainly focuses on utilizing the power of API building software Apigee and Azure cloud technologies to build the API-centric big data trading system for an asset management firm based in London, UK.</t>
  </si>
  <si>
    <t>GNANAMURTHY, RAMASAMY KANNAN/JDD-1162-2023</t>
  </si>
  <si>
    <t>GNANAMURTHY, RAMASAMY KANNAN/0009-0001-3289-530X</t>
  </si>
  <si>
    <t>1865-0929</t>
  </si>
  <si>
    <t>1865-0937</t>
  </si>
  <si>
    <t>978-3-319-62698-7; 978-3-319-62697-0</t>
  </si>
  <si>
    <t>10.1007/978-3-319-62698-7_38</t>
  </si>
  <si>
    <t>WOS:000451588800038</t>
  </si>
  <si>
    <t>Zapata, PA; Larrea, M; Tamayo, L; Rabagliati, FM; Azócar, MI; Páez, M</t>
  </si>
  <si>
    <t>Zapata, Paula A.; Larrea, Maialen; Tamayo, Laura; Rabagliati, Franco M.; Ignacio Azocar, M.; Paez, Maritza</t>
  </si>
  <si>
    <t>Polyethylene/silver-nanofiber composites: A material for antibacterial films</t>
  </si>
  <si>
    <t>MATERIALS SCIENCE &amp; ENGINEERING C-MATERIALS FOR BIOLOGICAL APPLICATIONS</t>
  </si>
  <si>
    <t>Silver nanofibers (Ag-Nfbs) similar to 80 nm in diameter were synthesized by hydrothermal treatment The nanofibers (3 and 5 wt%) were added in the initial feed together with the catalytic system. Polymerizations in an ethylene atmosphere were performed, yielding PE nanocomposites in situ with 3 and 5 wf% content of Ag-Nfbs. The antibacterial effect of the silver-nanofiber composites was evaluated after incubation of Escherichia coli ATCC 25923 for 8 h on their surface. Bacterial viability tests showed that the silver-nanofiber composites inhibited the growth of Escherichia coli ATCC 25923 by 88 and 56%. This behavior is attributed to increased silver ions release from the nanocomposite. TEM analysis showed that the antibacterial effect is associated with membrane disruption but not with changes in shape. (C) 2016 Elsevier B.V. All rights reserved.</t>
  </si>
  <si>
    <t>Tamayo, Laura/I-8942-2018; Paez, Maritza/M-2010-2014; Azocar, Manuel/I-1226-2013</t>
  </si>
  <si>
    <t>paez, maritza/0000-0001-5881-884X; Zapata, Paula Andrea/0000-0003-3361-6226; Tamayo, Laura/0000-0003-1159-5305; Azocar Guzman, Manuel/0000-0003-1098-4659</t>
  </si>
  <si>
    <t>0928-4931</t>
  </si>
  <si>
    <t>1873-0191</t>
  </si>
  <si>
    <t>DEC 1</t>
  </si>
  <si>
    <t>10.1016/j.msec.2016.08.039</t>
  </si>
  <si>
    <t>WOS:000383930900147</t>
  </si>
  <si>
    <t>EXISTENCE, REGULARITY AND REPRESENTATION OF SOLUTIONS OF TIME FRACTIONAL DIFFUSION EQUATIONS</t>
  </si>
  <si>
    <t>ADVANCES IN DIFFERENTIAL EQUATIONS</t>
  </si>
  <si>
    <t>Using regularized resolvent families, we investigate the solvability of the fractional order inhomogeneous Cauchy problem D(t)(alpha)u(t) = Au(t) + f(t), t &gt; 0, 0 &lt; alpha &lt;= 1, where D-t(alpha) is the Caputo fractional derivative of order alpha, A a closed linear operator on some Banach space X, f : [0, infinity) -&gt; X is a given function. We define an operator family associated with this problem and study its regularity properties. When A is the generator of a beta-times integrated semigroup (T-beta(t)) on a Banach space X, explicit representations of mild and classical solutions of the above problem in terms of the integrated semigroup are derived. The results are applied to the fractional diffusion equation with non-homogeneous, Dirichlet, Neumann and Robin boundary conditions and to the time fractional order Schrodinger equation D(t)(alpha)u(t, x) = e(i theta) Delta(p)u(t, x) + f(t,x), t &gt; 0, x is an element of R-N where pi/2 &lt;= theta &lt; (1 - alpha/2)pi and Delta(p) is a realization of the Laplace operator on L-p(R-N), 1 &lt;= p &lt; infinity.</t>
  </si>
  <si>
    <t>1079-9389</t>
  </si>
  <si>
    <t>SEP-OCT</t>
  </si>
  <si>
    <t>9-10</t>
  </si>
  <si>
    <t>WOS:000394480300002</t>
  </si>
  <si>
    <t>Aravena, D; Venegas-Yazigi, D; Ruiz, E</t>
  </si>
  <si>
    <t>Aravena, Daniel; Venegas-Yazigi, Diego; Ruiz, Eliseo</t>
  </si>
  <si>
    <t>Single-Molecule Magnet Properties of Transition-Metal Ions Encapsulated in Lacunary Polyoxometalates: A Theoretical Study</t>
  </si>
  <si>
    <t>Single-molecule magnet (SMM) properties of transition-metal complexes coordinated to lacunary polyoxo-metalates (POM) are studied by means of state of the art ab initio methodology. Three [M(gamma-SiW10O36)(2)] (M =Mn-III Fe-III, Co-II) complexes synthesized by Sato et al. (Chem. Commun. 2015, 51, 4081-4084) are analyzed in detail. SMM properties for the Coll and Mninnsystems can be rationalized due to the presence of low-energy excitations in the case of Co-II, which are much higher in energy in the case of Mn-II. The magnetic behavior of both cases is consistent with simple d-orbital splitting considerations. The case of the Fe-III complex is special, as it presents a sizable demagnetization barrier for a high-spin d(5) configuration, which should be magnetically isotropic. We conclude that a plausible explanation for this behavior is related to the presence of low-lying quartet and doublet states from the iron(III) center. This scenario is supported by ab initio ligand field analysis based on complete active space self-consistent field results, which picture a d-orbital splitting that resembles more a square-planar geometry than an octahedral one, stabilizing lower multiplicity states. This coordination environment is sustained by the rigidity of the POM ligand, which imposes a longer axial bond distance to the inner oxygen atom in comparison to the more external, equatorial donor atoms.</t>
  </si>
  <si>
    <t>Ruiz, Eliseo/A-6268-2011; Aravena, Daniel/F-2174-2011; Venegas-Yazigi, Diego/C-5022-2009</t>
  </si>
  <si>
    <t>Ruiz, Eliseo/0000-0001-9097-8499; Aravena, Daniel/0000-0003-3140-4852; Venegas-Yazigi, Diego/0000-0001-7816-2841</t>
  </si>
  <si>
    <t>JUL 4</t>
  </si>
  <si>
    <t>10.1021/acs.inorgchem.6b00145</t>
  </si>
  <si>
    <t>WOS:000379455900010</t>
  </si>
  <si>
    <t>Borguesan, B; Silva, MBE; Grisci, B; Inostroza-Ponta, M; Dorn, M</t>
  </si>
  <si>
    <t>Borguesan, Bruno; Barbachan e Silva, Mariel; Grisci, Bruno; Inostroza-Ponta, Mario; Dorn, Marti</t>
  </si>
  <si>
    <t>APL: An angle probability list to improve knowledge-based metaheuristics for the three-dimensional protein structure prediction</t>
  </si>
  <si>
    <t>COMPUTATIONAL BIOLOGY AND CHEMISTRY</t>
  </si>
  <si>
    <t>Tertiary protein structure prediction is one of the most challenging problems in structural bioinformatics. Despite the advances in algorithm development and computational strategies, predicting the folded structure of a protein only from its amino acid sequence remains as an unsolved problem. We present a new computational approach to predict the native-like three-dimensional structure of proteins. Conformational preferences of amino acid residues and secondary structure information were obtained from protein templates stored in the Protein Data Bank and represented as an Angle Probability List. Two knowledge-based prediction methods based on Genetic Algorithms and Particle Swarm Optimization were developed using this information. The proposed method has been tested with twenty-six case studies selected to validate our approach with different classes of proteins and folding patterns. Stereochemical and structural analysis were performed for each predicted three-dimensional Structure. Results achieved suggest that the Angle Probability List can improve the effectiveness of metaheuristics used to predicted the three-dimensional structure of protein molecules by reducing its conformational search space. (C) 2015 Elsevier Ltd. All rights reserved.</t>
  </si>
  <si>
    <t>Dorn, Marcio/D-3696-2009; Iochins Grisci, Bruno/O-2697-2018; Barbachan e Silva, Mariel/K-5464-2013</t>
  </si>
  <si>
    <t>Dorn, Marcio/0000-0001-8534-3480; Borguesan, Bruno/0000-0001-9325-5253; Iochins Grisci, Bruno/0000-0003-4083-5881; Inostroza-Ponta, Mario/0000-0003-1295-8972; Barbachan e Silva, Mariel/0000-0003-1808-8939</t>
  </si>
  <si>
    <t>1476-9271</t>
  </si>
  <si>
    <t>1476-928X</t>
  </si>
  <si>
    <t>A</t>
  </si>
  <si>
    <t>10.1016/j.compbiolchem.2015.08.006</t>
  </si>
  <si>
    <t>WOS:000367633900017</t>
  </si>
  <si>
    <t>Huidobro-Toro, JP; Donoso, V; Flores, V; Santelices, B</t>
  </si>
  <si>
    <t>Huidobro-Toro, Juan P.; Donoso, Veronica; Flores, Veronica; Santelices, Bernabe</t>
  </si>
  <si>
    <t>ATP AND RELATED PURINES STIMULATE MOTILITY, SPATIAL CONGREGATION, AND COALESCENCE IN RED ALGAL SPORES</t>
  </si>
  <si>
    <t>JOURNAL OF PHYCOLOGY</t>
  </si>
  <si>
    <t>Adenosine 5'-triphosphate (ATP) is a versatile extracellular signal along the tree of life, whereas cAMP plays a major role in vertebrates as an intracellular messenger for hormones, transmitters, tastants, and odorants. Since red algal spore coalescence may be considered analogous to the congregation process of social amoeba, which is stimulated by cAMP, we ascertained whether exogenous applications of ATP, cAMP, adenine, or adenosine modified spore survival and motility, spore settlement and coalescence. Concentration-response studies were performed with carpospores of Mazzaella laminarioides (Gigartinales), incubated with and without added purines. Stirring of algal blades released ADP/ATP to the cell media in a time-dependent manner. 10-300 mu M ATP significantly increased spore survival; however, 1,500 mu M ATP, cAMP or adenine induced 100% mortality within less than 24 h; the exception was adenosine, which up to 3,000 mu M, did not alter spore survival. ATP exposure elicited spore movement with speeds of 2.2-2.5 mu m . s(-1). 14 d after 1,000 mu M ATP addition, spore abundance in the central zone of the plaques was increased 2.7-fold as compared with parallel controls. Likewise, 1-10 mu M cAMP or 30-100 mu M adenine also increased central zone spore abundance, albeit these purines were less efficacious than ATP; adenosine up to 3,000 lM did not influence settlement. Moreover, 1,000 lM ATP markedly accelerated coalescence, the other purines caused a variable effect. We conclude that exogenous cAMP, adenine, but particularly ATP, markedly influence red algal spore physiology; effects are compatible with the expression of one or more membrane purinoceptor(s), discarding adenosine receptor participation.</t>
  </si>
  <si>
    <t>0022-3646</t>
  </si>
  <si>
    <t>1529-8817</t>
  </si>
  <si>
    <t>10.1111/jpy.12278</t>
  </si>
  <si>
    <t>WOS:000352617500005</t>
  </si>
  <si>
    <t>Olivares-Faúndez, VE; Gil-Monte, PR; Figueiredo-Ferraz, H</t>
  </si>
  <si>
    <t>Olivares-Faundez, Victor E.; Gil-Monte, Pedro R.; Figueiredo-Ferraz, Hugo</t>
  </si>
  <si>
    <t>The mediating role of feelings of guilt in the relationship between burnout and the consumption of tobacco and alcohol</t>
  </si>
  <si>
    <t>JAPANESE PSYCHOLOGICAL RESEARCH</t>
  </si>
  <si>
    <t>Earlier studies have shown that feelings of guilt appear to be involved in the burnout process. However, the exact nature of the relationship between burnout, feelings of guilt, and tobacco and alcohol use is unclear. The purpose of this study was to analyze the role of feelings of guilt in the relationship between burnout and the consumption of tobacco and alcohol. Role conflict, Role clarity, and Feedback were included as predictors of burnout. The sample of this cross-sectional study consisted of 260 Chilean administration and customer service workers. Hypotheses were tested using a path model. The hypothesized model (i.e., Indolence to guilt to tobacco/alcohol use) showed an adequate data fit, including a mediator role of feelings of guilt in the relationship between burnout and alcohol use. The results of this study recommending taking into consideration the evaluation of feelings of guilt as a symptom of burnout in order to develop a more reliable diagnosis of burnout syndrome and its consequences.</t>
  </si>
  <si>
    <t>Gil-Monte, Pedro R./C-7109-2008; Figueiredo-Ferraz, Hugo/D-2759-2011</t>
  </si>
  <si>
    <t>Gil-Monte, Pedro R./0000-0002-2827-2388; Figueiredo-Ferraz, Hugo/0000-0001-8176-7016; Olivares-Faundez, Victor/0000-0001-8884-6884</t>
  </si>
  <si>
    <t>0021-5368</t>
  </si>
  <si>
    <t>1468-5884</t>
  </si>
  <si>
    <t>10.1111/jpr.12058</t>
  </si>
  <si>
    <t>WOS:000345256700005</t>
  </si>
  <si>
    <t>Molina, GC; Cayo, CH; Rodrigues, MAS; Bernardes, AM</t>
  </si>
  <si>
    <t>Cifuentes Molina, Gerardo; Herrera Cayo, Carmen; Siqueira Rodrigues, Marco Antonio; Bernardes, Andrea Moura</t>
  </si>
  <si>
    <t>Sodium isopropyl xanthate degradation by advanced oxidation processes</t>
  </si>
  <si>
    <t>MINERALS ENGINEERING</t>
  </si>
  <si>
    <t>This paper presents the results obtained by different oxidative processes when an aqueous solution containing sodium isopropyl xanthate is treated; this reagent is used in the flotation of copper minerals. The advanced oxidation processes used are UV photolysis, direct electrolysis and photoelectrooxidation. The solutions used containing sodium isopropyl xanthate were adjusted to the following concentrations: 6, 8, 10, 25 and 40 mg L-1. The results show that the three oxidation processes proved to be suitable for the destruction of xanthate, with the following maximum destruction efficiencies: 76% for electrolysis, 95% for UV photolysis and 99% for photoelectrooxidation. (C) 2012 Elsevier Ltd. All rights reserved.</t>
  </si>
  <si>
    <t>Rodrigues, Marco Antonio Siqueira/B-2640-2010; Moura Bernardes, Andrea/F-7504-2012</t>
  </si>
  <si>
    <t>Rodrigues, Marco Antonio Siqueira/0000-0002-9495-4504; Cifuentes, Gerardo/0000-0002-9543-1625; Moura Bernardes, Andrea/0000-0001-7687-0908</t>
  </si>
  <si>
    <t>0892-6875</t>
  </si>
  <si>
    <t>10.1016/j.mineng.2012.12.001</t>
  </si>
  <si>
    <t>WOS:000319632200014</t>
  </si>
  <si>
    <t>Renshaw, MA; Portnoy, DS; Vidal, R; Gold, JR</t>
  </si>
  <si>
    <t>Renshaw, Mark A.; Portnoy, David S.; Vidal, Rodrigo; Gold, John R.</t>
  </si>
  <si>
    <t>Isolation and characterization of microsatellite markers in the southern hake, Merluccius australis</t>
  </si>
  <si>
    <t>CONSERVATION GENETICS RESOURCES</t>
  </si>
  <si>
    <t>Twenty-six nuclear-encoded microsatellites were isolated from an enriched genomic library of southern hake, Merluccius australis, and characterized in 30 individuals. The microsatellites include 18 dinucleotide repeats, seven trinucleotide repeats (two imperfect), and one pentanucleotide repeat. Southern hake support important industrial and artisanal fisheries in Chile, Argentina, and New Zealand.</t>
  </si>
  <si>
    <t>1877-7252</t>
  </si>
  <si>
    <t>1877-7260</t>
  </si>
  <si>
    <t>10.1007/s12686-010-9298-y</t>
  </si>
  <si>
    <t>WOS:000290438500023</t>
  </si>
  <si>
    <t>Pailla, A; Trindade, AR; Parada, V; Ochi, LS</t>
  </si>
  <si>
    <t>Pailla, Andres; Trindade, Athila R.; Parada, Victor; Ochi, Luiz S.</t>
  </si>
  <si>
    <t>A numerical comparison between simulated annealing and evolutionary approaches to the cell formation problem</t>
  </si>
  <si>
    <t>EXPERT SYSTEMS WITH APPLICATIONS</t>
  </si>
  <si>
    <t>The cell formation problem is a crucial component of a cell production design in a manufacturing system. This problem consists of a set of product parts to be manufactured in a group of machines. The objective is to build manufacturing clusters by associating part families with machine cells, with the aim of minimizing the inter-cellular movements of parts by grouping efficacy measures. We present two approaches to solve the cell formation problem. First, we present an evolutionary algorithm that improves the efficiency of the standard genetic algorithm by considering cooperation with a local search around some of the solutions it visits. Second, we present an approach based on simulated annealing that uses the same representation scheme of a feasible solution. To evaluate the performance of both algorithms, we used a known set of CFP instances. We compared the results of both algorithms with the results of five other algorithms from the literature. In eight out of 36 instances we considered, the evolutionary method outperformed the previous results of other evolutionary algorithms, and in 26 instances it found the same best solutions. On the other hand, simulated annealing not only found the best previously known solutions, but it also found better solutions than existing ones for various problems. (C) 2010 Elsevier Ltd. All rights reserved.</t>
  </si>
  <si>
    <t>Parada, Victor/M-5840-2014</t>
  </si>
  <si>
    <t>Ochi, Luiz Satoru/0000-0002-5007-4513</t>
  </si>
  <si>
    <t>0957-4174</t>
  </si>
  <si>
    <t>1873-6793</t>
  </si>
  <si>
    <t>10.1016/j.eswa.2010.02.064</t>
  </si>
  <si>
    <t>WOS:000277726300088</t>
  </si>
  <si>
    <t>Tanter, É; Toledo, R; Pothier, G; Noyé, J</t>
  </si>
  <si>
    <t>Tanter, Eric; Toledo, Rodolfo; Pothier, Guillaume; Noye, Jacques</t>
  </si>
  <si>
    <t>Flexible metaprogramming and AOP in Java</t>
  </si>
  <si>
    <t>SCIENCE OF COMPUTER PROGRAMMING</t>
  </si>
  <si>
    <t>International Workshop on Advanced Software Development Tools and Techniques</t>
  </si>
  <si>
    <t>JUL, 2008</t>
  </si>
  <si>
    <t>Paphos, CYPRUS</t>
  </si>
  <si>
    <t>Advanced programming techniques such as metaprogramming and computational reflection, as well as the more recent paradigm of aspect-oriented programming (AOP), serve important objectives of software engineering such as modularization and adaptability. In this tool presentation paper, we briefly overview this area and present Reflex, a portable tool for flexible metaprogramming and AOP in Java. Reflex provides both structural and behavioral facilities adopting a uniform model of partial reflection. This allows selective and fine-grained control of where and when reflection occurs. The facilities of Reflex make it easy to experiment with (combinations oo advanced uses of AOP and reflection without reinventing the wheel or being limited to a specific AOP language. (c) 2008 Elsevier B.V. All rights reserved.</t>
  </si>
  <si>
    <t>Tanter, Eric/A-7955-2008</t>
  </si>
  <si>
    <t>Tanter, Eric/0000-0002-7359-890X</t>
  </si>
  <si>
    <t>0167-6423</t>
  </si>
  <si>
    <t>1872-7964</t>
  </si>
  <si>
    <t>JUN 1</t>
  </si>
  <si>
    <t>10.1016/j.scico.2007.10.005</t>
  </si>
  <si>
    <t>WOS:000257912800003</t>
  </si>
  <si>
    <t>Parada-Bustamante, A; Orihuela, PA; Ríos, M; Navarrete-Gómez, PA; Cuevas, CA; Velasquez, LA; Villalón, MJ; Croxatto, HB</t>
  </si>
  <si>
    <t>Parada-Bustamante, Alexis; Orihuela, Pedro A.; Rios, Mariana; Navarrete-Gomez, Patricia A.; Cuevas, Catherina A.; Velasquez, Luis A.; Villalon, Manuel J.; Croxatto, Horacio B.</t>
  </si>
  <si>
    <t>Catechol-O-methyltransferase and methoxyestradiols participate in the intraoviductal nongenomic pathway through which estradiol accelerates egg transport in cycling rats</t>
  </si>
  <si>
    <t>BIOLOGY OF REPRODUCTION</t>
  </si>
  <si>
    <t>Estradiol (E-2) accelerates oviductal egg transport through intraoviductal nongenomic pathways in cyclic rats and through genomic pathways in pregnant rats. This shift in pathways, which we have provisionally designated as intracellular path shifting (IPS), is caused by mating-associated signals and represents a novel and hitherto unrecognized phenomenon. The mechanism underlying IPS is currently under investigation. Using microarray analysis, we identified several genes the expression levels of which changed in the rat oviduct within 6 hours of mating. Among these genes, the mRNA level for the enzyme catechol-O-methyltransferase (COMT), which produces methoxyestradiols from hydroxyestradiols, decreased 6-fold, as confirmed by real-time PCR. O-methylation of 2-hydroxyestradiol was up to 4-fold higher in oviductal protein extracts from cyclic rats than from pregnant rats and was blocked by OR486, which is a selective inhibitor of COMT. The levels in the rat oviduct of mRNA and protein for cytochrome P450 isoforms 1A1 and 1B1, which form hydroxyestradiols, were detected by RT-PCR and Western blotting. We explored whether methoxyestradiols participate in the pathways involved in E-2-accelerated egg transport. Intrabursal application of OR486 prevented E-2 from accelerating egg transport in cyclic rats but not in pregnant rats, whereas 2-methoxyestradiol (2ME) and 4-methoxyestradiol mimicked the effect of E-2 on egg transport in cyclic rats but not in pregnant rats. The effect of 2ME on egg transport was blocked by intrabursal administration of the protein kinase inhibitor H-89 or the antiestrogen ICI 182780, but not by actinomycin D or OR486. We conclude that in the absence of mating, COMT-mediated formation of methoxyestradiols in the oviduct is essential for the nongenomic pathway through which E-2 accelerates egg transport in the rat oviduct. Yet unidentified mating-associated signals, which act directly on oviductal cells, shut down the E-2 nongenomic signaling pathway upstream and downstream of methoxyestradiols. These findings highlight a physiological role for methoxyestradiols in the female genital tract, thereby confirming the occurrence of and providing a partial explanation for the mechanism underlying IPS.</t>
  </si>
  <si>
    <t>Parada-Bustamante, Alexis/I-1127-2013</t>
  </si>
  <si>
    <t>Parada Bustamante, Alexis/0000-0002-3240-4961; Cuevas, Catherina/0000-0002-6511-4020; Velasquez, Luis/0000-0002-9479-1792</t>
  </si>
  <si>
    <t>0006-3363</t>
  </si>
  <si>
    <t>10.1095/biolreprod.107.061622</t>
  </si>
  <si>
    <t>WOS:000251217000004</t>
  </si>
  <si>
    <t>Acuña-Castillo, C; Coddou, C; Bull, P; Brito, J; Huidobro-Toro, JP</t>
  </si>
  <si>
    <t>Acuna-Castillo, Claudio; Coddou, Claudio; Bull, Paulina; Brito, Jocelyn; Huidobro-Toro, J. Pablo</t>
  </si>
  <si>
    <t>Differential role of extracellular histidines in copper, zinc, magnesium and proton modulation of the P2X7 purinergic receptor</t>
  </si>
  <si>
    <t>JOURNAL OF NEUROCHEMISTRY</t>
  </si>
  <si>
    <t>The P2X(7) receptor is a non-selective cationic channel activated by extracellular ATP, belonging to the P2X receptor family. To assess the role of extracellular histidines on the allosteric modulation of the rat P2X(7) receptor by divalent metals (copper, zinc and magnesium) and protons, these amino acid residues were singly substituted for corresponding alanines. Wild-type and mutated receptors were injected to Xenopus laevis oocytes; metal-related effects were evaluated by the two-electrode voltage-clamp technique. Copper inhibited the ATP-gated currents with a median inhibitory concentration of 4.4 +/- 1.0 mu mol/L. The inhibition was non-competitive and time-dependent; copper was 60-fold more potent than zinc. The mutant H267A, resulted in a copper resistant receptor; mutants H201A and H130A were less sensitive to copper inhibition (p &lt; 0.05). The rest of the mutants examined, H62A, H85A, and H219A, conserved the copper-induced inhibition. Only mutants H267A and H219A were less sensitive to the modulator action of zinc. Moreover, the magnesium-induced inhibition was abolished exclusively on the H130A and H201A mutants, suggesting that this metal may act at a novel cationic modulator site. Media acidification inhibited the ATP-gated current 87 +/- 3%; out of the six mutants examined, only H130A was significantly less sensitive to the change in pH, suggesting that His-130 could be involved as a pH sensor. In conclusion, while His-267 is critically involved in the copper or zinc allosteric modulation, the magnesium inhibitory effects is related to His-130 and His-201, His-130 is involved in proton sensing, highlighting the role of defined extracellular histidines in rat P2X(7) receptor allosteric modulation.</t>
  </si>
  <si>
    <t>Acuña-Castillo, Claudio/AAI-7090-2021; Brito-Echeverria, Jocelyn/I-5790-2013</t>
  </si>
  <si>
    <t>Coddou, Claudio/0000-0002-5297-3694; Acuna-Castillo, Claudio/0000-0003-3607-6077; Brito-Echeverria, Jocelyn/0000-0002-4565-3297</t>
  </si>
  <si>
    <t>0022-3042</t>
  </si>
  <si>
    <t>1471-4159</t>
  </si>
  <si>
    <t>10.1111/j.1471-4159.2006.04343.x</t>
  </si>
  <si>
    <t>WOS:000244885600003</t>
  </si>
  <si>
    <t>López-Alarcón, C; Aspée, A; Lissi, E</t>
  </si>
  <si>
    <t>Lopez-Alarcon, Camilo; Aspee, Alexis; Lissi, Eduardo</t>
  </si>
  <si>
    <t>Competitive kinetics in free radical reactions of cinnamic acid derivatives.: Influence of phenoxyl radicals reactions</t>
  </si>
  <si>
    <t>FREE RADICAL RESEARCH</t>
  </si>
  <si>
    <t>Relative rates of consumption of caffeic, ferulic and sinapic acids by 2,2'-azobis(2-amidine propane) derived peroxyl radicals has been measured in parallel experiments employing a single substrate and in competitive experiments. Rates of consumption\measured in independent experiments at low substrate concentrations (first order limit) follow the order: sinapic &gt; ferulic &gt; caffeic. In agreement with this, in competitive experiments employing simultaneously sinapic and caffeic acid the former compound is consumed considerably faster. On the other hand, in competitive experiments employing ferulic and caffeic acids over a wide range of experimental conditions, caffeic acid isconsumed considerably faster than ferulic acid, a result that contrasts with that obtained when both compounds are reacted independently. These apparently anomalous results are interpreted in terms of secondary reactions of the phenol- derived radicals. In particular, hydrogen transfer among phenoxyl radicals and the phenols and fast reactions (disproportionation) of caffeic acid derived radicals could explain these discrepancies.</t>
  </si>
  <si>
    <t>Lopez, Camilo/J-5770-2013</t>
  </si>
  <si>
    <t>Lopez, Camilo/0000-0002-0174-8972</t>
  </si>
  <si>
    <t>1071-5762</t>
  </si>
  <si>
    <t>1029-2470</t>
  </si>
  <si>
    <t>10.1080/10715760701583969</t>
  </si>
  <si>
    <t>WOS:000249958300014</t>
  </si>
  <si>
    <t>Cerda, E</t>
  </si>
  <si>
    <t>Mechanics of scars</t>
  </si>
  <si>
    <t>JOURNAL OF BIOMECHANICS</t>
  </si>
  <si>
    <t>When a wound heals, as everyone has observed, it contracts, thickens and wrinkles the neighbouring skin, forming a scar. The morphology of the scar depends on the type of wound; an urgent tracheotomy leads to a very different scar than a carefully planned face lift. The surgical challenges of intrusive procedures such as removal of skin lesions, skin transplantation or grafting, and scar removal are complicated by the complex geometry and stress states in different parts of the body. We show that, for relatively general conditions, the nature of the localisation of the scar is determined by the background tension of the skin which can arrest the formation of wrinkles around a scar. Our physical experiments to simulate this procedure indicate that the region deformed by the defect has a characteristic length scale r(*) similar to 1/root tau, where tau is the natural tension of the skin. (c) 2004 Elsevier Ltd. All rights reserved.</t>
  </si>
  <si>
    <t>0021-9290</t>
  </si>
  <si>
    <t>1873-2380</t>
  </si>
  <si>
    <t>10.1016/j.jbiomech.2004.07.026</t>
  </si>
  <si>
    <t>WOS:000230629400006</t>
  </si>
  <si>
    <t>Eugenín, J; Eyzaguirre, C</t>
  </si>
  <si>
    <t>Electrophysiological properties of rat nodose ganglion neurons co-transplanted with carotid bodies into the chick chorioallantoic membrane</t>
  </si>
  <si>
    <t>BIOLOGICAL RESEARCH</t>
  </si>
  <si>
    <t>The electrophysiological properties of nodose ganglion neurons were evaluated immediately after removing after removing nodose ganglia From young adult rats and 3 to 10 days after nodose ganglia implantation -either alone or co- implanted with carotid bodies- onto the chick chorioallantoic membrane, Implanted and co-implanted nodose neurons were less excitable than acutely recorded nodose neurons. Co-implanted neurons also showed reduced amplitudes for both action potentials and spike relative to those found in and a smaller time constant (tau) than that found in implanted acutely recorded nodose ganglion neurons neurons. In addition, no spontaneous activity was recorded from nodose ganglion neurons co-implanted with carotid bodies during 3-9 days, which suggests that functional synapses between carotid glomus cells and nodose neurons were not yet established. Results indicate the feasibility of obtaining viable nodose neurons for up to 10 days grafted onto the chick chorioallantoic membrane. where they can conserve most of their Passive and active membrane properties and also are susceptible to carotid bodies trophic influences. They also suggest that nodose neurons would need more time for the development of functional synapses when grafted with carotid body glomus cells.</t>
  </si>
  <si>
    <t>0716-9760</t>
  </si>
  <si>
    <t>WOS:000236190300003</t>
  </si>
  <si>
    <t>Navarro, P; Vargas, C; Alvarez, R; Alguacil, E</t>
  </si>
  <si>
    <t>Gold cementation with zinc powder from leaching solutions with ammonia-thiosulphate</t>
  </si>
  <si>
    <t>The cementation of gold with powder of zinc, from solutions with thiosulphate and ammonia, was studied. The variables evaluated were: thiosulphate concentration, ammonia concentration, pH, copper concentration and zinc concentration. The results have revealed the great importance of ammonia/thiosulphate relationship in this process and that the impurities presence like copper and zinc will to inhibit the cementation process.</t>
  </si>
  <si>
    <t>alguacil, francisco jose/0000-0002-0247-3384; Vargas, Cristian/0000-0002-7360-6201</t>
  </si>
  <si>
    <t>WOS:000229107100002</t>
  </si>
  <si>
    <t>Quina, FH; Lissi, EA</t>
  </si>
  <si>
    <t>Photoprocesses in microaggregates</t>
  </si>
  <si>
    <t>ACCOUNTS OF CHEMICAL RESEARCH</t>
  </si>
  <si>
    <t>Despite the potential complexity of microaggregate-containing systems, photophysical probe techniques have made important fundamental contributions to our understanding of the structure and properties of the aggregates and of the dynamics and reactivity of small molecules added to the system. By appropriate choice of the probe and quencher, one can often reduce the behavior of such microheterogeneous systems to that of a simple pseudophase system, amenable to study by steady-state fluorescence techniques. Rather general photophysical probe-based methods are now available for measuring equilibrium constants for solute incorporation and exchange selectivity coefficients for counterion binding to various types of microaggregates, including micelles, vesicles, and reverse micelles.</t>
  </si>
  <si>
    <t>Quina, Frank/H-2255-2012</t>
  </si>
  <si>
    <t>Quina, Frank/0000-0003-2981-3390</t>
  </si>
  <si>
    <t>0001-4842</t>
  </si>
  <si>
    <t>1520-4898</t>
  </si>
  <si>
    <t>10.1021/ar030152+</t>
  </si>
  <si>
    <t>WOS:000224008700007</t>
  </si>
  <si>
    <t>Valderas, C; Bertolotti, S; Previtali, CM; Encinas, MV</t>
  </si>
  <si>
    <t>Influence of the amine structure on the polymerization of methyl methacrylate photoinitiated by aromatic ketone/amine</t>
  </si>
  <si>
    <t>JOURNAL OF POLYMER SCIENCE PART A-POLYMER CHEMISTRY</t>
  </si>
  <si>
    <t>The polymerization of methyl methacrylate photoinitiated by 2-chlorothioxanthone in the presence of amines of different structures has been investigated. The photoinitiation efficiency of these systems is highly dependent on the structure of the amine. The polymerization rate increases with the amine concentration, reaching a constant value in an amine concentration range of 10-30 mM. At these amine concentrations, aliphatic hydroxyalkyl amines are more efficient photoinitiators than the corresponding alkyl-substituted compounds. Dimethylanilines with electron-acceptor substituents in the 4-position give higher polymerization rates than electron-donor-substituted anilines. The photophysics of these photoinitiation systems has been studied in the polymerization medium. These data show that the singlet and triplet excited states of thioxanthones are efficiently deactivated by the amine. Rate constants are well correlated to the oxidation potential of the amine. These studies have allowed us to simulate the dependence of the photoinitiation efficiency with the amine concentration and indicate that the active radicals are produced from the interaction of the ketone triplet with the amine. Also, photochemical studies have allowed us to establish that the dependence of the polymerization rate on structural features of amines is mainly due to differences in the fraction of produced active radicals that add to the monomer. (C) 2002 Wiley Periodicals, Inc.</t>
  </si>
  <si>
    <t>Encinas, Maria/L-9686-2014</t>
  </si>
  <si>
    <t>Valderas, Cristian/0000-0002-0261-3500</t>
  </si>
  <si>
    <t>0887-624X</t>
  </si>
  <si>
    <t>AUG 15</t>
  </si>
  <si>
    <t>10.1002/pola.10382</t>
  </si>
  <si>
    <t>WOS:000176994300018</t>
  </si>
  <si>
    <t>Pizarro, C; Furet, N; Venegas, R; Fabris, JD; Escudey, M</t>
  </si>
  <si>
    <t>Some cautions on the interpretation of Mossbauer spectra in mineralogical studies of volcanic soils</t>
  </si>
  <si>
    <t>Room temperature Mossbauer spectra of bulk Chilean soil samples derived from volcanic materials (Ultisols and Andisols) are very complex and least-squares fitting not seldom leads to many different interpretations. In most cases the presence of commonly occurring iron oxides in those soils, namely maghemite (ideal formula, gamma Fe2O3), hematite ( gamma Fe2O3) and goethite (alpha FeOOH) in Andisols, and maghemite, magnetite (Fe3O4), ferrihydrate (Fe5HO8. 4H(2)O) and/or goethite in the Ultisol can only be speculated. In the present paper we present X-ray diffraction and Mossbauer analyses of particle size fractions (soil, sand, silt and clay), which were submitted to magnetic extraction (sand fractions) and subsequently to NaOH selective chemical treatment (silt and clay fractions), in laboratory procedures which were conveniently adapted to such volcanic soil-samples. When chemically treated soil separates of Ultisol are analyzed, the presence of partially oxidized magnetite is confirmed, and the existence of hematite is also inferred. The magnetic fraction separation and chemical treatments are to be essential steps in sample preparation in the mineralogical assessment of Chilean soils derived from volcanic materials.</t>
  </si>
  <si>
    <t>Fabris, José/H-4121-2012</t>
  </si>
  <si>
    <t>Pizarro, Carmen/0000-0003-4927-5681</t>
  </si>
  <si>
    <t>WOS:000088306000011</t>
  </si>
  <si>
    <t>Avila, RE; Caballero, JV; Fuenzalida, VM; Eisele, I</t>
  </si>
  <si>
    <t>Charge transport and trapping in BaTiO3 thin films flash evaporated on Si and SiO2/Si</t>
  </si>
  <si>
    <t>THIN SOLID FILMS</t>
  </si>
  <si>
    <t>BaTiO3 (BT) thin films were prepared by flash evaporation onto p-Si and SiO2/p-Si from a Re boat at 1800 degrees C in ultra high vacuum. The films are amorphous and remain so after a thickness reduction by 10-20% upon annealing at 500 degrees C for 3 min in O-2 atmosphere. Annealing raises, also, the index of refraction by some 5% and the extinction coefficient by a factor of 2. Electron injection at the Al to BT interface of Al/BT/Si capacitors is enhanced by the Schottky effect, yielding a value of 11.2 for the dielectric constant of BT. Modeling current-time measurements yields a trap density of 10(24) m(-3), 0.82 eV below the conduction band, Capacitance-voltage curve shifts due to bias stress on Al/BT/SiO2/Si capacitors are interpreted as caused by electron injection and trapping in the BT films. Starting deposition at 170 degrees C or postdeposition annealing reduces the trap density and increases the capacitance-voltage curve shifts by bias stress, from 0.3 to over 14 V at bias stress of -10 V. (C) 1999 Elsevier Science S.A. All rights reserved.</t>
  </si>
  <si>
    <t>Fuenzalida, Victor/A-5244-2013</t>
  </si>
  <si>
    <t>Fuenzalida, Victor/0000-0002-5481-4646</t>
  </si>
  <si>
    <t>0040-6090</t>
  </si>
  <si>
    <t>JUL 6</t>
  </si>
  <si>
    <t>10.1016/S0040-6090(99)00007-3</t>
  </si>
  <si>
    <t>WOS:000081019700008</t>
  </si>
  <si>
    <t>BUSTOS, OL; REIF, W</t>
  </si>
  <si>
    <t>GRAIN REFINING OF ULTRA-PURE COPPER BY CHEMICAL ADDITIVES .3.</t>
  </si>
  <si>
    <t>METALL</t>
  </si>
  <si>
    <t>In part III, studies on the grain refining of superpure copper were carried out using melt additions of transition metal, metal borides together with Ca and Al as a function of the addition rate and casting parameters such as holding time, crucible material and the ambient-conditions. Besides, the refining efficiency of the ternary addition of Al, B and C was also investigated. Measurements of electrical conductivity and hardness provided an insight into thereby resulting effects on the physical and mechanical properties.</t>
  </si>
  <si>
    <t>0026-0746</t>
  </si>
  <si>
    <t>WOS:A1994PA88600008</t>
  </si>
  <si>
    <t>Manobanda-Lisintuña, MF; Villamar-Ayala, CA</t>
  </si>
  <si>
    <t>Manobanda-Lisintuna, Maria F.; Villamar-Ayala, Cristina A.</t>
  </si>
  <si>
    <t>Carbon and water footprints within an environmental laboratory: Water, energy, and packaging management strategies</t>
  </si>
  <si>
    <t>GREEN ANALYTICAL CHEMISTRY</t>
  </si>
  <si>
    <t>Environmental laboratories can be spaces where water, energy, and resources can be used more efficiently. The objective of this study is to evaluate the carbon and water footprints present in an environmental laboratory based on water, energy, and resource (packaging) management. To achieve this, life cycle analysis is applied (ISO 14040:2006, ISO 14044:2007) to 17 assay water (natural water/wastewater) types from an accredited environmental laboratory (ISO/IEC 17025). System boundaries correspond to cradle to gate, and 1 analyzed water sample is used as a functional unit. This study evaluates several factors baseline scenario, energy consumption reduction, 100 % renewable energy matrix, and material consumption reduction. Results show that under normal conditions the laboratory generated a carbon footprint of 10.10 kg CO2-eq/sample (82 % energy used), and a water footprint of 11.76 m3/sample (97 % indirect water). A 100 % renewable energy matrix improved laboratory environmental performance (75 % reduction carbon footprint), decreasing emissions up to 12 times (1,583 kg CO2-eq/year). Meanwhile, material consumption reduction considering the laboratory accreditation (i.e. smaller glass containers) improved the laboratory environmental performance (up to 6 % reduced water footprint), reducing direct water consumption up to 0.3 %. Although costs are not significantly affected by these scenarios, savings in energy consumption based on phantom power in equipment (which can be disconnected) can reduce the cost per water sample analyzed by 7.8 % (83 USD/year). The water and carbon footprint measuring in accredited environmental laboratories opens opportunities for the incorporation of different strategies that incorporate sustainability, and not only analytical quality (ISO 17025).</t>
  </si>
  <si>
    <t>Villamar, Cristina-Alejandra/AAB-4154-2019</t>
  </si>
  <si>
    <t>2772-5774</t>
  </si>
  <si>
    <t>10.1016/j.greeac.2025.100243</t>
  </si>
  <si>
    <t>WOS:001469395500001</t>
  </si>
  <si>
    <t>Quezada, NF; Flores-Fernández, C; Alvarez, JC</t>
  </si>
  <si>
    <t>Quezada, Natalia Ferrada; Flores-Fernandez, Cherie; Alvarez, Jessica Contreras</t>
  </si>
  <si>
    <t>Exploring the Initiatives to Incorporate Immigrant Teachers into School Systems: A Scoping Review</t>
  </si>
  <si>
    <t>SAGE OPEN</t>
  </si>
  <si>
    <t>The objective of this study is to conduct a scoping review of the literature on access and permanence initiatives for the teaching profession aimed at immigrant teachers. The guidelines from the PRISMA-Scr protocol and the Johanna Briggs Institute protocol are used for this purpose. The literature search was performed in 8 databases, selecting 27 documents published between 2006 and 2021. The results show numerous studies on immigrant teachers, but many of them focused on their experiences after having passed an access and permanence initiative, while only a few described them. Three main initiatives for immigrant teachers were found: recertification, attraction, and professional development. Recertification initiatives are the most studied initiatives. No publications made in Ibero-American countries were found. There is a need to create partnerships and networks among researchers and policy makers to support countries that do not have initiatives for immigrant teachers. In addition to injecting resources for initiatives related to the retention and professional development of immigrant teachers, to avoid the loss of valuable human resources that are in short supply.</t>
  </si>
  <si>
    <t>Flores, Cherie/AAC-6868-2020</t>
  </si>
  <si>
    <t>2158-2440</t>
  </si>
  <si>
    <t>10.1177/21582440241298870</t>
  </si>
  <si>
    <t>WOS:001375920600001</t>
  </si>
  <si>
    <t>Soto-Madrid, D; Arrau, F; Zuniga, RN; Gutierrez-Cutino, M; Matiacevich, S</t>
  </si>
  <si>
    <t>Soto-Madrid, Daniela; Arrau, Florencia; Zuniga, Rommy N.; Gutierrez-Cutino, Marlen; Matiacevich, Silvia</t>
  </si>
  <si>
    <t>Development and Characterization of a Natural Antioxidant Additive in Powder Based on Polyphenols Extracted from Agro-Industrial Wastes (Walnut Green Husk): Effect of Chickpea Protein Concentration as an Encapsulating Agent during Storage</t>
  </si>
  <si>
    <t>POLYMERS</t>
  </si>
  <si>
    <t>Developing a powder-form natural antioxidant additive involves utilizing polyphenols extracted from agro-industrial wastes (walnut green husk). This research explores chickpea proteins (CPP) as an emergent encapsulating agent to enhance the stability and shelf life of the antioxidant additive. This study aims to develop a natural antioxidant powder additive based on polyphenols obtained from walnut green husks encapsulated by chickpea protein (5%, 7.5%, and 10% w/v) to evaluate their effect under storage at relative humidities (33 and 75% RH). The physicochemical and structural properties analysis indicated that better results were obtained by increasing the protein concentration. This demonstrates the protective effect of CPP on the phenolic compounds and that it is potentially non-toxic. The results suggest that the optimal conditions for storing the antioxidant powder, focusing on antioxidant activity and powder color, involve low relative humidities (33%) and high protein concentration (10%). This research will contribute to demonstrating chickpea protein as an emerging encapsulating agent and the importance of the cytotoxic analysis of extracts obtained from agroindustrial wastes.</t>
  </si>
  <si>
    <t>Soto Madrid, Daniela Paz/GSD-5684-2022</t>
  </si>
  <si>
    <t>Zuniga, Rommy/0000-0002-4195-8085; Gutierrez Cutino, Marlen/0000-0001-6839-6353</t>
  </si>
  <si>
    <t>2073-4360</t>
  </si>
  <si>
    <t>10.3390/polym16060777</t>
  </si>
  <si>
    <t>WOS:001192958300001</t>
  </si>
  <si>
    <t>Hoffman-Martins, SE; do Carmo, NCC; Andrade, RMR; Ribeiro, LP</t>
  </si>
  <si>
    <t>Hoffman-Martins, Sandra Emilia; do Carmo, Nayara Cristine Carneiro; Andrade, Rodrigo Miguel Rojas; Ribeiro, Luiz Paulo</t>
  </si>
  <si>
    <t>Educaci?n en contextos rurales en tiempos de pandemia. Relatos Brasil-Argentina</t>
  </si>
  <si>
    <t>REVISTA IBEROAMERICANA DE EDUCACION</t>
  </si>
  <si>
    <t>Santiago (USACH), Resumen. Este articulo tiene como objetivo describir y visibilizar las intervenciones realizadas por docentes para dar continuidad a las clases de aulas rurales durante la pandemia de la covid-19 en dos regiones de America Latina. Durante los meses de mayo y junio del ano 2020 se aplico un estudio de casos multiples en el estado de Minas Gerais (Brasil) y la provincia de Misiones (Argentina). Se entrevistaron 20 docentes y se utilizo el analisis de contenido categorico para procesar los relatos. Los hallazgos permitieron conocer tanto las dificultades presentes en las aulas rurales como la ineficacia y falta de especificidad territorial de las politicas educativas implementadas durante la pandemia. Por ultimo, los relatos de las y los docentes sirven de archivo historico al cual se puede volver y utilizar como guia para futuras intervenciones. Palabras clave: educacion rural; pandemia; Brasil; Argentina. Educacao em contextos rurais em tempos de pandemia. Relatos Brasil-Argentina Resumo. Este artigo tem como objetivo descrever e trazer a tona as intervencoes realizadas por pro-fessores para dar continuidade as aulas em salas de aula rurais durante a pandemia de COVID-19 em duas regioes da America Latina. Durante os meses de maio e junho de 2020, foi aplicado um estudo de caso multiplo no estado de Minas Gerais (Brasil) e na provincia de Misiones (Argentina). Vinte professores foram entrevistados e a analise de conteudo categorial foi usada para processar os relatos. As descobertas permitiram conhecer tanto as dificuldades presentes nas salas de aula rurais quanto a ineficacia e falta de especificidade territorial das politicas educacionais implementadas durante a pandemia. Por ultimo, os relatos dos professores servem como um arquivo historico que pode ser retomado e utilizado como guia para futuras intervencoes. Palavras-chave: educacion rural; pandemia; Brasil; Argentina. Rural education in pandemic times. Brazil-Argentina reports Abstract. This article aims to describe and make visible the interventions carried out by teachers to provide continuity to rural classrooms during the covid-19 pandemic in two regions of Latin America. During May and June 2020, we applied a multiple case study design in Minas Gerais (Brazil) and Mi-siones (Argentina). We interviewed twenty teachers and used categorical content analysis to process the reports. The findings revealed the difficulties in rural classrooms and the ineffectiveness of the territorial specificity of the educational policies implemented during the pandemic. Finally, the teachers' reports serve as a historical archive to which we can return and use as a guide for future interventions.</t>
  </si>
  <si>
    <t>; Ribeiro, Luiz Paulo/ABC-6962-2020</t>
  </si>
  <si>
    <t>Hoffman Martins, Sandra Emilia/0000-0003-0853-6590; Ribeiro, Luiz Paulo/0000-0002-4278-7871</t>
  </si>
  <si>
    <t>1022-6508</t>
  </si>
  <si>
    <t>1681-5653</t>
  </si>
  <si>
    <t>JAN-APR</t>
  </si>
  <si>
    <t>10.35362/rie9115562</t>
  </si>
  <si>
    <t>WOS:000960966800003</t>
  </si>
  <si>
    <t>Aracena, A; Domínguez, M</t>
  </si>
  <si>
    <t>Aracena, Andres; Dominguez, Moises</t>
  </si>
  <si>
    <t>Computational Quantification of the Zwitterionic/Quinoid Ratio of Phenolate Dyes for Their Solvatochromic Prediction</t>
  </si>
  <si>
    <t>Solvatochromic dyes are utilized in various chemical and biological media as chemical sensors. Unfortunately, there is no simple way to predict the type of solvatochromism based on the structure of the dye alone, which restricts their design and synthesis. The most important family of solvatochromic sensors, pyridinium phenolate dyes, has the strongest solvatochromism. Using a natural population analysis (NPA) of the natural bond orbitals (NBO) of the phenolate group in the frontier molecular orbitals, it is possible to calculate the relative polarity of the ground state and excited state and, thus to develop a model that can predict the three types of solvatochromism observed for this family: negative, positive, and inverted. This methodology has been applied to thirteen representative examples from the literature. Our results demonstrate that the difference in the electron density of the phenolate moiety in the frontier molecular orbitals is a simple and inexpensive theoretical indicator for calculating the relative polarity of the ground and excited states of a representative library of pyridinium phenolate sensors, and thus predicting their solvatochromism. Comparing the results with the bond length alternation (BLA) and bond order alternation (BOA) indices showed that the NPA/NBO method is a better way to predict solvatochromic behavior.</t>
  </si>
  <si>
    <t>Domínguez, Moisés/P-2227-2019; Aracena, Andres/MCK-0713-2025</t>
  </si>
  <si>
    <t>Aracena, Andres/0000-0002-8367-3520</t>
  </si>
  <si>
    <t>10.3390/molecules27249023</t>
  </si>
  <si>
    <t>WOS:000933467100001</t>
  </si>
  <si>
    <t>Troncoso, N; Cancela, H; Piñeyro, P; Quezada, F; Vásquez, OC</t>
  </si>
  <si>
    <t>Troncoso, Nelson; Cancela, Hector; Pineyro, Pedro; Quezada, Franco; Vasquez, Oscar C.</t>
  </si>
  <si>
    <t>The product-mold-machine manufacturing problem</t>
  </si>
  <si>
    <t>IFAC PAPERSONLINE</t>
  </si>
  <si>
    <t>10th IFAC Triennial Conference on Manufacturing Modelling, Management and Control (MIM)</t>
  </si>
  <si>
    <t>JUN 22-24, 2022</t>
  </si>
  <si>
    <t>Nantes, FRANCE</t>
  </si>
  <si>
    <t>Int Federat Automat Control, Tech Comm 5 2 Management &amp; Control Mfg &amp; Logist,Int Federat Automat Control, Tech Comm 1 3 Discrete Event &amp; Hybrid Syst,Int Federat Automat Control, Tech Comm 3 2 Computat Intelligence Control,Int Federat Automat Control, Tech Comm 5 1 Mfg Plant Control,Int Federat Automat Control, Tech Comm 7 4 Transportat Syst,Int Federat Automat Control, Tech Comm 9 1 Econ, Business, &amp; Financial Syst</t>
  </si>
  <si>
    <t>This paper introduces the product-mold-machine manufacturing problem, which is related to the manufacturing process of tires, plastics, ceramics, and glass. Each product has its own shape and mechanical properties obtained from processing a specific mold on a machine. Each machine can process a set of molds at the same time and, hence, the processing time on a machine depends on the longest processing time among the set of molds on the machine. The objective is to find a production plan that minimizes the total number of periods needed to meet the demand of each product, considering a limited number of machines, molds, changeover times, and incompatibilities constraints. We provide a mixed integer linear programming model for the problem and propose two constructive heuristics of polynomial-time, which provide upper bounds on the optimal value and easy-to-implement feasible solutions. Numerical experiments carried out over instances based on real data show the effectiveness of the proposed approaches. Copyright (C) 2022 The Authors.</t>
  </si>
  <si>
    <t>Cancela, Hector/ACD-5880-2022</t>
  </si>
  <si>
    <t>Cancela, Hector/0000-0001-5015-0988; Vasquez, Oscar C./0000-0002-1393-4692</t>
  </si>
  <si>
    <t>2405-8963</t>
  </si>
  <si>
    <t>10.1016/j.ifacol.2022.09.522</t>
  </si>
  <si>
    <t>OCT 2022</t>
  </si>
  <si>
    <t>WOS:000881681700146</t>
  </si>
  <si>
    <t>Soto-Aguilera, S; Modak, B; Aldabaldetrecu, M; Lozano, CP; Guerrero, J; Lefimil, C; Parra, M</t>
  </si>
  <si>
    <t>Soto-Aguilera, Sarita; Modak, Brenda; Aldabaldetrecu, Maialen; Lozano, Carla P.; Guerrero, Juan; Lefimil, Claudia; Parra, Mick</t>
  </si>
  <si>
    <t>In Vitro Effect of Copper (I) Complex [Cu(NN1)2](ClO4) on Vibrio harveyi BB170 Biofilm Formation</t>
  </si>
  <si>
    <t>MICROORGANISMS</t>
  </si>
  <si>
    <t>Biofilm formation in pathogenic bacteria is an important factor of resistance to antimicrobial treatments, allowing them to survive for a long time in their hosts. In the search for new antibiofilm agents, in this work we report the activity of a copper (I) complex, [Cu(NN1)(2)]ClO4, synthesized with Cu (I) and NN1, an imine ligand 6-((quinolin-2-ylmethylene)amino)-2H-chromen-2-one, a derivate of natural compound coumarin. The antibacterial and antibiofilm capacity was evaluated in Vibrio harveyi BB170 used as model bacteria. Antibacterial activity was measured in vitro by minimal inhibitory concentration (MIC), minimal bactericidal concentration (MBC) and half-maximal inhibitory concentration (IC50) determination. Antibiofilm capacity of copper (I) complex was analyzed by different concentrations of IC50 values. The results showed that the sub-IC50 concentration, 12.6 mu g/mL of the copper (I) complex, was able to reduce biofilm formation by more than 75%, and bacterial viability was reduced by 50%. Inverted and confocal laser scanning microscopy showed that the [Cu(NN1)(2)]ClO4 complex affected the biofilm structure. Therefore, the copper (I) complex is effective as an antibiofilm compound in V. harveyi BB170.</t>
  </si>
  <si>
    <t>Lozano Moraga, Carla Paola/O-5419-2016</t>
  </si>
  <si>
    <t>Lozano Moraga, Carla Paola/0000-0002-1294-3677</t>
  </si>
  <si>
    <t>2076-2607</t>
  </si>
  <si>
    <t>10.3390/microorganisms9112273</t>
  </si>
  <si>
    <t>WOS:000723347200001</t>
  </si>
  <si>
    <t>Perez, OD</t>
  </si>
  <si>
    <t>Perez, Omar D.</t>
  </si>
  <si>
    <t>Instrumental behavior in humans is sensitive to the correlation between response rate and reward rate</t>
  </si>
  <si>
    <t>PSYCHONOMIC BULLETIN &amp; REVIEW</t>
  </si>
  <si>
    <t>Recent theories of instrumental behavior postulate that the correlation between response and reward rate is a critical factor in instrumental goal-directed performance. However, it is still not clear whether human actions can be sensitive to rate correlation. Using a novel within-subject design, participants were trained under ratio and interval contingencies of reinforcement matching both reward probabilities and reward rates between conditions. The impact of rate correlation on performance was evident in the higher performance observed under ratio contingencies for both types of matching. Moreover, there was no difference in performance between two classes of interval schedules with equivalent correlational properties but different reward probabilities. These results are discussed in terms of a recent dual-system model of instrumental behavior.</t>
  </si>
  <si>
    <t>Perez, Omar/IAO-4501-2023</t>
  </si>
  <si>
    <t>Perez, Omar David/0000-0002-4168-5435</t>
  </si>
  <si>
    <t>1069-9384</t>
  </si>
  <si>
    <t>1531-5320</t>
  </si>
  <si>
    <t>10.3758/s13423-020-01830-8</t>
  </si>
  <si>
    <t>WOS:000644957800001</t>
  </si>
  <si>
    <t>Kaschel, H; Ahumada, C; Osorio-Comparan, R</t>
  </si>
  <si>
    <t>Kaschel, Hector; Ahumada, Cristian; Osorio-Comparan, Roman</t>
  </si>
  <si>
    <t>Design and Comparison of Two Types of Antennas in the 2.45 GHz Band to Calculate the SAR</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</si>
  <si>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</si>
  <si>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</si>
  <si>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</si>
  <si>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IEEE,Int Federat Automat Control,IEEE Consejo Chile,Chilean Assoc Automat Control,IEEE Chilean Chapter Control Syst,IEEE Chilean Chapter SMC,IEEE Chilean Chapter Educat,IEEE Syst Man &amp; Cybernet Soc,IEEE Control Syst Soc,IEEE Educ Soc,Asociac Ind Elect Elect Chile</t>
  </si>
  <si>
    <t>In this paper, we present the design of two different antennas with a band of 2.45 GHz, and their comparison, to calculate the SAR level for the IEEE 802.15.6. The first design consists on a dipole antenna with geometries of a half wave. The second design is that of a rectangular microstrip antenna using the feedline method. Both of the antennas are designed with the goal of them working in wireless applications. The CST Simulator tool is used to examine the main characteristics of the antennas: return loss, VWSW, gain, and radiation pattern. In this research, we evaluate and compare the SAR levels of the dipole antenna with those of the microstrip antenna. In order to evaluate the maximum SAR levels, the antenna is used in a vertical position on a homogeneous model. In order to calculate the SAR levels for the tissues, we follow the two standards that are accepted nowadays by the FCC and ICNIRP.</t>
  </si>
  <si>
    <t>; Osorio-Comparan, Roman/GLR-4090-2022</t>
  </si>
  <si>
    <t>Kaschel, Hector/0000-0002-0868-7834; Ahumada, Cristian/0000-0002-2647-1383; Osorio-Comparan, Roman/0000-0002-1887-9813</t>
  </si>
  <si>
    <t>978-1-6654-0127-2</t>
  </si>
  <si>
    <t>10.1109/ICAACCA51523.2021.9465175</t>
  </si>
  <si>
    <t>WOS:000855764500028</t>
  </si>
  <si>
    <t>Alvarez, ST; Devés, E</t>
  </si>
  <si>
    <t>Deves, E; Alvarez, ST</t>
  </si>
  <si>
    <t>Alvarez, Silvia T.; Deves, Eduardo</t>
  </si>
  <si>
    <t>CALVO DOCTRINE</t>
  </si>
  <si>
    <t>PROBLEMATICAS INTERNACIONALES Y MUNDIALES DESDE EL PENSAMIENTO LATINOAMERICANO: TEORIAS, ESCUELAS, CONCEPTOS, DOCTRINAS, FIGURAS</t>
  </si>
  <si>
    <t>Coleccion Estudios de las Ideas</t>
  </si>
  <si>
    <t>Torres, Santiago/Q-9616-2016</t>
  </si>
  <si>
    <t>978-956-6095-02-6</t>
  </si>
  <si>
    <t>WOS:000608865900052</t>
  </si>
  <si>
    <t>Aburto, C; Castillo, C; Cornejo, F; Arenas-Salinas, M; Vásquez, C; Guerrero, C; Arenas, F; Illanes, A; Vera, C</t>
  </si>
  <si>
    <t>Aburto, Carla; Castillo, Carlos; Cornejo, Fabian; Arenas-Salinas, Mauricio; Vasquez, Claudio; Guerrero, Cecilia; Arenas, Felipe; Illanes, Andres; Vera, Carlos</t>
  </si>
  <si>
    <t>β-Galactosidase from Exiguobacterium acetylicum: Cloning, expression, purification and characterization</t>
  </si>
  <si>
    <t>BIORESOURCE TECHNOLOGY</t>
  </si>
  <si>
    <t>The main goal of this work was to evaluate the performance of beta-galactosidase from Exiguobacterium acetylicum MF03 in both hydrolysis and transgalactosylation reactions from different substrates. The enzyme gene was expressed in Escherichia coli BL21 (DE3), sequenced, and subjected to bioinformatic and kinetic assessment. Results showed that the enzyme was able to hydrolyze lactulose and o-nitrophenyl-beta-D-galactopyranoside, but unable to hydrolyze lactose, o-nitrophenyl-beta-D-glucopyranoside, butyl-and pentyl-beta-D-galactosides. This unique and novel substrate specificity converts the E. acetylicum MF03 beta-galactosidase into an ideal catalyst for the formulation of an enzymatic kit for lactulose quantification in thermally processed milk. This is because costly steps to eliminate glucose (resulting from hydrolysis of lactose when a customary beta-galactosidase is used) can be avoided.</t>
  </si>
  <si>
    <t>vera, Carlos/G-5240-2019; Arenas, Mauricio/NBW-8966-2025; Castillo, Carlos/JJE-5679-2023; aburto, carla/AAY-8727-2020</t>
  </si>
  <si>
    <t>Cornejo, Fabian/0000-0002-6633-392X; Guerrero, Cecilia/0000-0002-4701-3525; ABURTO GAJARDO, CARLA/0000-0002-8886-8642; Vera Vera, Carlos Felipe/0000-0003-2179-9467</t>
  </si>
  <si>
    <t>0960-8524</t>
  </si>
  <si>
    <t>1873-2976</t>
  </si>
  <si>
    <t>10.1016/j.biortech.2019.01.005</t>
  </si>
  <si>
    <t>WOS:000456705300023</t>
  </si>
  <si>
    <t>Klinowski, D</t>
  </si>
  <si>
    <t>Klinowski, David</t>
  </si>
  <si>
    <t>Selection into self-improvement and competition pay: Gender, stereotypes, and earnings volatility</t>
  </si>
  <si>
    <t>JOURNAL OF ECONOMIC BEHAVIOR &amp; ORGANIZATION</t>
  </si>
  <si>
    <t>We examine whether men and women differ in their willingness to select into a contract that pays upon improving one's past performance. Experiment participants choose to perform a task under either a regular piece rate, or a larger piece rate provided they improve relative to a previous round. Women are less willing than men to select into self-improvement pay, and this gender gap is largely explained by higher risk aversion and (to a smaller extent) lower self-confidence. High earnings volatility widens the gender gap, and makes self-improvement pay less attractive than competition pay. We find no effect of gender stereotypes in the willingness to sort into self-improvement. The results provide insight into the feasibility and potential of using self-improvement contracts as gender neutral incentive mechanisms. (C) 2018 Elsevier B.V. All rights reserved.</t>
  </si>
  <si>
    <t>Klinowski, David/0000-0002-6234-6192</t>
  </si>
  <si>
    <t>0167-2681</t>
  </si>
  <si>
    <t>1879-1751</t>
  </si>
  <si>
    <t>10.1016/j.jebo.2018.11.014</t>
  </si>
  <si>
    <t>WOS:000461002700008</t>
  </si>
  <si>
    <t>Contreras, F; Vargas, E; Jiménez, K; Muñoz-Villagrán, C; Figueroa, M; Vásquez, C; Arenas, F</t>
  </si>
  <si>
    <t>Contreras, Fernanda; Vargas, Esteban; Jimenez, Karla; Munoz-Villagran, Claudia; Figueroa, Maximiliano; Vasquez, Claudio; Arenas, Felipe</t>
  </si>
  <si>
    <t>Reduction of Gold (III) and Tellurium (IV) by Enterobacter cloacae MF01 Results in Nanostructure Formation Both in Aerobic and Anaerobic Conditions</t>
  </si>
  <si>
    <t>FRONTIERS IN MICROBIOLOGY</t>
  </si>
  <si>
    <t>Microorganism survival in the presence of toxic substances such as metal(loid)s lies chiefly on their ability to resist (or tolerate) such elements through specific resistance mechanisms. Among them, toxicant reduction has attracted the attention of researchers because metal(loid)-reducing bacteria are being used to recover and/or decontaminate polluted sites. Particularly, our interest is to analyze the toxicity of gold and tellurium compounds for the environmental microorganism Enterobacter cloacae MF01 and also to explore the generation of nanostructures to be used in future biotechnological processes. Resistance of E cloacae MF01 to gold and tellurium salts as well as the putative mechanisms involved -both in aerobic and anaerobic growth conditions- was evaluated. These metal(loid)s were selected because of their potential application in biotechnology. Resistance to auric tetrachloride acid (HAuCl4) and potassium tellurite (K2TeO3) was assessed by determining areas of growth inhibition, minimum inhibitory concentrations, and growth curves as well as by viability tests. E. cloacae MF01 exhibited higher resistance to HAuCl4 and K2TeO3 under aerobic and anaerobic conditions, respectively. In general, their toxicity is mediated by the generation of reactive oxygen species and by a decrease of intracellular reduced thiols (RSH). To assess if resistance implies toxicant reduction, intra- and extra-cellular toxicant-reducing activities were evaluated. While E. cloacae MF01 exhibited intra- and extra-cellular HAuCl4-reducing activity, tellurite reduction was observed only intracellularly. Then, Auand Te-containing nanostructures (AuNS and TeNS, respectively) were synthesized using crude extracts from E. cloacae MF01 and their size, morphology, and chemical composition was evaluated.</t>
  </si>
  <si>
    <t>1664-302X</t>
  </si>
  <si>
    <t>DEC 18</t>
  </si>
  <si>
    <t>10.3389/fmicb.2018.03118</t>
  </si>
  <si>
    <t>WOS:000453654700002</t>
  </si>
  <si>
    <t>Silva-Yumi, J; Escudey, M; Gacitua, M; Pizarro, C</t>
  </si>
  <si>
    <t>Silva-Yumi, Jorge; Escudey, Mauricio; Gacitua, Manuel; Pizarro, Carmen</t>
  </si>
  <si>
    <t>Kinetics, adsorption and desorption of Cd(II) and Cu(II) on natural allophane: Effect of iron oxide coating</t>
  </si>
  <si>
    <t>GEODERMA</t>
  </si>
  <si>
    <t>Volcanic soils are a potential source of abundant and low-cost adsorbent materials. Allophane and iron oxides are the main inorganic constituents of Andisols, soils derived from volcanic-ashes abundant in the central and southern continental Chilean territory. The present study aimed to elucidate the effect of free iron oxides on the adsorption of Cd(II) and Cu(II) from aqueous media on natural allophane (NA). Allophane samples consisted of natural allophane, obtained from a Chilean Andisol series, with (NA-FeOx) and without (NA) an iron oxide coating. Material characterisation showed that NA-FeOx was formed by nanometric (100-500 nm) sized spheres coated with an iron oxide layer that most likely consisted of a ferrihydrite-like mineral. On the other hand, NA consisted of aggregates (with particles as big as 1.0 mu m) mostly constituted by allophane. The specific surface area of NA-FeOx and NA were ca. 150 and 17 m(2) g(-1), respectively, and presented variable surface charge with an isoelectric point of 10.3. and 5.4. From the kinetic studies, equilibrium adsorption was achieved within 60 min and was almost independent of the presence of the iron oxides. Among the kinetic models evaluated, the pseudo-second order model presented a better correlation with the experimental data. The adsorption studies revealed that NA has a greater adsorption capacity of both Cd+2 and Cu+2 compared to NA-FeOx. Langmuir and Freundlich adsorption models fit the experimental data well, suggesting that the adsorption process is a combination of physical and chemical phenomena. The Freundlich constant (adsorption coefficient, K-F) values obtained confirmed the superior affinity of NA active surface sites compared to NA-FeOx. Desorption studies demonstrated that the majority of adsorbed cations were retained by the adsorbent, indicating irreversible chemical adsorption on specific active sites of the adsorbents.</t>
  </si>
  <si>
    <t>Yumi, Jorge/AAO-4302-2020; Gacitua, Manuel/R-8868-2019</t>
  </si>
  <si>
    <t>Pizarro, Carmen/0000-0003-4927-5681; Silva Yumi, Jorge/0000-0002-6005-9915; Gacitua, Manuel/0000-0003-0807-2677</t>
  </si>
  <si>
    <t>0016-7061</t>
  </si>
  <si>
    <t>1872-6259</t>
  </si>
  <si>
    <t>10.1016/j.geoderma.2017.12.038</t>
  </si>
  <si>
    <t>WOS:000426224800008</t>
  </si>
  <si>
    <t>Droguett, G; Rojas, F; Arancibia, D; Díaz, M; Mirzaeva, G; Uriarte, M</t>
  </si>
  <si>
    <t>DuranFaundez, C; Lefranc, G; FernandezFernandez, M; Munoz, C; Rubio, E</t>
  </si>
  <si>
    <t>Droguett, Gabriel; Rojas, Felix; Arancibia, David; Diaz, Matias; Mirzaeva, Galina; Uriarte, Matias</t>
  </si>
  <si>
    <t>Nearest Level Control for a three-phase to single-phase Modular Multilevel Converter for Solid State Transformers</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</si>
  <si>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</si>
  <si>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</si>
  <si>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</si>
  <si>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</si>
  <si>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</si>
  <si>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The three-phase to medium frequency single-phase direct conversion with the Modular Multilevel Converter for Solid State Transformers involves control and modulation challenges due to the switching devices limitations. The use of Nearest Level Control (NLC) as a modulation technique to properly synthesize medium frequency voltages at the output is proposed on this paper, paying special attention to the arm inductors effect at medium frequency operation. Using NLC results in low distortion medium voltage and medium frequency single-phase output, achieving good controllability and reaffirming the suitability of the converter for its application in Solid State Transformers.</t>
  </si>
  <si>
    <t>Rojas, Felix/U-3305-2019; Diaz, Matias/R-7570-2018</t>
  </si>
  <si>
    <t>Droguett, Gabriel/0000-0003-4858-0369; Mirzaeva, Galina/0000-0002-1351-1649</t>
  </si>
  <si>
    <t>978-1-5386-5586-3</t>
  </si>
  <si>
    <t>WOS:000458417600091</t>
  </si>
  <si>
    <t>Longares, L; Escartín, J; Barrientos, J; Rodríguez-Carballeira, A</t>
  </si>
  <si>
    <t>Longares, Lara; Escartin, Jordi; Barrientos, Jaime; Rodriguez-Carballeira, Alvaro</t>
  </si>
  <si>
    <t>Psychological abuse in Spanish same-sex couples: prevalence and relationship between victims and perpetrators</t>
  </si>
  <si>
    <t>INNOVATION-THE EUROPEAN JOURNAL OF SOCIAL SCIENCE RESEARCH</t>
  </si>
  <si>
    <t>This study investigates the prevalence of psychological abuse victimization in same-sex couples and the relationship between being a victim and a perpetrator of these negative behaviours. The final sample consisted of 107 adults residing in Spain who identified themselves as lesbian women and gay men, and who had been involved in a conflictive same-sex relationship. Participants were asked how frequently they would label their experience of psychological abuse and three different estimation methods were used. Furthermore, the relationship between being a victim and being a perpetrator of psychological abuse behaviours was calculated through the behavioural estimation method using a questionnaire. The results showed that the prevalence rates varied from 11.3% to 56.6%, depending on the estimation method, and they revealed that there was no correlation between receiving and enacting psychological abuse behaviours. The variation in prevalence rates highlights methodological differences that limit the extent to which comparisons can be made across studies. Three estimation methods are introduced to stimulate future research on this issue.</t>
  </si>
  <si>
    <t>Longares, Lara/HDM-6980-2022; Rodriguez-Carballeira, Alvaro/AAY-7836-2020; escartin, jordi/F-5630-2016; Barrientos, Jaime/GMW-8081-2022</t>
  </si>
  <si>
    <t>Rodriguez-Carballeira, Alvaro/0000-0001-6316-4596; escartin, jordi/0000-0002-3342-6791; Barrientos, Jaime/0000-0001-8497-3552</t>
  </si>
  <si>
    <t>1351-1610</t>
  </si>
  <si>
    <t>1469-8412</t>
  </si>
  <si>
    <t>10.1080/13511610.2017.1326304</t>
  </si>
  <si>
    <t>WOS:000432724200003</t>
  </si>
  <si>
    <t>Hristov, PO; DiazDelaO, FA; Flores, EIS; Guzmán, CF; Farooq, U</t>
  </si>
  <si>
    <t>Hristov, P. O.; DiazDelaO, F. A.; Saavedra Flores, E. I.; Guzman, C. F.; Farooq, U.</t>
  </si>
  <si>
    <t>Probabilistic sensitivity analysis to understand the influence of micromechanical properties of wood on its macroscopic response</t>
  </si>
  <si>
    <t>COMPOSITE STRUCTURES</t>
  </si>
  <si>
    <t>This paper investigates the influence of the uncertainty in different micromechanical properties on the variability of the macroscopic response of cross-laminated timber plates, by means of a probabilistic sensitivity analysis. Cross-laminated timber plates can be modelled using a multiscale finite element approach which although suitable, suffers from high computational cost. Investigating parametric importance can incur considerable time penalty since conventional sensitivity analysis relies on a large number of code evaluations to produce accurate results. In order to address this issue, we build a statistical approximation to the code output and use it to perform sensitivity analysis. We investigate the effect of a collection of parameters on the density and Young's moduli of wood. Additionally, the influence on the response of cross-laminated timber plates subject to bending, in-plane shear and compression loads is investigated due to its relevance within the engineering community. The presented results provide a practical insight into the importance of each micromechanical parameter, which allows research effort to be focused on important wood properties. (C) 2017 Elsevier Ltd. All rights reserved.</t>
  </si>
  <si>
    <t>Hristov, Peter/JVN-4541-2024; Flores, Erick/I-7646-2012; Guzman, Carlos Felipe/D-7722-2013</t>
  </si>
  <si>
    <t>Guzman, Carlos Felipe/0000-0002-5537-3854; Hristov, Peter/0000-0002-3302-686X</t>
  </si>
  <si>
    <t>0263-8223</t>
  </si>
  <si>
    <t>1879-1085</t>
  </si>
  <si>
    <t>10.1016/j.compstruct.2017.08.105</t>
  </si>
  <si>
    <t>WOS:000411761400019</t>
  </si>
  <si>
    <t>Schwarze, JE; Jeria, R; Crosby, J; Villa, S; Ortega, C; Pommer, R</t>
  </si>
  <si>
    <t>Schwarze, Juan-Enrique; Jeria, Rodrigo; Crosby, Javier; Villa, Sonia; Ortega, Carolina; Pommer, Ricardo</t>
  </si>
  <si>
    <t>Is there a reason to perform ICSI in the absence of male factor? Lessons from the Latin American Registry of ART</t>
  </si>
  <si>
    <t>HUMAN REPRODUCTION OPEN</t>
  </si>
  <si>
    <t>STUDY QUESTION: Does the use of ICSI offer any outcome advantage over IVF in patients with non-male factor infertility? SUMMARY ANSWER: We did not find any outcome improvement that justifies the routine use of ICSI over IVF in non-male factor ART cycles. WHAT IS ALREADY KNOWN: Since its introduction in Latin America, the use of ICSI has increased substantially, even among patients without male factor infertility. However, it is not clear whether ICSI provides an advantage over IVF in non-male factor infertility. STUDY DESIGN SIZE, DURATION: A retrospective cohort study of fresh cycles performed in 155 ART clinics located in 15 Latin American countries between 2012 and 2014. Records were assessed for 49,813 ART cycles (39,564 ICSI and 10,249 IVF) performed in infertile couples who did not have male factor infertility. Student's t-test was used to analyze normally distributed data, Wilcoxon test to analyze non-normally distributed data, and Fisher's exact test for categorical data. Logistic regression was used to quantify the effect of ICSI on delivery rate, adjusting for age of female partner, number of oocytes inseminated, number of embryos transferred, and transfer at blastocyst stage as possible confounding factors. Poisson regression analysis was used to quantify the effect of ICSI on fertilization rate, adjusting for age of female partner. PARTICIPANTS/MATERIALS, SETTING, METHOD: Cycles with the diagnosis of male factor and use of cryopreserved semen and with a freeze-all strategy were excluded. MAIN RESULTS AND THE ROLE OF CHANCE: After correcting for age of female partner, number of oocytes inseminated, number of embryos transferred and transfer at blastocyst stage, we found that the use of ICSI was associated with a significant decrease in the odds of delivery compared to IVF (odds ratio 0.88, 95% CI 0.84 to 0.93; P &lt; 0.0001). LIMITATIONS REASONS FOR CAUTION: An important limitation of this study is the lack of randomization owing to its retrospective nature. This could result in selection bias, i.e. couples with the worst prognosis undergoing ICSI, or patients with a history of fertilization failure in IVF cycles undergoing ICSI. More than one cycle from the same couple may be included in the study. WIDER IMPLICATIONS OF THE FINDINGS: The lack of an outcome benefit-and, indeed, a reduced likelihood of delivery-following ICSI in non-male factor infertile couples suggests that ICSI may not be the most appropriate clinical approach in these patients.</t>
  </si>
  <si>
    <t>Adasme, Rodrigo/AAN-7532-2020; Schwarze, Juan-Enrique/AAX-9580-2021</t>
  </si>
  <si>
    <t>Schwarze, Juan-Enrique/0000-0001-8988-521X</t>
  </si>
  <si>
    <t>2399-3529</t>
  </si>
  <si>
    <t>AUG 30</t>
  </si>
  <si>
    <t>hox013</t>
  </si>
  <si>
    <t>10.1093/hropen/hox013</t>
  </si>
  <si>
    <t>WOS:000661531700001</t>
  </si>
  <si>
    <t>Palma, G; Gutiérrez, G; Davis, S</t>
  </si>
  <si>
    <t>Palma, G.; Gutierrez, G.; Davis, S.</t>
  </si>
  <si>
    <t>Ensemble-free configurational temperature for spin systems</t>
  </si>
  <si>
    <t>PHYSICAL REVIEW E</t>
  </si>
  <si>
    <t>An estimator for the dynamical temperature in an arbitrary ensemble is derived in the framework of the conjugate variables theorem. We prove directly that its average indeed gives the inverse temperature and that it is independent of the ensemble. We test this estimator numerically by a simulation of the two-dimensional XY model in the canonical ensemble. As this model is critical in the whole region of temperatures below the Berezinski-Kosterlitz-Thouless critical temperature TBKT, we use a generalization of Wolff's unicluster algorithm. The numerical results allow us to confirm the robustness of the analytical expression for the microscopic estimator of the temperature. This microscopic estimator has also the advantage that it gives a direct measure of the thermalization process and can be used to compute absolute errors associated with statistical fluctuations. In consequence, this estimator allows for a direct, absolute, and stringent test of the ergodicity of the underlying Markov process, which encodes the algorithm used in a numerical simulation.</t>
  </si>
  <si>
    <t>Davis, Sergio/U-7227-2019; Gutierrez, Gonzalo/A-4973-2008</t>
  </si>
  <si>
    <t>Davis, Sergio/0000-0003-2757-332X; Gutierrez, Gonzalo/0000-0003-0676-0089</t>
  </si>
  <si>
    <t>2470-0045</t>
  </si>
  <si>
    <t>2470-0053</t>
  </si>
  <si>
    <t>DEC 9</t>
  </si>
  <si>
    <t>10.1103/PhysRevE.94.062113</t>
  </si>
  <si>
    <t>WOS:000389575900001</t>
  </si>
  <si>
    <t>Soto, R; Bonacic, C; Marin, M; Gil-Costa, V</t>
  </si>
  <si>
    <t>Zhang, L; Song, X; Wu, Y</t>
  </si>
  <si>
    <t>Soto, Rafael; Bonacic, Carolina; Marin, Mauricio; Gil-Costa, Veronica</t>
  </si>
  <si>
    <t>Simulating Streaming Software Applications Running on Clusters of Processors and Smartphone</t>
  </si>
  <si>
    <t>THEORY, METHODOLOGY, TOOLS AND APPLICATIONS FOR MODELING AND SIMULATION OF COMPLEX SYSTEMS, PT IV</t>
  </si>
  <si>
    <t>Joint Conference of the 16th Asia Simulation Conference / SCS International Autumn Simulation Multi-Conference (AsiaSim/SCS AutumnSim)</t>
  </si>
  <si>
    <t>OCT 08-11, 2016</t>
  </si>
  <si>
    <t>Beijing, PEOPLES R CHINA</t>
  </si>
  <si>
    <t>China Simulat Federat,Sci &amp; Technol Special Syst Simulat Lab,Beihang Univ,Japanese Soc Simulat Technol,Korea Soc Simulat,Soc Simulat &amp; Gaming Singapore,Int Assoc Math &amp; Comp Simulat,Chinese Assoc Artificial Intelligence,China Comp Federat,China Electro Tech Soc,China Graph Soc,China Ordnance Soc,Federat Asian Simulat Soc,Soc Modeling &amp; Simulat Int</t>
  </si>
  <si>
    <t>Social software applications devised to process large and intensive streams of data must be usually run on complex computational infrastructure that ranges from clusters of processors to smartphones. The scalability to thousands or even millions of users is a relevant issue to be considered when designing these applications as they are not expected to collapse when they are mostly needed such as in disaster scenarios. In this context, software tools for performance evaluation of social software applications by means of discrete-event simulation have practical benefits, and yet they have not been fully developed in application domains where performance is critically dependent on massive user dynamics. This paper proposes a simulator to address this problem which combines powerful data centers and the computational power provided by mobile devices. We provide experimental evidence that shows a good agreement between actual and simulation performance measures.</t>
  </si>
  <si>
    <t>Gil-Costa, Veronica/GPT-4785-2022; Marin, Mauricio/GLR-7700-2022</t>
  </si>
  <si>
    <t>Marin, Mauricio/0000-0003-0662-7149; Gil-Costa, Veronica/0000-0003-4637-9725</t>
  </si>
  <si>
    <t>978-981-10-2672-0; 978-981-10-2671-3</t>
  </si>
  <si>
    <t>10.1007/978-981-10-2672-0_19</t>
  </si>
  <si>
    <t>WOS:000392268000019</t>
  </si>
  <si>
    <t>Hurtado, JP; Acuña, EI</t>
  </si>
  <si>
    <t>Hurtado, J. P.; Acuna, E. I.</t>
  </si>
  <si>
    <t>CFD analysis of 58 Adit main fans parallel installation for the 2015-2019 underground developments of the new level mine project</t>
  </si>
  <si>
    <t>APPLIED THERMAL ENGINEERING</t>
  </si>
  <si>
    <t>13th International Conference on Sustainable Energy Technologies (SET)</t>
  </si>
  <si>
    <t>AUG, 2014</t>
  </si>
  <si>
    <t>Geneva, SWITZERLAND</t>
  </si>
  <si>
    <t>The New Level Mine project (NLMP), the planned underground expansion of the El Teniente mine in Rancagua, Chile, is expected to reach a daily extraction rate between 137 and 180 ktpd upon achieving full capacity. Production is planned to start in the year 2019. To achieve the 2015 to 2019 underground development schedule, the ventilation requirements were estimated to be in the range of 944 m(3)/s (2000 kcfm). To provide the airflow volume required, 189 m(3)/s (400 kcfm) has to be provided by the El Teniente mine, and the remaining by the main 74 and 75 Adits, currently in the final stage of their construction phase. However, providing the 189 m(3)/s (400 kcfm) will require significant modifications to the current system of El Teniente. As a result, a number of alternatives were explored, including adding raises to generate parallel airways and installing fans to reinforce the current ventilation system. From the alternatives studied, the installation of a second main fan (system) in parallel to an existing one was identified as the best operational solution and selected for implementation. However, the location and expected geometry of the ventilation circuit was not ideal and there were concerns as to the operation of both fans once the second fan was installed and commissioned. This paper presents the study used to estimate the operating points of both the current and the new fan, and to justify the parallel installation of the additional main fan. An additional computational fluid dynamics study was undertaken to validate the operating point, given the particular geometry of the fan's location and placement, to guarantee a stable operation of the fans. (C) 2015 Elsevier Ltd. All rights reserved.</t>
  </si>
  <si>
    <t>Hurtado Cruz, Juan Pablo/K-2568-2013</t>
  </si>
  <si>
    <t>Hurtado Cruz, Juan Pablo/0000-0001-7602-8278</t>
  </si>
  <si>
    <t>1359-4311</t>
  </si>
  <si>
    <t>NOV 5</t>
  </si>
  <si>
    <t>10.1016/j.applthermaleng.2015.05.014</t>
  </si>
  <si>
    <t>WOS:000364246500117</t>
  </si>
  <si>
    <t>Rincón-Rodríguez, RJ; Oróstica, ML; Díaz, P; Reuquén, P; Cárdenas, H; Orihuela, PA</t>
  </si>
  <si>
    <t>Rincon-Rodriguez, Ramiro J.; Orostica, Maria L.; Diaz, Patricia; Reuquen, Patricia; Cardenas, Hugo; Orihuela, Pedro A.</t>
  </si>
  <si>
    <t>Changes in the gene expression pattern induced by 2-methoxyestradiol in the mouse uterus</t>
  </si>
  <si>
    <t>ENDOCRINE</t>
  </si>
  <si>
    <t>2-Methoxyestradiol (2ME) is an estrogen metabolite with antitumor and antiangiogenic properties, although their effects on the reproductive tissues are not well-determined. Furthermore, it is not very clear whether 2ME is part of the intracellular signaling of estradiol (E-2) or it acts through other signaling pathways. The purpose of this study was to determine changes in the gene expression pattern in the mouse female reproductive tract induced by 2ME, under conditions in which this metabolite has no estrogenic activity. Therefore, we first compared the effect of 2ME or E-2 on the uterine weight and epithelial cell height, and on the ovarian weight and the number of follicles of immature mice. Then, we examined the gene expression profile in the uterus of immature mice treated with 2ME or E-2 and we selected three genes scd2, snx6, and spon1, to confirm differential regulation by E-2 and 2ME in the uterine cells using real-time PCR. Finally, in order to explore the physiologic relevance of the 2ME-induced genes we determined the expression and localization of the F-spondin protein encoded by spon1 in the uterus of mature mice treated with E-2 or 2ME. Estradiol and 2ME reduced the ovarian weight and decreased the number of follicles a parts per thousand yen300 mu m, whereas E-2 increased the uterine weight and epithelial cell height but not 2ME, indicating that 2ME did not have estrogenic activity in the mouse uterus. Microarray analysis showed that 1.8 % of the uterine genes were regulated by E-2 and 0.23 % by 2ME, while 0.04 % was regulated by E-2 and 2ME. The mRNA for scd2 was exclusively increased by 2ME, whereas snx6 and spon1 were up-regulated by E-2 and 2ME, but the response to 2ME was more intense. F-spondin was mainly expressed in the uterine stroma layer although 2ME or E-2 did not change its localization in the uterine cells. We conclude that 2ME regulates a group of genes in the mice uterus, independently of estrogenic activity, suggesting a functional involvement of 2ME in the mammalian uterus.</t>
  </si>
  <si>
    <t>Díaz, Patricia/GOV-2972-2022</t>
  </si>
  <si>
    <t>Diaz, Patricia/0000-0003-2099-1019</t>
  </si>
  <si>
    <t>1355-008X</t>
  </si>
  <si>
    <t>1559-0100</t>
  </si>
  <si>
    <t>10.1007/s12020-013-9921-2</t>
  </si>
  <si>
    <t>WOS:000327396300030</t>
  </si>
  <si>
    <t>Murugan, S; Flores, EIS; Adhikari, S; Friswell, MI</t>
  </si>
  <si>
    <t>Murugan, Senthil; Saavedra Flores, Erick I.; Adhikari, Sondipon; Friswell, M. I.</t>
  </si>
  <si>
    <t>Optimal design of variable fiber spacing composites for morphing aircraft skins</t>
  </si>
  <si>
    <t>Morphing aircraft concepts aim to enhance the aircraft performance over multiple missions by designing time variant wing configurations. The morphing concepts require wing skins that are flexible enough to allow large in-plane stretching and high bending stiffness to resist the aerodynamic loads. In this study, an optimization problem is formed to enhance the in-plane flexibility and bending stiffness of wing skins made of composite laminate. Initially, the optimal fiber and elastomer materials for highly flexible fiber reinforced elastomer laminates are studied using materials available in the literature. The minor Poisson's ratio of the laminate is almost zero for all the fiber and elastomer combinations. In the next stage, the effects of boundary conditions and aspect ratio on the out-of-plane deflection of the laminate are studied. Finally, an optimization is performed to minimize the in-plane stiffness and maximize the bending stiffness by spatially varying the volume fraction of fibers of a laminate. The optimization results show that the in-plane flexibility and bending stiffness of the laminate with a variable fiber distribution is 30-40% higher than for the uniform fiber distribution. (C) 2012 Elsevier Ltd. All rights reserved.</t>
  </si>
  <si>
    <t>Flores, Erick/I-7646-2012; Murugan, Senthil/AAP-8277-2020; Friswell, Michael/B-5581-2009; Adhikari, Sondipon/A-9642-2009</t>
  </si>
  <si>
    <t>MURUGAN, SENTHIL/0000-0002-3219-495X; Friswell, Michael/0000-0003-4677-7395; Adhikari, Sondipon/0000-0003-4181-3457</t>
  </si>
  <si>
    <t>10.1016/j.compstruct.2011.12.023</t>
  </si>
  <si>
    <t>WOS:000302980400015</t>
  </si>
  <si>
    <t>Rios, E; Lara, P; Serafini, D; Restovic, A; Gautier, JL</t>
  </si>
  <si>
    <t>Rios, Edmundo; Lara, Patricio; Serafini, Daniel; Restovic, Ambrosio; Luis Gautier, Juan</t>
  </si>
  <si>
    <t>SYNTHESIS AND CHARACTERIZATION OF MANGANESE-COBALT SOLID SOLUTIONS PREPARED AT LOW TEMPERATURE</t>
  </si>
  <si>
    <t>JOURNAL OF THE CHILEAN CHEMICAL SOCIETY</t>
  </si>
  <si>
    <t>Two extreme compositions of the manganese-cobalt oxide system MnxCo3-xO4 namely Co3O4 (x = 0) and MnCo2O4 (x = 1) were prepared in powder form at low temperature by thermal decomposition of nitrates in air. The synthesis was conducted at 150 degrees C. The oxides obtained were characterized by different techniques such as X-ray diffraction (XRD), scanning electron microscopy (SEM), surface area determination using the Brunauer-Emmett-Teller (BET) method, thermogravimetric analyses (TGA) and oxidation power (OP). XRD analysis reveals that the oxides crystallize in a cubic spinel-type structure with a unit cell parameter (a(0)) that increases as cobalt is replaced by manganese. The MnCo2O4 showed 70 m(2) g(-1) and 13 nm of specific surface area and crystallite size respectively. The crystallite was bigger (20nm) when cobalt-manganese oxide is prepared as a thin film. Both compounds exhibited nanometric size. The cationic distributions proposed for both oxides on the basis of the physicochemical characterization results showed an excellent agreement with those obtained from the XRD data refinement performed using the Rietveld method.</t>
  </si>
  <si>
    <t>Serafini, Daniel/0000-0002-1764-5900</t>
  </si>
  <si>
    <t>0717-9707</t>
  </si>
  <si>
    <t>WOS:000279984400026</t>
  </si>
  <si>
    <t>Cruz, N; González-Díaz, PF; Rozas-Fernández, A; Sánchez, G</t>
  </si>
  <si>
    <t>Kunze, KE; Mars, M; VazquezMozo, MA</t>
  </si>
  <si>
    <t>Cruz, Norman; Gonzalez-Diaz, Pedro F.; Rozas-Fernandez, Alberto; Sanchez, Guillermo</t>
  </si>
  <si>
    <t>Holographic kinetic k-essence cosmologies</t>
  </si>
  <si>
    <t>PHYSICS AND MATHEMATICS OF GRAVITATION</t>
  </si>
  <si>
    <t>AIP Conference Proceedings</t>
  </si>
  <si>
    <t>31st Spanish Relativity Conference</t>
  </si>
  <si>
    <t>SEP 15-19, 2008</t>
  </si>
  <si>
    <t>Salamanca, SPAIN</t>
  </si>
  <si>
    <t>Univ Salamanca,Reg Govt Castilla &amp; Leon,Spanish Minist Educ &amp; Sci,Fdn BBVA,Caja Duero,Segre,IUFFyM,ILIAS</t>
  </si>
  <si>
    <t>We consider a connection between the holographic dark energy density and the kinetic k-essence energy density in a flat FRW universe. We show this kinetic k-essential description of the holographic dark energy with c &gt;= 1 and reconstruct the kinetic k-essence function F(X).</t>
  </si>
  <si>
    <t>Rozas-Fernandez, Alberto/0000-0002-6131-2804</t>
  </si>
  <si>
    <t>0094-243X</t>
  </si>
  <si>
    <t>978-0-7354-0658-2</t>
  </si>
  <si>
    <t>+</t>
  </si>
  <si>
    <t>WOS:000268093500034</t>
  </si>
  <si>
    <t>García-Río, L; Leis, JR; López-Fontán, JL; Mejuto, JC; Mosquera, V; Rodríguez-Dafonte, P</t>
  </si>
  <si>
    <t>Mixed micelles of alkylamines and cetyltrimethylammonium chloride</t>
  </si>
  <si>
    <t>JOURNAL OF COLLOID AND INTERFACE SCIENCE</t>
  </si>
  <si>
    <t>The influence of chain length and the nature of the head group on the composition of micelles of a binary mixture of cetyltrimethylammonium chloride with both unsubstituted and N-substituted n-octyl, n-decyl, and n-lauryl amines was established from the variation of the critical micelle concentration (cmc) as a function of the solution composition. A synergistic effect was observed in all instances that were found to be correlated with chain length and the type of N-substituent on the alkylamine head group. Experimental data were compared with theoretical predictions based on the equilibrium between micelles and monomers in solution. The Motomura treatment was used to determine the composition of each compound in the mixed micelles (X-i(m)). Mixing nonideality was expressed in terms of the molecular interaction parameter (beta(12)) as determined using the theory of Holland and Rubingh. Finally, the molecular thermodynamic model for mixed surfactant systems developed by Puvvada and Blankschtein was used to estimate the micellization free energy (Delta G(M)) and to evaluate the synergistic phenomenon. (c) 2005 Elsevier Inc. All rights reserved.</t>
  </si>
  <si>
    <t>Garcia-Rio, Luis/L-5882-2014; mosquera, victor/F-3070-2016; Rodriguez-Dafonte, Pedro/I-6241-2016; Leis, J. Ramon/JDW-1586-2023; Mejuto, Juan C./L-5900-2014</t>
  </si>
  <si>
    <t>mosquera, victor/0000-0002-2863-5652; Rodriguez-Dafonte, Pedro/0000-0001-6508-0388; Leis, J. Ramon/0009-0004-5541-9383; Mejuto, Juan C./0000-0001-8396-1891</t>
  </si>
  <si>
    <t>0021-9797</t>
  </si>
  <si>
    <t>1095-7103</t>
  </si>
  <si>
    <t>SEP 15</t>
  </si>
  <si>
    <t>10.1016/j.jcis.2005.03.084</t>
  </si>
  <si>
    <t>WOS:000231571500026</t>
  </si>
  <si>
    <t>Sepulveda, W; Sepulveda-Swatson, E; Sanchez, J</t>
  </si>
  <si>
    <t>Diastrophic dysplasia: prenatal three-dimensional ultrasound findings</t>
  </si>
  <si>
    <t>ULTRASOUND IN OBSTETRICS &amp; GYNECOLOGY</t>
  </si>
  <si>
    <t>0960-7692</t>
  </si>
  <si>
    <t>1469-0705</t>
  </si>
  <si>
    <t>10.1002/uog.988</t>
  </si>
  <si>
    <t>WOS:000220287300024</t>
  </si>
  <si>
    <t>Zorn, TMT; Soto-Suazo, M; Pellegrini, CR; Oliveira, JG; Stumpf, WE</t>
  </si>
  <si>
    <t>Estradiol receptor binding to the epithelium of uterine lumen and glands: region- and time-related changes during preimplantation and periimplantation periods studied by autoradiography</t>
  </si>
  <si>
    <t>The presence and changes of estradiol nuclear binding and related functions in uterine luminal and glandular epithelium were studied before and after blastocyst implantation using receptor autoradiography with H-3-estradiol-17beta in association with H-3-thymidine incorporation and immunocytochemical binding of antibody to estrogen receptor ER-alpha. H-3-estradiol nuclear binding is present but variable during days 1.5-7.5 of pregnancy. Sites of strong nuclear binding of H-3-estradiol exhibit strong immunocytochemical staining with ER-alpha antibody. Qualitative and quantitative evaluation of autoradiograms reveal that there is a general increase of nuclear H-3-estradiol binding during the first 3 days after fertilization in both luminal and glandular epithelium. The binding of estradiol is stronger in glandular epithelium from day 2.5 to day 7.5, paralleled by a rise in H-3-thymidine incorporation on day 2.5. By comparison, in the epithelium of the uterine lumen H-3-estradiol nuclear binding is low, but relatively high in epithelial cells at lateral branching of the lumen where the increase in H-3-estradiol binding corresponds to an increased labeling index with H-3-thymidine. A highly differentiated binding of H-3-estradiol to luminal and glandular epithelium was demonstrated with region- and time-specific changes of related effects on cell proliferation, differentiation, and secretion, probably involving involution and remodeling. The strong H-3-estradiol binding to glandular epithelium suggests that estradiol exerts pronounced effects on glandular activities in the periimplantation period.</t>
  </si>
  <si>
    <t>De Oliveira, Jaquelline/ABE-3725-2021; Zorn, Telma/C-4065-2008</t>
  </si>
  <si>
    <t>10.1007/s00418-003-0534-3</t>
  </si>
  <si>
    <t>WOS:000184771300001</t>
  </si>
  <si>
    <t>Alguacil, FJ; Navarro, P</t>
  </si>
  <si>
    <t>Permeation of cadmium through a supported liquid membrane impregnated with CYANEX 923</t>
  </si>
  <si>
    <t>HYDROMETALLURGY</t>
  </si>
  <si>
    <t>An experimental study of Cd(II) transport through a polymer-immobilised liquid membrane (PILM) using Cyanex 923 as carrier has been performed. Factors affecting cadmium permeability, such as stirring speed of the source phase, extractant concentration in the membrane phase, metal, HCl and H3PO4 concentrations in the source phase, etc., have been analyzed. Optimal experimental conditions for Cd(II) permeation and recovery (P-Cd = 34.3 mum/s and 85.8% recovery) were obtained after 3 h using membranes containing 30% v/v Cyanex 923 dissolved in xylene, using a microporous Durapore GVHP support, with water as stripping agent and initial source phase of 0.89 muM Cd, and 100 g/L each of HCl and H3PO4. (C) 2001 Elsevier Science B.V. All rights reserved.</t>
  </si>
  <si>
    <t>alguacil, francisco jose/0000-0002-0247-3384</t>
  </si>
  <si>
    <t>0304-386X</t>
  </si>
  <si>
    <t>10.1016/S0304-386X(01)00163-3</t>
  </si>
  <si>
    <t>WOS:000170071700007</t>
  </si>
  <si>
    <t>Plyushchay, MS</t>
  </si>
  <si>
    <t>Monopole Chern-Simons term: charge-monopole system as a particle with spin</t>
  </si>
  <si>
    <t>NUCLEAR PHYSICS B</t>
  </si>
  <si>
    <t>The topological nature of Chern-Simons term describing the interaction of a charge with magnetic monopole is manifested in two ways: it changes the plane dynamical geometry of a free particle For the cone dynamical geometry without distorting the free (geodesic) character of the motion, and in the limit of zero charge's mass it describes a spin system. This observation allows us to interpret the charge-monopole system alternatively as a free particle of fixed spin with translational and spin degrees of freedom interacting via the helicity constraint, or as a symmetric spinning top with dynamical moment of inertia and isospin U(1) gauge symmetry, or as a system with higher derivatives. The last interpretation is used to get the twister formulation of the system. We show that the reparametrization and scale invariant monopole Chern-Simons term supplied with the kinetic term of the same invariance gives rise to the alternative description for the spin, which is related to the charge-monopole system in a spherical geometry. The relationship between the charge-monopole system and (2 + 1)-dimensional anyon is discussed in the light of the obtained results. (C) 2000 Elsevier Science B.V. All rights reserved.</t>
  </si>
  <si>
    <t>0550-3213</t>
  </si>
  <si>
    <t>1873-1562</t>
  </si>
  <si>
    <t>NOV 20</t>
  </si>
  <si>
    <t>10.1016/S0550-3213(00)00530-7</t>
  </si>
  <si>
    <t>WOS:000165109100015</t>
  </si>
  <si>
    <t>Pardey, AJ; Fernández, M; Canestrari, M; Baricelli, P; Lujano, E; Longo, C; Sartori, R; Moya, SA</t>
  </si>
  <si>
    <t>Rhodium amino complexes [Rh(COD)(amine)2] PF6 immobilized on poly(4-vinylpyridine) as catalysts in the water gas shift reaction</t>
  </si>
  <si>
    <t>REACTION KINETICS AND CATALYSIS LETTERS</t>
  </si>
  <si>
    <t>Catalysts for the water gas shift reaction prepared from Rh(COD)(amine)(2) PF6 (COD = 1,5-cyclooctadiene, amine 4-picoline, 3-picoline, 2-picoline, pyridine, 3,5-lutidine or 2,6-lutidine) immobilized on poly(4-vinylpyridine) in contact with 80% aqueous 2-ethoxyethanol for 1x10(-4) mol Rh/0.5 g of polymer, P(CO) = 0.9 atm at 100 degrees C, are described. The role of the coordinated amine effect on the catalytic activity was investigated.</t>
  </si>
  <si>
    <t>0133-1736</t>
  </si>
  <si>
    <t>10.1007/BF02475779</t>
  </si>
  <si>
    <t>WOS:000081626500017</t>
  </si>
  <si>
    <t>Gamboa, J; Rivelles, VO; Zanelli, J</t>
  </si>
  <si>
    <t>Global anomalies and anyons in 1+1 dimensions</t>
  </si>
  <si>
    <t>PHYSICS LETTERS B</t>
  </si>
  <si>
    <t>We consider the analog in one spatial dimension of the Bose-Fermi transmutation for planar systems. A quantum mechanical system of a spin 1/2 particle coupled to an abelian gauge field, which is classically invariant under gauge transformations and charge conjugation is studied. It is found that unless the flux enclosed by the particle orbits is quantized, and the spin takes a value n + 1/2, at least one of the two symmetries would be anomalous. Thus, charge conjugation invariance and the existence of abelian instantons simultaneously force the particles to be either bosons or fermions, but not anyons. (C) 1997 Published by Elsevier Science B.V.</t>
  </si>
  <si>
    <t>Gamboa, Jorge/R-8744-2019; Rivelles, Victor/N-3255-2013</t>
  </si>
  <si>
    <t>Rivelles, Victor/0000-0002-2037-5665</t>
  </si>
  <si>
    <t>0370-2693</t>
  </si>
  <si>
    <t>MAR 13</t>
  </si>
  <si>
    <t>3-4</t>
  </si>
  <si>
    <t>10.1016/S0370-2693(97)00042-7</t>
  </si>
  <si>
    <t>WOS:A1997WM73800019</t>
  </si>
  <si>
    <t>Osorio, H; Laporte, D; Romero, S; Vidal, C; Martínez, F; Espinoza, D; Romo, X; Gallegos, D; González, A; Moenne, A</t>
  </si>
  <si>
    <t>Osorio, Hector; Laporte, Daniel; Romero, Stephanie; Vidal, Constanza; Martinez, Fabian; Espinoza, Daniela; Romo, Ximena; Gallegos, David; Gonzalez, Alberto; Moenne, Alejandra</t>
  </si>
  <si>
    <t>Purification and Characterization of Ulvans from Chilean Ulva lactuca and Assessment of the Stimulation of Growth Induced by Ulvans and Oligo-Ulvans in Arabidopsis thaliana</t>
  </si>
  <si>
    <t>JOURNAL OF PLANT GROWTH REGULATION</t>
  </si>
  <si>
    <t>To study the effect of ulvans and oligo-ulvans on the stimulation of growth in Arabidopsis thaliana, extracts of Chilean U. lactuca were prepared in water at pH = 7 and pH = 4, and ulvans were purified. The yield of ulvans was 16% of dry weight in both extracts and molecular weights were 115 kDa in extract at pH = 7 and 70 kDa in extract at pH = 4. Purified ulvans were analyzed by FT-IR and H-1 RMN showing carboxyl and sulfate groups and they are constituted by rhamnose, rhamnose-3S, xylose and glucuronic acid, but not by iduronic acid. The antioxidant capacities of U. lactuca extracts were determined showing that ulvans are the main contributors to antioxidant capacity whereas ascorbate, glutathione, and phenolic compounds exert a minor contribution. To analyze whether ulvans and oligo-ulvans can stimulate plant growth, oligo-ulvans were prepared by acid hydrolysis and they were sprayed on A. thaliana leaves. Ulvans and oligo-ulvans increased A. thaliana biomass, fresh and dry weight, rosette diameter, number of leaves, and length of the main root, mainly oligo-ulvans. To determine whether the increase in plant growth may involve an enhanced basal metabolism and cell division, the level of transcripts encoding enzymes involved in C, N, and S assimilation, and proteins controlling cell cycle were analyzed. The expression of the latter genes was increased, mainly in response to oligo-ulvans. Thus, ulvans and oligo-ulvans stimulate growth of A. thaliana plants probably by increasing basal metabolism and cell division.</t>
  </si>
  <si>
    <t>Figueroa, Alberto/AAA-7911-2020</t>
  </si>
  <si>
    <t>Moenne, Alejandra/0000-0002-7309-9713; Espinoza, Daniela/0000-0002-9765-7468</t>
  </si>
  <si>
    <t>0721-7595</t>
  </si>
  <si>
    <t>1435-8107</t>
  </si>
  <si>
    <t>10.1007/s00344-023-11229-z</t>
  </si>
  <si>
    <t>JAN 2024</t>
  </si>
  <si>
    <t>WOS:001136115000002</t>
  </si>
  <si>
    <t>Cerpa, E; Corrales, N; Courdurier, M; Medina, LE; Paduro, E</t>
  </si>
  <si>
    <t>Cerpa, Eduardo; Corrales, Nathaly; Courdurier, Matias; Medina, Leonel E.; Paduro, Esteban</t>
  </si>
  <si>
    <t>THE IMPACT OF HIGH-FREQUENCY-BASED STABILITY ON THE ONSET OF ACTION POTENTIALS IN NEURON MODELS</t>
  </si>
  <si>
    <t>SIAM JOURNAL ON APPLIED MATHEMATICS</t>
  </si>
  <si>
    <t>This paper studies the phenomenon of conduction block in model neurons using high- frequency biphasic stimulation (HFBS). The focus is investigating the triggering of undesired onset action potentials when the HFBS is turned on. The approach analyzes the transient behavior of an averaged system corresponding to the FitzHugh-Nagumo neuron model using Lyapunov and quasi- static methods. The first result provides a more comprehensive understanding of the onset activation through a mathematical proof of how to avoid it using a ramp in the amplitude of the oscillatory source. The second result tests the response of the blocked system to a piecewise linear stimulus, providing a quantitative description of how the HFBS strength translates into conduction block robustness. The results of this work can provide insights for the design of electrical neurostimulation therapies.</t>
  </si>
  <si>
    <t>Cerpa, Eduardo/D-1369-2015; Courdurier, Matias/AGR-1533-2022; Medina, Leonel E/AAE-2173-2019</t>
  </si>
  <si>
    <t>Courdurier, Matias/0000-0002-2161-0356; Medina, Leonel E/0000-0002-4170-9281; Paduro, Esteban/0000-0003-1769-0055; Cerpa, Eduardo/0000-0001-9974-324X</t>
  </si>
  <si>
    <t>0036-1399</t>
  </si>
  <si>
    <t>1095-712X</t>
  </si>
  <si>
    <t>10.1137/24M1645632</t>
  </si>
  <si>
    <t>WOS:001380638100002</t>
  </si>
  <si>
    <t>Aedo, JN; Cruchaga, MA; Storti, MA</t>
  </si>
  <si>
    <t>Aedo, Jonathan Nunez; Cruchaga, Marcela A.; Storti, Mario A.</t>
  </si>
  <si>
    <t>A numerical and experimental study of a buoy interacting with waves</t>
  </si>
  <si>
    <t>INTERNATIONAL JOURNAL OF NUMERICAL METHODS FOR HEAT &amp; FLUID FLOW</t>
  </si>
  <si>
    <t>PurposeThis paper aims to report the study of a fluid buoy system that includes wave effects, with particular emphasis on validating the numerical results with experimental data.Design/methodology/approachA fluid-solid coupled algorithm is proposed to describe the motion of a rigid buoy under the effects of waves. The Navier-Stokes equations are solved with the open-source finite volume package Code Saturne, in which a free-surface capture technique and equations of motion for the solid are implemented. An ad hoc experiment on a laboratory scale is built. A buoy is placed into a tank partially filled with water; the tank is mounted into a shake table and subjected to controlled motion that promotes waves. The experiment allows for recording the evolution of the free surface at the control points using the ultrasonic sensors and the movement of the buoy by tracking the markers by postprocessing the recorded videos. The numerical results are validated by comparison with the experimental data.FindingsThe implemented free-surface technique, developed within the framework of the finite-volume method, is validated. The best-obtained agreement is for small amplitudes compatible with the waves evolving under deep-water conditions. Second, the algorithm proposed to describe rigid-body motion, including wave analysis, is validated. The numerical body motion and wave pattern satisfactorily matched the experimental data. The complete 3D proposed model can realistically describe buoy motions under the effects of stationary waves.Originality/valueThe novel aspects of this study encompass the implementation of a fluid-structure interaction strategy to describe rigid-body motion, including wave effects in a finite-volume context, and the reported free-surface and buoy position measurements from experiments. To the best of the authors' knowledge, the numerical strategy, the validation of the computed results and the experimental data are all original contributions of this work.</t>
  </si>
  <si>
    <t>Cruchaga, Marcela/M-7522-2014</t>
  </si>
  <si>
    <t>Nunez, Jonathan/0000-0003-2008-5219</t>
  </si>
  <si>
    <t>0961-5539</t>
  </si>
  <si>
    <t>1758-6585</t>
  </si>
  <si>
    <t>JAN 2</t>
  </si>
  <si>
    <t>10.1108/HFF-01-2023-0040</t>
  </si>
  <si>
    <t>NOV 2023</t>
  </si>
  <si>
    <t>WOS:001093454900001</t>
  </si>
  <si>
    <t>Salles, P; Teran-Jimenez, M; Palma, BH; Retamal, M; Chana-Cuevas, P</t>
  </si>
  <si>
    <t>Salles, P.; Teran-Jimenez, M.; Palma, B. -H.; Retamal, M.; Chana-Cuevas, P.</t>
  </si>
  <si>
    <t>FEARS AND CERTAINTIES OF CHILEAN NEUROLOGISTS IN THE THERAPEUTIC APPROACH TO PARKINSON'S DISEASE</t>
  </si>
  <si>
    <t>PARKINSONISM &amp; RELATED DISORDERS</t>
  </si>
  <si>
    <t>Chana-Cuevas, Pedro/AAM-8215-2020</t>
  </si>
  <si>
    <t>1353-8020</t>
  </si>
  <si>
    <t>1873-5126</t>
  </si>
  <si>
    <t>P 129</t>
  </si>
  <si>
    <t>WOS:001056372700150</t>
  </si>
  <si>
    <t>Vidal, J; Báez, ME</t>
  </si>
  <si>
    <t>Vidal, Jorge; Baez, Maria E.</t>
  </si>
  <si>
    <t>Behavior of chlorpyrifos and 3,5,6-trichloro-2-pyridinol (TCP) in a sodium-dodecyl sulphate-electrokinetic soil washing system</t>
  </si>
  <si>
    <t>Chlorpyrifos (CPF) is widely used around the world as an insecticide to control various insect pests. Numerous studies have shown that CPF and its main metabolite, 3,5,6-trichloropyridinol (TCP) are potential contaminants of soils and water resources. In this work an electro-kinetic soil washing treatment with alternating polarity (EKSW-AP) using the anionic surfactant SDS (4 times CMC) in the washing solution was studied as a possible strategy for CPF remediation in soils. The experiments were performed in two types of soils applying an electric field between the electrodes of 1 V cm-1 during 15 days of operation. The main results of this work showed that SDS does not improve the possibility of mobilization of CPF and TCP in the EKSW-AP treatment, due to the low remaining concentration after its adsorption on soils. In the reference systems, without current application, the recovery of CPF was close to 100% of the added mass whereas in the EKSW-AP systems recoveries reached values near to 80%. Kinetic studies performed in untreated soils revealed only the formation of TCP without any other degradation product. Therefore, EKSW-AP process likely favored the degradation of both compounds CPF and TCP, with the formation of another more polar by-product that was obtained in the collector wells. The results of this study showed that the EKSW-AP with the application of SDS does not significantly alter the physicochemical properties of the soils.</t>
  </si>
  <si>
    <t>Vidal, Jorge/0000-0002-1334-377X; Baez Contreras, Maria E/0000-0003-0312-7237</t>
  </si>
  <si>
    <t>MAR 20</t>
  </si>
  <si>
    <t>10.1016/j.electacta.2023.141936</t>
  </si>
  <si>
    <t>FEB 2023</t>
  </si>
  <si>
    <t>WOS:000991850700001</t>
  </si>
  <si>
    <t>Ahumada, M; Ledesma-Araujo, A; Gordillo, L; Marín, JF</t>
  </si>
  <si>
    <t>Ahumada, M.; Ledesma-Araujo, A.; Gordillo, L.; Marin, J. F.</t>
  </si>
  <si>
    <t>Mutation and SARS-CoV-2 strain competition under vaccination in a modified SIR model</t>
  </si>
  <si>
    <t>CHAOS SOLITONS &amp; FRACTALS</t>
  </si>
  <si>
    <t>The crisis caused by the COVID-19 outbreak around the globe raised an increasing concern about the ongoing emergence of variants of the virus that may evade the immune response provided by vaccines. New variants appear due to mutation, and as the cases accumulate, the probability of the emergence of a variant of concern increases. In this article, we propose a modified susceptible, infected, and recovered (SIR) model with waning immunity that captures the competition of two strain classes of an infectious disease under the effect of vaccination with a highly contagious and deadlier strain class emerging from a prior strain due to mutation. When these strains compete for a limited supply of susceptible individuals, changes in the efficiency of vaccines may affect the behaviour of the disease in a non-trivial way, resulting in complex outcomes. We characterise the parameter space including intrinsic parameters of the disease, and using the vaccine efficiencies as control variables. We find different types of transcritical bifurcations between endemic fixed points and a disease -free equilibrium and identify a region of strain competition where the two strain classes coexist during a transient period. We show that a strain can be extinguished either due to strain competition or vaccination, and we obtain the critical values of the efficiency of vaccines to eradicate the disease. Numerical studies using parameters estimated from publicly reported data agree with our theoretical results. Our mathematical model could be a tool to assess quantitatively the vaccination policies of competing and emerging strains using the dynamics in epidemics of infectious diseases.</t>
  </si>
  <si>
    <t>Marin, Juan/J-6676-2019; GORDILLO, Leonardo/I-8215-2014</t>
  </si>
  <si>
    <t>Marin, Juan/0000-0003-3756-5016; GORDILLO, Leonardo/0000-0002-9516-1346; Ahumada, Maritza/0000-0003-0320-5768</t>
  </si>
  <si>
    <t>0960-0779</t>
  </si>
  <si>
    <t>1873-2887</t>
  </si>
  <si>
    <t>10.1016/j.chaos.2022.112964</t>
  </si>
  <si>
    <t>WOS:000993860200001</t>
  </si>
  <si>
    <t>Schlack, E; Araujo, K</t>
  </si>
  <si>
    <t>Schlack, Elke; Araujo, Kathya</t>
  </si>
  <si>
    <t>Public space: alternative registers to think and build public space in Latin American cities</t>
  </si>
  <si>
    <t>REVISTA INVI</t>
  </si>
  <si>
    <t>Araujo, Kathya/B-5520-2014</t>
  </si>
  <si>
    <t>0718-1299</t>
  </si>
  <si>
    <t>0718-8358</t>
  </si>
  <si>
    <t>10.5354/0718-8358.2022.68886</t>
  </si>
  <si>
    <t>WOS:000890056400001</t>
  </si>
  <si>
    <t>Segueida-Lorca, A; Barrera, J; Valenzuela-Contreras, L; Herrera-Valenzuela, T</t>
  </si>
  <si>
    <t>Segueida-Lorca, Alvaro; Barrera, Joel; Valenzuela-Contreras, Luis; Herrera-Valenzuela, Tomas</t>
  </si>
  <si>
    <t>Comparing Body Composition in Young Footballers Categorised by Bio-Banding</t>
  </si>
  <si>
    <t>APUNTS EDUCACION FISICA Y DEPORTES</t>
  </si>
  <si>
    <t>Bio-Banding (BB) is a new way of categorising young athletes that considers the variation in maturity stage. To date, differences in body composition as an aspect of performance have not been investigated in young footballers categorised by BB. Therefore, the aim of the present study was to describe and compare the body composition of young football players between BB categories. One hundred and twentyeight young male players (age: 14.88 +/- 1.76 years) from a professional football club in Chile participated in this study. Body composition was assessed with anthropometry and compared with ANOVA and Kruskal-Wallis tests. Significant differences were found between BB categories in body mass (p &lt; .0001); height (p &lt; .0001); muscle mass (p &lt; .0001); bone mass (p &lt; .0001); adipose tissue mass (p &lt; .0001); skeletal muscle mass index (p &lt; .0001) and the sum of 6 skinfolds (p = .0172). The findings of the present study reveal that the process of growth and maturity can be seen in: (i) the greatest increase in height and body mass, (ii) the increase in muscle mass and bone mass, (iii) the smallest increase in adipose tissue mass and SMI, and to a lesser extent, (iv) the evolution of the sum of 6 skinfolds. As a projection of the research, these results can be applied by clubs and coaches as baseline for changes in body size and composition, in order to include BB in the processes of identification, selection and development of talented young athletes.</t>
  </si>
  <si>
    <t>Herrera-Valenzuela, Tomas/L-1819-2019; Barrera, Joel/AEM-4974-2022</t>
  </si>
  <si>
    <t>1577-4015</t>
  </si>
  <si>
    <t>2014-0983</t>
  </si>
  <si>
    <t>JUL-SEP</t>
  </si>
  <si>
    <t>10.5672/apunts.2014-0983.es.(2022/3).149.05</t>
  </si>
  <si>
    <t>WOS:000822508800002</t>
  </si>
  <si>
    <t>Saavedra, E; Palma, JL; Escrig, J</t>
  </si>
  <si>
    <t>Saavedra, E.; Palma, J. L.; Escrig, J.</t>
  </si>
  <si>
    <t>Dynamic susceptibility spectra of stadium-shaped and elliptical nanostructures</t>
  </si>
  <si>
    <t>We investigated the dynamic susceptibility in the absence of a bias field of stadium-shaped and elliptical nanostructures by micromagnetic simulations. Both the resonant frequencies and the number of peaks depend on the minimum energy configuration, which in turn is a function of the aspect ratio of the system. Dynamic susceptibility does not vary much if the nanostructure is stadium-shaped or elliptical, if its lowest energy state is a vortex. If the configuration is a saturated state, the low resonance frequency is only visible in stadium-shaped nanostructures and not in elliptical nanostructures, which is justified by the impact of the curvature of each nanostructure. The possibility of controlling frequencies by modifying the geometric parameters of the system suggests the possibility of using these nanostructures in potential magnetic controllable frequency devices.</t>
  </si>
  <si>
    <t>Saavedra, Eduardo/IQS-4264-2023; Palma, Juan/IAP-4554-2023; Escrig, Juan/N-4304-2015</t>
  </si>
  <si>
    <t>Saavedra Diaz, Eduardo Andres/0000-0002-2842-2526; Palma, JuanLuis/0000-0003-2068-174X; Escrig, Juan/0000-0002-3958-8185</t>
  </si>
  <si>
    <t>JAN 1</t>
  </si>
  <si>
    <t>10.1016/j.jmmm.2021.168493</t>
  </si>
  <si>
    <t>WOS:000705052500011</t>
  </si>
  <si>
    <t>Torres, L; Saavedra, K; Pincheira, G; Pina, JC</t>
  </si>
  <si>
    <t>Torres, Luis; Saavedra, Karin; Pincheira, Gonzalo; Pina, Juan Carlos</t>
  </si>
  <si>
    <t>Simulation of Mode I Interlaminar Damage of a GFRP Composite Using Cohesive Laws in the Framework of the Equivalent LEFM R-Curve and an Optimised Algorithm</t>
  </si>
  <si>
    <t>This paper is focused on mode I delimitation of a unidirectional glass fibre reinforced polymer (GFRP) composite. The aim is to propose an accurate and simple characterisation of three cohesive zone models (CZM)-bilinear, trilinear, and potential-from the measurement of the load-displacement curve during a double cantilever beam experimental test. For that, a framework based on the equivalent linear elastic fracture mechanics (LEFM) R-curve is here proposed, which has never before been developed for a bilinear and a potential CZM. Besides, in order to validate this strategy, an optimisation algorithm for solving an inverse problem is also implemented. It is shown that the parameters' identification using the equivalent LEFM R-curve enables the same accuracy but reduces 72% the numerical efforts respect to a blind fitting (i.e., the optimisation algorithm). Therefore, even if optimisation techniques become popular at present due to their easy numerical implementation, strategies founded on physical models are still better solutions especially when evaluating the objective function is expensive as in mechanical problems.</t>
  </si>
  <si>
    <t>Saavedra, Karin/AAH-9453-2021; Pina, Juan/AAC-3455-2021</t>
  </si>
  <si>
    <t>Torres, Luis Ignacio/0000-0003-3476-5186; Saavedra, Karin/0000-0002-6795-0540; Pina, Juan Carlos/0000-0003-2556-3638; Pincheira, Gonzalo/0000-0002-5853-0448</t>
  </si>
  <si>
    <t>10.3390/polym13091482</t>
  </si>
  <si>
    <t>WOS:000650705300001</t>
  </si>
  <si>
    <t>Hernández, W; Dammert, L; Kanashiro, L</t>
  </si>
  <si>
    <t>Hernandez, Wilson; Dammert, Lucia; Kanashiro, Lilian</t>
  </si>
  <si>
    <t>Fear of crime examined through diversity of crime, social inequalities, and social capital: An empirical evaluation in Peru</t>
  </si>
  <si>
    <t>AUSTRALIAN AND NEW ZEALAND JOURNAL OF CRIMINOLOGY</t>
  </si>
  <si>
    <t>Latin America is a violent region where fear of crime is well spread but still not fully understood. Using multilevel methods for a large and subnational representative household survey (N = 271,022), we assess the determinants of fear of crime in Peru, the country with the highest fear of crime and crime victimization in the region. Our results show that body-aimed victimization (physical or sexual abuse from a member of their household, and sexual offenses) is the strongest driver of fear of crime, even higher than armed victimization. Moreover, safety measures based on social capital are negatively related to fear of crime, suggesting that they are palliatives rather than real protections. Finally, our study shows that people in a higher socioeconomic status are more likely to fear more because they have more (resources) to lose. Policy implications address Latin America as a whole and punitive policies against crime are common in the region, while evidence-based decisions are scarce.</t>
  </si>
  <si>
    <t>Dammert, Lucia/U-2327-2019; KANASHIRO, LILIAN/AAI-7007-2021</t>
  </si>
  <si>
    <t>Dammert, Lucia/0000-0003-1239-4425; KANASHIRO, LILIAN/0000-0003-0486-3105; Hernandez, Wilson/0000-0002-1280-5709</t>
  </si>
  <si>
    <t>0004-8658</t>
  </si>
  <si>
    <t>1837-9273</t>
  </si>
  <si>
    <t>10.1177/0004865820954466</t>
  </si>
  <si>
    <t>SEP 2020</t>
  </si>
  <si>
    <t>WOS:000566909500001</t>
  </si>
  <si>
    <t>Pereira, SA; dos Santos, SBF; Rodrigues, FAM; Fechine, LMUD; Vieira, IGP; Denardin, JC; Araneda, F; Ribeiro, MENP; Gramosa, NV; Ricardo, NMPS</t>
  </si>
  <si>
    <t>Pereira, Stefano A.; dos Santos, Sarah B. F.; Rodrigues, Francisco A. M.; Fechine, Lillian M. U. D.; Vieira, Icaro G. P.; Denardin, Juliano C.; Araneda, Fabian; Ribeiro, Maria Elenir N. P.; Gramosa, Nilce, V; Ricardo, Nagila M. P. S.</t>
  </si>
  <si>
    <t>Hydroxyethyl starch nanocapsules by multiple nanoemulsions for carrying and controlled release of lapachol</t>
  </si>
  <si>
    <t>MATERIALS LETTERS</t>
  </si>
  <si>
    <t>In the present work, an alternative to synthesized nanocapsules in which the lipophilic core was a multiple nanoemulsification forming a complex system constituted of various phases was studied. A primary emulsion (O/W) was poured into another lipophilic solvent, forming a multiple nanoemulsion (O/W/O) able to provide the encapsulation of lapachol, a lipophilic drug. The synthesized nanocapsules were well characterized and the results demonstrate a core-shell morphology, based on the polyurethane formation that exists in the cross-linked starch shell. Furthermore, these systems have moderate stability, with particle size measuring up to 274 nm. The nanocapsules containing lapachol encapsulated 73% of the drug initially added. This demonstrates success in the synthetic route adopted, evidenced by the efficiency of incorporation of the lapachol, in addition of providing a controlled release, reaching 51.4% in 24 h. This behavior shows that the polymeric shell influences the drug release profile and it is in accordance with the kinetic model proposed by Peppas.</t>
  </si>
  <si>
    <t>GRAMOSA, NILCE/I-5656-2017; Ricardo, Nágila/C-3630-2015; Denardin, Juliano/S-6407-2019; Dutra, Lillian/AAD-7774-2022; Ribeiro, Maria Elenir/V-2384-2019; Gusmao Pinto Vieira, Icaro/K-5273-2016</t>
  </si>
  <si>
    <t>Fechine, Lillian/0000-0002-4207-349X; pereira, stefano/0000-0002-2206-6380; Ribeiro, Maria Elenir/0000-0001-6896-7179; Gusmao Pinto Vieira, Icaro/0000-0002-0576-3643</t>
  </si>
  <si>
    <t>0167-577X</t>
  </si>
  <si>
    <t>1873-4979</t>
  </si>
  <si>
    <t>SEP 1</t>
  </si>
  <si>
    <t>10.1016/j.matlet.2020.127983</t>
  </si>
  <si>
    <t>WOS:000539960000017</t>
  </si>
  <si>
    <t>Caputo, R; Pedersen, M</t>
  </si>
  <si>
    <t>Caputo, Rodrigo; Pedersen, Michael</t>
  </si>
  <si>
    <t>The changing nature of the real exchange rate: The role of central bank preferences</t>
  </si>
  <si>
    <t>ECONOMIC MODELLING</t>
  </si>
  <si>
    <t>We investigate the sources of real exchange rate fluctuations. We do so, first, in the context of a DSGE model that explicitly considers the central bank's preferences. Then we estimate SVAR models, where shocks are identified by sign restrictions derived from the DSGE model. We perform this exercise for twelve countries, nine of which have adopted inflation targeting during the period analyzed. In sharp contrast to the previous evidence in the literature, we find that exchange rate (country risk premium) shocks have become the main drivers of real exchange rate dynamics, while real shocks play a less important role. Evidence from the DSGE model reveals that, as the central bank becomes more averse to inflation movements, and cares less about nominal exchange rate fluctuations, the impact of nominal shocks on the real exchange rate tends to increase, while the impact of real shocks decreases. Our results suggest that the adoption of inflation targeting, along with a floating exchange rate, contributes to a shift in the relative importance of demand and country risk premium shocks in determining the RER.</t>
  </si>
  <si>
    <t>Caputo Galarce, Rodrigo Ernesto/0000-0003-1658-2802; Pedersen, Michael/0000-0002-8040-6566</t>
  </si>
  <si>
    <t>0264-9993</t>
  </si>
  <si>
    <t>1873-6122</t>
  </si>
  <si>
    <t>10.1016/j.econmod.2019.11.029</t>
  </si>
  <si>
    <t>WOS:000540674000033</t>
  </si>
  <si>
    <t>Warma, M; Zamorano, S</t>
  </si>
  <si>
    <t>Warma, Mahamadi; Zamorano, Sebastian</t>
  </si>
  <si>
    <t>Analysis of the controllability from the exterior of strong damping nonlocal wave equations*</t>
  </si>
  <si>
    <t>ESAIM-CONTROL OPTIMISATION AND CALCULUS OF VARIATIONS</t>
  </si>
  <si>
    <t>We make a complete analysis of the controllability properties from the exterior of the (possible) strong damping wave equation associated with the fractional Laplace operator subject to the non-homogeneous Dirichlet type exterior condition. In the first part, we show that if 0 &lt; 1, Omega subset of R-N(N &gt;= 1) is a bounded Lipschitz domain and the parameter delta &gt; 0, then there is no control functiongsuch that the following system {u(tt) + ((-Delta)(s) u + delta(-Delta)(s) u(t) = 0 in Omega x (0, T), u = g chi(Ox(0,T)) in (R-N\Omega) x (0, T), u(., 0) = u(0), u(t)(., 0) = u(1) in Omega, is exact or null controllable at time T &gt; 0. In the second part, we prove that for every delta &gt;= 0 and 0 &lt; s &lt; 1, the system is indeed approximately controllable for any T &gt; 0 and g is an element of D(O x(0; T)), where O subset of R-N\Omega is any non-empty open set.</t>
  </si>
  <si>
    <t>Zamorano, Sebastián/AAY-2547-2020</t>
  </si>
  <si>
    <t>Zamorano, Sebastian/0000-0001-5592-9085; Warma, Mahamadi/0000-0002-2342-9585</t>
  </si>
  <si>
    <t>1292-8119</t>
  </si>
  <si>
    <t>1262-3377</t>
  </si>
  <si>
    <t>JUL 17</t>
  </si>
  <si>
    <t>10.1051/cocv/2019028</t>
  </si>
  <si>
    <t>WOS:000553129900001</t>
  </si>
  <si>
    <t>Pino-Rios, R; Inostroza, D; Cárdenas-Jirón, G; Tiznado, W</t>
  </si>
  <si>
    <t>Pino-Rios, Ricardo; Inostroza, Diego; Cardenas-Jiron, Gloria; Tiznado, William</t>
  </si>
  <si>
    <t>Orbital-Weighted Dual Descriptor for the Study of Local Reactivity of Systems with (Quasi-) Degenerate States</t>
  </si>
  <si>
    <t>JOURNAL OF PHYSICAL CHEMISTRY A</t>
  </si>
  <si>
    <t>An alternative response function, based on the dual descriptor in terms of Koopmans' approximation, is hereby proposed for the description of chemical reactivity in systems with (quasi-) degenerate frontier molecular orbitals. This descriptor is constructed from Fukui functions that include contributions from different orbitals, i.e., orbital-weighted Fukui functions. The methodology is applied to three case studies: the first case consists of a series of benchmark organic and inorganic molecules from which the dual descriptor, based only on frontier orbitals, is not appropriate to describe their reactivity. The second case deals with the proper description of chemical reactivity in Diels-Alder reactions between fullerene C-60 and cyclopentadiene (CP), revealing the importance of considering secondary orbital interactions for an adequate regioselectivity description. The third, and last case, consists of a series of polycyclic aromatic hydrocarbons (PAHs) possessing molecular orbital degeneracy. By means of analyzing of this descriptor, an alternative approach to the description of aromaticity is proposed. In all cases, the proposed index called orbital-weighted dual descriptor has proven to accurately describe the chemical reactivity and aromaticity of the studied systems.</t>
  </si>
  <si>
    <t>Inostroza, Diego/AAI-5261-2020; Tiznado, William/G-7479-2014; Cardenas-Jiron, Gloria/H-9508-2012</t>
  </si>
  <si>
    <t>Inostroza Mendoza, Diego Estevan/0000-0002-0160-0337; Tiznado, William/0000-0002-6061-8879; Pino Rios, Ricardo/0000-0003-4756-1115; Cardenas-Jiron, Gloria/0000-0003-4305-8088</t>
  </si>
  <si>
    <t>1089-5639</t>
  </si>
  <si>
    <t>1520-5215</t>
  </si>
  <si>
    <t>DEC 12</t>
  </si>
  <si>
    <t>10.1021/acs.jpca.9b07516</t>
  </si>
  <si>
    <t>WOS:000503114800011</t>
  </si>
  <si>
    <t>Bubnovich, V; San Martin, P; Henriquez, L; de Lemos, M</t>
  </si>
  <si>
    <t>Bubnovich, Valeri; San Martin, Pedro; Henriquez, Luis; de Lemos, Marcelo</t>
  </si>
  <si>
    <t>Filtration Gas Combustion in a Porous Ceramic Annular Burner for Thermoelectric Power Conversion</t>
  </si>
  <si>
    <t>HEAT TRANSFER ENGINEERING</t>
  </si>
  <si>
    <t>12th International Conference on Heat Transfer, Fluid Mechanics and Thermodynamics (HEFAT)</t>
  </si>
  <si>
    <t>JUL 11-13, 2016</t>
  </si>
  <si>
    <t>Malaga, SPAIN</t>
  </si>
  <si>
    <t>A numerical study of the combustion of lean methane/air mixtures in a porous media burner is performed using novelty geometry, cylindrical annular space. The combustion process takes place in the porous space located between two pipes, which are filled with alumina beads of 5.6 mm diameter forming a porosity of 0.4. The outer tube diameter of 3.82 cm is isolated; meanwhile the inner tube of 2 cm in diameter is covered by a continuous set of thermoelectric elements (TE) for transforming heat energy into electricity. To achieve and maintain the proper temperature gradient on TE, convective heat losses are considered from the TE. Computer simulations focus on the two-dimensional (2D) temperature analysis and displacement dynamics of the combustion front inside the reactor, depending on the values of the filtration velocity (0.1 to 1.0 m/s), the heat loss coefficient from the internal cylinder (400-1500 W/m(2)/K), and the fuel equivalence ratio (0.06- 0.5). The conditions that maximized the overall performance of the process of energy conversion are: 0.7 m/s of the filtration velocity, 0.363 of the fuel equivalence ratio and 1500 W/(m(2 center dot)K) of the heat transfer coefficient from the internal cylinder, to obtain 2.05 V electrical potential, 21 W of electrical power, and 5.64% of the overall process efficiency. The study shows that the cylindrical annular geometry can be used for converting the energy of combustion from lean gas mixtures into electricity, with a performance similar to the specified by manufacturers of thermoelectric elements (TE).</t>
  </si>
  <si>
    <t>Henríquez-Vargas, Luis/Q-3617-2019; de Lemos, Marcelo J. S./A-2489-2010</t>
  </si>
  <si>
    <t>de Lemos, Marcelo J. S./0000-0001-8810-1938</t>
  </si>
  <si>
    <t>0145-7632</t>
  </si>
  <si>
    <t>1521-0537</t>
  </si>
  <si>
    <t>AUG 27</t>
  </si>
  <si>
    <t>13-14</t>
  </si>
  <si>
    <t>10.1080/01457632.2018.1457278</t>
  </si>
  <si>
    <t>WOS:000472768800012</t>
  </si>
  <si>
    <t>Estenssoro, F</t>
  </si>
  <si>
    <t>Estenssoro, F; Vasquez, JP</t>
  </si>
  <si>
    <t>Estenssoro, Fernando</t>
  </si>
  <si>
    <t>NATURAL RESOURCE SCARCITY AND ENVIRONMENTAL CRISIS AS STRATEGIC THREATS TO THE SECURITY OF THE UNITED STATES. The implications for Latin America in the 21st century</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</si>
  <si>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</si>
  <si>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978-956-303-364-9</t>
  </si>
  <si>
    <t>WOS:000668284400002</t>
  </si>
  <si>
    <t>Monsalve, A; Parra, L; Baeza, D; Solís, R; Palza, H</t>
  </si>
  <si>
    <t>Monsalve, Alberto; Parra, Luis; Baeza, Diego; Solis, Roberto; Palza, Humberto</t>
  </si>
  <si>
    <t>Mechanical properties and morphological characteristics of ARALL reinforced with TRGO doped epoxy resin</t>
  </si>
  <si>
    <t>MATERIA-RIO DE JANEIRO</t>
  </si>
  <si>
    <t>Mechanical properties in tension, bending, fatigue and lap-shear in two different proportions (0.5% wt and 1% wt) of TRGO (Thermally Reduced Graphite Oxide) doped ARALL (Aramid Aluminium Laminate) were examined. The materials and their failure modes were characterized morphologically by examination through SEM (Scanning Electron Microscopy). Some mechanical properties of ARALL were improved when doped with 0.5% of TRGO, showing a significant increase of fatigue properties, as well as a change in fracture surface morphology. Tension and bending properties showed variable results and further studies should be carried out to arrive to definitive conclusions, while lap-shear testing showed lower shear values. The results were statistically validated through mono-factorial variance analysis. Comparing the present results with previous work on CNT (Carbon Nanotubes) doped ARALL, it can be stated that: (a) TRGO doped ARALL showed improved fatigue properties when compared with non-doped ARALL, but in a less effective way than doping with CNT, (b) TRGO doped ARALL tension properties showed no significant variation as compared with ARALL alone, showing no deleterious influence as in the CNT doping case, (c) TRGO doped ARALL bending properties resulted better than non-doped ARALL, but similar than those obtained when doping with CNT and (d) TRGO decreased the adherence between aramid fiber impregnated L20 epoxy resin and aluminium. These last results are sustained based on observed improvements as a percentage value, without a statistical variance analysis made on CNT doped ARALL.</t>
  </si>
  <si>
    <t>Palza, Humberto/H-2782-2014; Solis, Roberto/ABE-6159-2021</t>
  </si>
  <si>
    <t>Monsalve, Alberto/0000-0002-5772-8815</t>
  </si>
  <si>
    <t>1517-7076</t>
  </si>
  <si>
    <t>e-12236</t>
  </si>
  <si>
    <t>10.1590/S1517-707620180004.0570</t>
  </si>
  <si>
    <t>WOS:000452418700027</t>
  </si>
  <si>
    <t>Sánchez, C; Alarcón, E; Morales, H</t>
  </si>
  <si>
    <t>Sanchez, Celso; Alarcon, Eduardo; Morales, Hugo</t>
  </si>
  <si>
    <t>Morphofunctional Foot Characteristics of Chilean University Athletes in Ten Sports Disciplines</t>
  </si>
  <si>
    <t>INTERNATIONAL JOURNAL OF MORPHOLOGY</t>
  </si>
  <si>
    <t>It is known that there is great variability in the morphology of feet areas among different subjects. This is more evident in athletes, since the practice of sports subjects their feet to greater pressures and anatomical deformations, other than those exerted during daily life activities. It is clear therefore, that knowledge of the target population foot morphology is of high interest for the production of appropriate footwear to its shapes and dimensions. The objective of this research is to characterize morphological variables related to the feet of selected Chilean university athletes. The sample consisted of 169 subjects of both sexes of university population athletes of an average age of 23.27 years, 71 kilograms, 1.71 meters height and body mass index of 24.29. An anthropometer was used for measurements and the classification of the Medial Longitudinal Plantar Arch (MLPA) was performed by the Arch Index. It was shown that foot length corresponds to 15 % of the subject's height. The Normal Forefoot Width (NFW) variable is equal to 39% of Foot Length (FL), with no differences between sexes. Posterior foot width corresponded to 25 % of LP; posterior foot Width is 63 % of the Forefoot Width (AA). Regarding the APLM, women presented values of normality located between 0.13 and 0.24 for left foot and 0.17 and 0.24 for right foot. The prevalence of flat foot was higher in men (25 % to 28%) than in women (4 % to 6 %) and the prevalence of cavus foot was higher in women (47 % to 53 %) than in men (27 % to 31 %).</t>
  </si>
  <si>
    <t>0717-9502</t>
  </si>
  <si>
    <t>0717-9367</t>
  </si>
  <si>
    <t>10.4067/S0717-95022017000401403</t>
  </si>
  <si>
    <t>WOS:000428048400036</t>
  </si>
  <si>
    <t>Oyarce, P; Gurovich, L; Calderóon, I</t>
  </si>
  <si>
    <t>Oyarce, Patricio; Gurovich, Luis; Calderon, Ignacio</t>
  </si>
  <si>
    <t>Simulating Hydraulic Behavior of an Agricultural Drain Based on Experimental Data</t>
  </si>
  <si>
    <t>JOURNAL OF IRRIGATION AND DRAINAGE ENGINEERING</t>
  </si>
  <si>
    <t>Simulation models have been used in a limited fashion to describe and characterize soil water flow in saturated conditions as an approach to optimize drainage design parameters. The dynamic hydraulic behavior of an ideal drain can be characterized by a drain intake resistance factor, solving a two-dimensional equation, including humidity retention functions, by a numerical method based on the finite-element analysis tool, describing time variations of streamline magnitudes and direction, water flow radial velocities, relative soil water content, and pressure head profiles throughout the drainage process. Two drainage pipe extraction areas of 7.85 and 39.47 cm(2) m(-1) were simulated, with the drainage system embedded in a homogeneous and isotropic quartz sand under constant and variable discharge conditions. Simulation results indicate that the water entrance resistance factor must be considered in the design of a drainage network because the hydraulic behavior on the agricultural drain depends on its geometric characteristics. (C) 2017 American Society of Civil Engineers.</t>
  </si>
  <si>
    <t>0733-9437</t>
  </si>
  <si>
    <t>1943-4774</t>
  </si>
  <si>
    <t>10.1061/(ASCE)IR.1943-4774.0001185</t>
  </si>
  <si>
    <t>WOS:000408355300001</t>
  </si>
  <si>
    <t>Martínez, P; Magaña, I; Loyola, MS</t>
  </si>
  <si>
    <t>Martinez, Pablo; Magana, Irene; Soledad Loyola, M.</t>
  </si>
  <si>
    <t>It is time to focus on unpaid caregiving</t>
  </si>
  <si>
    <t>REVISTA MEDICA DE CHILE</t>
  </si>
  <si>
    <t>Martínez, Pablo/LZF-5853-2025</t>
  </si>
  <si>
    <t>Loyola, Maria Soledad/0000-0003-1418-558X; Martinez, Pablo/0000-0003-4482-7993</t>
  </si>
  <si>
    <t>0034-9887</t>
  </si>
  <si>
    <t>0717-6163</t>
  </si>
  <si>
    <t>10.4067/S0034-98872017000200017</t>
  </si>
  <si>
    <t>WOS:000396205300017</t>
  </si>
  <si>
    <t>Hall, J; Kellett, S; Berrios, R; Bains, MK; Scott, S</t>
  </si>
  <si>
    <t>Hall, Jo; Kellett, Stephen; Berrios, Raul; Bains, Manreesh Kaur; Scott, Shonagh</t>
  </si>
  <si>
    <t>Efficacy of Cognitive Behavioral Therapy for Generalized Anxiety Disorder in Older Adults: Systematic Review, Meta-Analysis, and Meta-Regression</t>
  </si>
  <si>
    <t>AMERICAN JOURNAL OF GERIATRIC PSYCHIATRY</t>
  </si>
  <si>
    <t>Objective: Generalized anxiety disorder (GAD) is a common disorder in older adults producing functional impairment, and psychotherapy is the preferred treatment option. Meta-analytic methods sought to determine the efficacy of outpatient cognitive behavioral therapy (CBT) with respect to the hallmark feature of GAD-uncontrolled and excessive worry. In order to optimize clinical applicability, variables associated with GAD treatment outcomes were also examined. Methods: Systematic search of relevant databases and iterative searches of references from articles retrieved. All studies were required to have been a randomized control trial (RCT), to have used the Penn StateWorry Questionnaire (PSWQ) or its abbreviated version (PSWQ-A) as an outcome measure, and to have conducted CBT with outpatient older adults. Fourteen RCTs (N = 985) were suitable and random-effects meta-analyses and univariate meta-regressions were conducted. Results: At the end of treatment, and at 6-month followup, significant treatment effects favoring CBT were found in comparison to a waitlist or treatment-as-usual. When CBT was compared with active controls, a small non-significant treatment advantage was found for CBT at the end of treatment, with equivalence of outcomes at follow-up. Treatment effect size of CBT for GAD was significantly associated with attrition rates and depression outcomes. Conclusions: CBT is more helpful than having no treatment for GAD in later life. Nevertheless, whether CBT shows long-term durability, or is superior to other commonly available treatments (such as supportive psychotherapy), remains to be tested. The relationship between treatment effects for GAD and depression following CBT warrants further research.</t>
  </si>
  <si>
    <t>; Berrios, Raul/G-5167-2019</t>
  </si>
  <si>
    <t>Hall, Josephine/0000-0002-6043-4324; Berrios, Raul/0000-0003-1826-7822</t>
  </si>
  <si>
    <t>1064-7481</t>
  </si>
  <si>
    <t>1545-7214</t>
  </si>
  <si>
    <t>10.1016/j.jagp.2016.06.006</t>
  </si>
  <si>
    <t>WOS:000386771200016</t>
  </si>
  <si>
    <t>Lizama, C; Poblete, F</t>
  </si>
  <si>
    <t>Lizama, Carlos; Poblete, Felipe</t>
  </si>
  <si>
    <t>Regularity of mild solutions for a class of fractional order differential equations</t>
  </si>
  <si>
    <t>APPLIED MATHEMATICS AND COMPUTATION</t>
  </si>
  <si>
    <t>In this article we show sufficient conditions ensuring the existence and uniqueness of a mild solution to the equation D alpha u(t) = Au(t) + D alpha-1f (t, u(t)), 1 &lt; alpha &lt;= 2; t is an element of R, (*) in the same space where f belongs. Here A is a sectorial operator defined in a Banach space X; Da is the fractional derivative in the Riemann-Liouville sense and f (x); is an element of Omega(X) X is an element of X for each x 2 X, where X is an element of X is a vector-valued subspace of the space of continuous and bounded functions. The subspaces XdX_ that we will consider in this article are the space of periodic, almost periodic, almost automorphic and compact almost automorphic vector- valued functions, among others. In particular, we extend and unify recent results established for the equation d in the papers Agarwal et al. (2010), Cuevas et al. (2010) and Cuevas and Lizama (2008). (C) 2013 Elsevier Inc. All rights reserved.</t>
  </si>
  <si>
    <t>Poblete, Felipe/E-5670-2014; Lizama, Carlos/E-5909-2011</t>
  </si>
  <si>
    <t>Poblete, Felipe/0009-0004-1219-3839; Lizama, Carlos/0000-0002-9807-1100</t>
  </si>
  <si>
    <t>0096-3003</t>
  </si>
  <si>
    <t>1873-5649</t>
  </si>
  <si>
    <t>NOV 1</t>
  </si>
  <si>
    <t>10.1016/j.amc.2013.09.009</t>
  </si>
  <si>
    <t>WOS:000327734800072</t>
  </si>
  <si>
    <t>ASYMPTOTIC BEHAVIOR OF FRACTIONAL-ORDER SEMILINEAR EVOLUTION EQUATIONS</t>
  </si>
  <si>
    <t>DIFFERENTIAL AND INTEGRAL EQUATIONS</t>
  </si>
  <si>
    <t>Fractional calculus is a subject of great interest in many areas of mathematics, physics, and sciences, including stochastic processes, mechanics, chemistry, and biology. We will call an operator A on a Banach space X w-sectorial (w is an element of R) of angle if there exists theta is an element of [0, pi/2) such that S-theta := {gimel is an element of C \ {0} : vertical bar arg(gimel)vertical bar &lt; theta + pi/2} subset of rho(A) (the resolvent set of A) and sup{vertical bar gimel - w vertical bar vertical bar vertical bar(gimel -A)(-1)vertical bar vertical bar : gimel is an element of w + S-theta} &lt; infinity. Let A be w-sectorial of angle beta pi/2 with w &lt; 0 and f an X-valued function. Using the theory of regularized families, and Banach's fixed-point theorem, we prove existence and uniqueness of mild solutions for the semilinear fractional-order differential equation D(t)(alpha+1)u(t) + mu D(t)(beta)u(t) = Au(t) + t(-alpha)/Gamma(1 - alpha) u'(0) + mu t(-beta)/Gamma(1 - beta) u(0) + f(t, u(t)), t &gt; 0, 0 &lt; alpha &lt;= beta &lt;= 1, mu &gt; 0, with the property that the solution decomposes, uniquely, into a periodic term (respectively almost periodic, almost automorphic, compact almost automorphic) and a second term that decays to zero. We shall make the convention 1/Gamma(0) = 0. The general result on the asymptotic behavior is obtained by first establishing a sharp estimate on the solution family associated to the linear equation.</t>
  </si>
  <si>
    <t>0893-4983</t>
  </si>
  <si>
    <t>JUL-AUG</t>
  </si>
  <si>
    <t>7-8</t>
  </si>
  <si>
    <t>WOS:000320289000006</t>
  </si>
  <si>
    <t>Dorn, M; Inostroza-Ponta, M; Buriol, LS; Verli, H</t>
  </si>
  <si>
    <t>Dorn, Marcio; Inostroza-Ponta, Mario; Buriol, Luciana S.; Verli, Hugo</t>
  </si>
  <si>
    <t>A knowledge-based genetic algorithm to predict three-dimensional structures of polypeptides</t>
  </si>
  <si>
    <t>2013 IEEE CONGRESS ON EVOLUTIONARY COMPUTATION (CEC)</t>
  </si>
  <si>
    <t>IEEE Congress on Evolutionary Computation</t>
  </si>
  <si>
    <t>JUN 20-23, 2013</t>
  </si>
  <si>
    <t>Cancun, MEXICO</t>
  </si>
  <si>
    <t>IEEE,IEEE Computat Intelligence Soc</t>
  </si>
  <si>
    <t>Three-dimensional (3-D) protein structure determination has become an important area of research in structural bioinformatics. Proteins are responsible for the execution of different functions in the cell. Understanding the 3-D structure provides important information about the protein function. Many computational methodologies for the protein structure prediction were developed along the last 20 years, but the problem still challenges researchers because the complexity and high dimensionality of its large search space. In this article we present a strategy for reducing the search space explored by heuristic methods for solving the problem taken into consideration previous occurrences of amino acid residues in a well known protein database (PDB). We propose a genetic algorithm that takes advantages of this kind of information, reducing considerable the search space, allowing the algorithm to save time with less promising solutions. A simple Local Search operator helps the GA to intensify the search of the 3-D protein conformational space. We demonstrate the effectiveness of the strategy with a set of experimental results.</t>
  </si>
  <si>
    <t>Buriol, Luciana/Z-2792-2019; Verli, Hugo/AAZ-2148-2021; Dorn, Marcio/D-3696-2009</t>
  </si>
  <si>
    <t>Inostroza-Ponta, Mario/0000-0003-1295-8972; Dorn, Marcio/0000-0001-8534-3480</t>
  </si>
  <si>
    <t>978-1-4799-0454-9; 978-1-4799-0453-2</t>
  </si>
  <si>
    <t>WOS:000326235301030</t>
  </si>
  <si>
    <t>Pradel, P; Hernández, C; Tello, M; Villarroel, MP; Corsini, G; González, A</t>
  </si>
  <si>
    <t>Guiliani, N; Demergasso, C; Quatrini, R; Remonsellez, F; DavisBelmar, C; Levican, G; Parada, P; Barahona, C; Zale, R</t>
  </si>
  <si>
    <t>Pradel, Pauline; Hernandez, Carolina; Tello, Mario; Paz Villarroel, Maria; Corsini, Gino; Gonzalez, Alex</t>
  </si>
  <si>
    <t>Staphylococcus equorum isolated from seabed as potential biotool to Cr(VI) remediation</t>
  </si>
  <si>
    <t>INTEGRATION OF SCIENTIFIC AND INDUSTRIAL KNOWLEDGE ON BIOHYDROMETALLURGY</t>
  </si>
  <si>
    <t>Advanced Materials Research</t>
  </si>
  <si>
    <t>20th International Biohydrometallurgy Symposium (IBS 2013)</t>
  </si>
  <si>
    <t>OCT 08-11, 2013</t>
  </si>
  <si>
    <t>Antofagasta, CHILE</t>
  </si>
  <si>
    <t>Cr(VI) is frequently used in several industrial activities, due to its uncontrolled spill this contaminant has generated serious damage to the environment: chromium hexavalent has a high oxidation potential and is able to go through biological membranes. As consequence Cr(VI)is described as a persistent contaminant with a high toxicity. It has been searched for alternative methods to remediate or detoxify environments contaminated with Cr(VI). The use of microorganisms able to absorb or reduce this type of contaminant is discerned as a potential biotool for remediation of metals-enriched industrial wastes. In order to isolate and identify environmental microorganisms with this capacity, we isolated a bacterium named LMA-2 with a selective pressure of 60 mM of Cr(VI) from contaminated marine sediment. In the morphologic analysis, this marine microorganism evidenced that corresponds to a Gram-positive cocci. This resistant bacterium has a minimal inhibitory concentration for Cr(VI) of 750 mM. The characterization and identification of this strain was made through 16S ribosomal RNA gene, this result revealed that it corresponds to Staphylococcus equorum. Assays using atomic absorption spectrophotometer (AAS) shows that this strain is able to ireduce the concentration of soluble Cr(VI) The capacity of this strain to remediate Cr(VI) was determined in 142.8 mg/L at 10 h of exposition. Our results showed the high resistance and the ability for Cr(VI) remediation by S. equorum. These results suggest that this marine bacterium could be a prospect for future use as a biofilter for seabed marine environment decontamination.</t>
  </si>
  <si>
    <t>Tello, Mario/N-4198-2019; González, Carolina/G-1186-2016; González, Alex/GYU-3220-2022</t>
  </si>
  <si>
    <t>Gonzalez, Alex/0000-0001-9968-8623; Tello, Mario/0000-0003-4573-6460; Corsini, Gino/0000-0002-0418-8616</t>
  </si>
  <si>
    <t>1022-6680</t>
  </si>
  <si>
    <t>978-3-03785-891-2</t>
  </si>
  <si>
    <t>10.4028/www.scientific.net/AMR.825.524</t>
  </si>
  <si>
    <t>WOS:000336185400124</t>
  </si>
  <si>
    <t>Cortes, C; Beltran, C; Wolff, M</t>
  </si>
  <si>
    <t>Cortes, C.; Beltran, C.; Wolff, M.</t>
  </si>
  <si>
    <t>Comparison of efavirenz and nevirapine based HAART regimens in 4187 patients with up to 6 years of follow up, a prospective, open label observational study</t>
  </si>
  <si>
    <t>INTERNATIONAL JOURNAL OF INFECTIOUS DISEASES</t>
  </si>
  <si>
    <t>1201-9712</t>
  </si>
  <si>
    <t>E242</t>
  </si>
  <si>
    <t>10.1016/j.ijid.2010.02.2026</t>
  </si>
  <si>
    <t>WOS:000276298201115</t>
  </si>
  <si>
    <t>Ordóñez, S; Bustos, O; Colás, R</t>
  </si>
  <si>
    <t>Ordonez, S.; Bustos, O.; Colas, R.</t>
  </si>
  <si>
    <t>THERMAL AND MICROSTRUCTURAL ANALYSIS OF AN A356 ALUMINIUM ALLOY SOLIDIFIED UNDER THE EFFECT OF MAGNETIC STIRRING</t>
  </si>
  <si>
    <t>INTERNATIONAL JOURNAL OF METALCASTING</t>
  </si>
  <si>
    <t>The solidification kinetics and microstructural characteristics of an A356 aluminum alloy subjected to magnetic stirring during solidification was studied by metallographic and thermal analyses. The alloy was heated to 680 degrees C (1256 degrees F) poured into molds held at 200 degrees C (392 degrees F). Some samples were allowed to solidify in a conventional manner, whereas other samples solidified while under the influence of a permanent rotary magnetic field. The cooling curves were recorded to evaluate the effect that stirring exerts on solidification. Thermal analyses of these curves show that the temperatures associated with the solidification of aluminum dendrites and the Al-Si eutectic are reduced when a magnetic field is imposed. Metallographic observation of the samples revealed microstructural refining.</t>
  </si>
  <si>
    <t>Colas, Rafael/0000-0001-6017-7244</t>
  </si>
  <si>
    <t>1939-5981</t>
  </si>
  <si>
    <t>SUM</t>
  </si>
  <si>
    <t>10.1007/BF03355451</t>
  </si>
  <si>
    <t>WOS:000268932000004</t>
  </si>
  <si>
    <t>Figueiredo, DG; Ubilla, P</t>
  </si>
  <si>
    <t>De Figueiredo, Djairo G.; Ubilla, Pedro</t>
  </si>
  <si>
    <t>Superlinear systems of second-order ODE's</t>
  </si>
  <si>
    <t>NONLINEAR ANALYSIS-THEORY METHODS &amp; APPLICATIONS</t>
  </si>
  <si>
    <t>We discuss the existence of positive solutions of the system -u '' = f (t, u, v, u', v) in (0, 1), -v '' = g(t, u, v, u', v') in (0, 1), u(0) = u(1) = V(0) = V(1) = 0 where the nonlinearities f and g satisfy a superlinearity condition at both 0 and infinity. Our main result is the proof of a priori bounds for the eventual solutions. As an application, we consider the Dirichlet problem in an annulus for systems of semilinear elliptic equations with nonlinearities depending on the gradient as well. As a second application, we consider fourth-order elastic beam equations with dependence also on the derivatives u', u '', u'''. (c) 2007 Elsevier Ltd. All rights reserved.</t>
  </si>
  <si>
    <t>de Figueiredo, Djairo/HII-8077-2022</t>
  </si>
  <si>
    <t>0362-546X</t>
  </si>
  <si>
    <t>1873-5215</t>
  </si>
  <si>
    <t>MAR 15</t>
  </si>
  <si>
    <t>10.1016/j.na.2007.01.001</t>
  </si>
  <si>
    <t>WOS:000253882100029</t>
  </si>
  <si>
    <t>Bar-Magen, T; Spencer, E; Patton, JT</t>
  </si>
  <si>
    <t>Bar-Magen, Tamara; Spencer, Eugenio; Patton, John T.</t>
  </si>
  <si>
    <t>An ATPase activity associated with the rotavirus phosphoprotein NSP5</t>
  </si>
  <si>
    <t>VIROLOGY</t>
  </si>
  <si>
    <t>Interactions between NSP5 and NSP2 drive the formation of viroplasms, sites of genome replication and packaging in rotavirus-infected cells. The serine-threonine-rich NSP5 transitions between hypo- and hyper-phosphorylated isomers during the replication cycle. In this study, we determined that purified recombinant NSP5 has a Mg2+-dependent ATP-specific triphosphatase activity that generates free ADP and Pi (V-max Of 19.33 fmol of product/min/pmol of enzyme). The ATPase activity was correlated with low levels of NSP5 phosphorylation, suggestive of a possible link between ATP hydrolysis and an NSP5 autokinase activity. Mutagenesis showed that the critical residue (Ser67) needed for NSP5 hyperphosphorylation by cellular casein kinase-like enzymes has no role in the ATPase or autokinase activities of NSP5. Through its NDP kinase activity, the NSP2 octamer may support NSP5 phosphorylation by creating a constant source of ATP molecules for the autokinase activity of NSP5 and for cellular kinases associated with NSP5. (c) 2007 Elsevier Inc. All rights reserved.</t>
  </si>
  <si>
    <t>Patton, John/P-1390-2014; Patton, John/V-7651-2018</t>
  </si>
  <si>
    <t>Bar-Magen, Tamara/0000-0002-0496-1779; Patton, John/0000-0003-1572-0732; Spencer, Eugenio/0000-0001-6109-140X</t>
  </si>
  <si>
    <t>0042-6822</t>
  </si>
  <si>
    <t>DEC 20</t>
  </si>
  <si>
    <t>10.1016/j.virol.2007.07.029</t>
  </si>
  <si>
    <t>WOS:000251263200015</t>
  </si>
  <si>
    <t>Illanes, MA; Riesco, M</t>
  </si>
  <si>
    <t>Riesco, M</t>
  </si>
  <si>
    <t>Angelica Illanes, Maria; Riesco, Manuel</t>
  </si>
  <si>
    <t>Developmentalism and Social Change in Chile</t>
  </si>
  <si>
    <t>LATIN AMERICA: A NEW DEVELOPMENTAL WELFARE STATE MODEL IN THE MAKING</t>
  </si>
  <si>
    <t>Social Policy in a Development Context Series</t>
  </si>
  <si>
    <t>978-0-230-62525-9</t>
  </si>
  <si>
    <t>10.1057/9780230625259</t>
  </si>
  <si>
    <t>WOS:000282368000012</t>
  </si>
  <si>
    <t>Casanova, A; Obreque, JR; Gaggero, A; Landskron, E; Sandino, AM; Jashés, M</t>
  </si>
  <si>
    <t>Electrophoretic analysis of ITS from Piscirickettsia salmonis Chilean isolates</t>
  </si>
  <si>
    <t>FEMS MICROBIOLOGY LETTERS</t>
  </si>
  <si>
    <t>Piscirickettsia salmonis is the most important pathogen in salmonid mariculture in Chile. Since it was reported numerous piscirickettsiosis outbreaks have occurred differing in virulence and mortality. Genetic variability of P. salmonis isolates has been suggested as one factor to explain this. However until now isolates obtained from outbreaks have not been analyzed. Knowledge of genetic variability of P. salmonis is very limited and also a useful screening method for genetic variations in isolates without sequencing is not available. Here we report an electrophoretic analysis of internal transcribed spacer region (ITS) of eleven P. salmonis isolates obtained from different salmon species and places in southern Chile. When PCR products were submitted to polyacrylamide get electrophoresis (PAGE) a characteristic electrophoretic pattern was observed, distinguishable from ITS of other bacteria, including fish pathogens. Even though this pattern is conserved in all isolates, a difference in ITS electrophoretic mobility was observed, determining clearly two groups: ITS with higher or with lower electrophoretic mobility, including LF-89 and EM-90 isolates, respectively. A higher ITS sequence homology inside each group was shown by heteroduplex mobility assay (HMA). Our results show that genetic variability between Chilean P. salmonis isolates allows the differentiation of two groups with similar behavior observed previously when six P. salmonis isolates from three geographic origins were analyzed by 16S, 23S and ITS sequencing. PAGE analysis of ITS and HMA could be a basis to develop an assay for screening genetic variability between P. salmonis isolates. (C) 2003 Published by Elsevier B.V. on behalf of the Federation of European Microbiological Societies.</t>
  </si>
  <si>
    <t>Gaggero, Aldo/GYJ-8166-2022</t>
  </si>
  <si>
    <t>Gaggero, Aldo/0000-0003-2657-0776</t>
  </si>
  <si>
    <t>0378-1097</t>
  </si>
  <si>
    <t>1574-6968</t>
  </si>
  <si>
    <t>AUG 29</t>
  </si>
  <si>
    <t>10.1016/S0378-1097(03)00489-0</t>
  </si>
  <si>
    <t>WOS:000185244400001</t>
  </si>
  <si>
    <t>Naslund, HR; Lledó, H; Henríquez, F</t>
  </si>
  <si>
    <t>Age of mineralization of the Candelaria Fe oxide Cu-Au deposit and the origin of the Chilean iron belt, based on Re-Os isotopes -: A discussion</t>
  </si>
  <si>
    <t>ECONOMIC GEOLOGY AND THE BULLETIN OF THE SOCIETY OF ECONOMIC GEOLOGISTS</t>
  </si>
  <si>
    <t>Henriquez, Fernando/C-9830-2009</t>
  </si>
  <si>
    <t>Henriquez, Fernando/0000-0002-8494-1435; Lledo, Haroldo/0000-0002-1418-3392</t>
  </si>
  <si>
    <t>0361-0128</t>
  </si>
  <si>
    <t>10.2113/98.5.1047</t>
  </si>
  <si>
    <t>WOS:000184588400012</t>
  </si>
  <si>
    <t>Lepe, S; Méndez, F; Saavedra, J; Vergara, L</t>
  </si>
  <si>
    <t>Fermions scattering in a three-dimensional extreme black-hole background</t>
  </si>
  <si>
    <t>CLASSICAL AND QUANTUM GRAVITY</t>
  </si>
  <si>
    <t>The absorption cross section for scattering of fermions off an extreme BTZ black hole is calculated. It is shown that, as in the case of scalar particles, an extreme BTZ black hole exhibits a vanishing absorption cross section, which is consistent with the vanishing entropy of such an object. Additionally, we give a general argument to prove that the particle flux near the horizon is zero. Finally, we show that the reciprocal space introduced previously in [1] gives rise to the same result and, therefore, it could be considered as the space where the scattering process takes place in an AdS spacetime.</t>
  </si>
  <si>
    <t>Vergara, Lautaro/V-2736-2019</t>
  </si>
  <si>
    <t>Mendez, Fernando/0000-0002-9257-9552; saavedra, joel/0000-0002-1430-3008</t>
  </si>
  <si>
    <t>0264-9381</t>
  </si>
  <si>
    <t>1361-6382</t>
  </si>
  <si>
    <t>JUN 7</t>
  </si>
  <si>
    <t>PII S0264-9381(03)59335-2</t>
  </si>
  <si>
    <t>10.1088/0264-9381/20/11/330</t>
  </si>
  <si>
    <t>WOS:000183668700034</t>
  </si>
  <si>
    <t>Chnaiderman, J; Barro, M; Spencer, E</t>
  </si>
  <si>
    <t>NSP5 phosphorylation regulates the fate of viral mRNA in rotavirus infected cells</t>
  </si>
  <si>
    <t>ARCHIVES OF VIROLOGY</t>
  </si>
  <si>
    <t>Elucidation of the function of the non-structural rotavirus proteins during infection is difficult in the absence of a reverse genetic system. To study the role of NSP5, nonstructural phosphoprotein NSP5, we constructed a reassortant strain (SACC11) in the SA 11 background that harbours a heterologous segment 11 encoding a variant protein (h-NSP5). Cells infected by SACC11 produced viral polypeptides at earlier times than SA 11 infected cells while showing less accumulation of genomic dsRNA. These changes suggested that NSP5 might direct viral messenger RNA to protein synthesis or genome replication. Distinct patterns of proteins were shown to form complexes with NSP5 in co-immunoprecipitation studies with SA 11 and SACC 11 infected cells. Recombinant h-NSP5 from either bacteria or eucaryotic cells migrated faster in PAGE suggesting that it was hypophosphorylated. Indeed, the kinase inhibitor H-7 enhanced translation of viral proteins in SA11 but not SACC11 infected cells suggesting that NSP5 function in the regulation of the fate of viral positive strand RNA is mediated by phosphorylation.</t>
  </si>
  <si>
    <t>Spencer, Eugenio/0000-0001-6109-140X</t>
  </si>
  <si>
    <t>0304-8608</t>
  </si>
  <si>
    <t>1432-8798</t>
  </si>
  <si>
    <t>10.1007/s00705-002-0856-9</t>
  </si>
  <si>
    <t>WOS:000178555600004</t>
  </si>
  <si>
    <t>Miskovic, O; Sazdovic, B</t>
  </si>
  <si>
    <t>Canonical approach to 2D supersymmetric WZNW model coupled to supergravity</t>
  </si>
  <si>
    <t>MODERN PHYSICS LETTERS A</t>
  </si>
  <si>
    <t>Starting from the known representation of the Kac-Moody algebra in terms of the coordinates and momenta, we extend it to the representation of the super Kac-Moody and super Virasoro algebras. Then we use general canonical method to construct an action invariant under local gauge symmetries, where components of the super energy-momentum tensor L+/- and G(+/-) play the role of the diffeomorphisms and supersymmetry generators respectively. We obtain covariant extension of WZNW theory with respect to local supersymmetry as well as explicit expressions for gauge transformations.</t>
  </si>
  <si>
    <t>Miskovic, Olivera/A-5382-2012</t>
  </si>
  <si>
    <t>Miskovic, Olivera/0000-0002-5027-9631; Sazdovic, Branislav/0000-0003-4919-5163</t>
  </si>
  <si>
    <t>0217-7323</t>
  </si>
  <si>
    <t>1793-6632</t>
  </si>
  <si>
    <t>SEP 21</t>
  </si>
  <si>
    <t>10.1142/S0217732302008496</t>
  </si>
  <si>
    <t>WOS:000179122600005</t>
  </si>
  <si>
    <t>Cornejo, JJ; Muñoz, FG; Ma, CY; Stewart, AJ</t>
  </si>
  <si>
    <t>Studies on the decontamination of air by plants</t>
  </si>
  <si>
    <t>ECOTOXICOLOGY</t>
  </si>
  <si>
    <t>We conducted laboratory tests with six species of plants to determine their ability to remove benzene, trichloroethylene (TCE) and toluene from air. The objective of this proof-of-principal study was to evaluate the idea that phytoremediation techniques might be used to lower the concentrations of indoor air pollutants, such as volatile or semi-volatile organic compounds. Plants were exposed to the pollutants singly or in mixtures in an airtight chamber, and concentrations of the pollutants in the chamber were monitored through time to assess plant effects on the pollutants. In several experiments, we measured air temperature and CO2, as well. Lower surfaces of leaves of several of the species we tested were also examined by scanning electron microscopy to determine stomate abundance and size, and to provide information about leaf-surface elemental composition (by X-ray emission spectroscopy). Several of the species demonstrated an extensive ability to remove benzene from air. Gas chromatography methods allowed a reasonably direct, continuous monitoring of the kinetics and overall efficiency of the pollutant-removal process. We found that pollutant removal efficiency varied in response to plant species and the pollutant. Of the pollutants tested, benzene was most efficiently removed from air by Pelargonium domesticum, Ficus elastica and Chlorophytum comosum. Kalanchoe blossfeldiana, a common ornamental plant, appeared to take up benzene selectively over toluene, and TCE was removed efficiently from the air by C. comosum. Pentane, sometimes used as an internal standard in GC/MS, was removed from air by at least four of the species. For C. comosum, TCE appeared to lower the removal rates of benzene and pentane. Low-vacuum scanning electron microscopy provided information on stomate size and density and permitted rapid initial elemental analysis of the plant-leaf surface by X-ray emission spectroscopy. Our results indicate that simple tests for pollutant uptake, morphological and chemical features of plants, and plant detoxification enzyme activity might be used in multivariate fashion to identify plant species capable of removing volatile or semi-volatile pollutants from air.</t>
  </si>
  <si>
    <t>Ibanez, Franz/ABA-2855-2020; stewart, arthur/D-8471-2012</t>
  </si>
  <si>
    <t>stewart, arthur/0000-0003-1968-5997</t>
  </si>
  <si>
    <t>0963-9292</t>
  </si>
  <si>
    <t>1573-3017</t>
  </si>
  <si>
    <t>10.1023/A:1008937417598</t>
  </si>
  <si>
    <t>WOS:000083596800007</t>
  </si>
  <si>
    <t>Linares, C; Mediavilla, M; Pardey, AJ; Baricelli, P; Longo-Pardey, C; Moya, SA</t>
  </si>
  <si>
    <t>Homogeneous reduction of nitrobenzene to aniline under CO/H2O, catalyzed by cis-[Rh(CO)2(amine)2]PF6. The role of the amine effect</t>
  </si>
  <si>
    <t>CATALYSIS LETTERS</t>
  </si>
  <si>
    <t>Homogeneous catalytic reduction of nitrobenzene to aniline by cis-[Rh(CO)(2)(amine)(2)]PF6 (amine = 4-picoline, 3-picoline, 2-picoline, pyridine, 3,5-lutidine or 2,6-lutidine) in aqueous amine 2/8, v/v, P(CO) = 0.9 atm, T = 100 degrees C, [Rh] = 10 mM under water-gas shift reaction conditions is described. The effect of various amines as additives was examined.</t>
  </si>
  <si>
    <t>1011-372X</t>
  </si>
  <si>
    <t>1572-879X</t>
  </si>
  <si>
    <t>10.1023/A:1019043824814</t>
  </si>
  <si>
    <t>WOS:000072847300013</t>
  </si>
  <si>
    <t>Prieto, CR; Cardenas, H; Salvatierra, AM; Boza, C; Montes, CG; Croxatto, HB</t>
  </si>
  <si>
    <t>Sucking pressure and its relationship to milk transfer during breastfeeding in humans</t>
  </si>
  <si>
    <t>JOURNAL OF REPRODUCTION AND FERTILITY</t>
  </si>
  <si>
    <t>Breast sucking pressure has been only partially characterized in humans and its quantitative relationships with milk transfer and endocrine maternal responses are unknown. A method to record sucking pressure and milk transfer during complete sucking episodes is described. A tubing connected at one end to a pressure transducer was attached to the nipple so that the baby sucked both the nipple and the catheter during breastfeeding. The transducer's signals were fed into a commercial computer system designed to digitize and analyse physiological signals. A total of 27 recordings, IS of which were from a single breast and 14 from both breasts were evaluated. Average values for the mean and maximum sucking pressures were - 50 and - 197 mmHg, respectively; the median intersuck interval was 0.7 s; and duration of the sucking episode was 7 min. Diverse sucking pressure patterns were observed due to different mixes of sucking bursts with steady sucking and stable versus decreasing pressure and frequency throughout each sucking episode. The amount of milk transferred to the baby was estimated from the difference in body weight immediately before and after each episode. Milk transfer from the second breast was 58% lower than from the first; this was associated with a significant decrease in grams of milk transferred per suck or per minute without significant changes in sucking pressure. The data suggest that there is a change in the maternal physiological response to sucking between the first and second breast. This report shows the feasibility of measuring the sucking pressure developed by human babies during complete nursing episodes, and offers great potential to explore the relationships between the physical parameters of sucking and maternal physiological responses, such as hormonal changes, milk yield and duration of lactational amenorrhoea.</t>
  </si>
  <si>
    <t>0022-4251</t>
  </si>
  <si>
    <t>WOS:A1996VT28500010</t>
  </si>
  <si>
    <t>SALIMHANNA, M; LISSI, E; VIDELA, LA</t>
  </si>
  <si>
    <t>FREE-RADICAL SCAVENGING ACTIVITY OF CARNOSINE</t>
  </si>
  <si>
    <t>FREE RADICAL RESEARCH COMMUNICATIONS</t>
  </si>
  <si>
    <t>8755-0199</t>
  </si>
  <si>
    <t>10.3109/10715769109088955</t>
  </si>
  <si>
    <t>WOS:A1991FR30300004</t>
  </si>
  <si>
    <t>Bachelet, VC; Lizana, FJ; Andrades, CO; Carroza, B; Gonza, LRA; Munita, P; Wosiack, L; Meza, N</t>
  </si>
  <si>
    <t>Bachelet, Vivienne C.; Lizana, Francisca J.; Andrades, Catalina O.; Carroza, Belen; Gonza, Leandro R. A.; Munita, Paula; Wosiack, Luana; Meza, Nicolas</t>
  </si>
  <si>
    <t>Estimates for diagnostic accuracy of rapid antigen tests for SARS-CoV-2 in systematic reviews are consistently similar despite poor methodological rigor: a methodological overview</t>
  </si>
  <si>
    <t>JOURNAL OF CLINICAL EPIDEMIOLOGY</t>
  </si>
  <si>
    <t>Objectives: To evaluate the design, conduct, and analysis of systematic reviews on the diagnostic accuracy of rapid antigen tests for SARS-CoV-2 during the COVID-19 pandemic. Study Design and Setting: We did a methodological overview of systematic reviews on diagnostic test accuracy, exploring methodological rigor, risk of bias and potential factors of between-review variability. Results: Of the 31 included reviews, 30 provided summary statistics for sensitivity and 29 for specificity. Summary sensitivities ranged from 56.2% to 91.1%, with a median of 71.5% (IQR 68.3%-76.6%) and a mean of 72.7% with a 7.2 SD. Reported summary specificity estimates were consistently high: median 99.5% (IQR 99%-99.9%) and a mean of 99.3% with a 0.9 SD. We found methodological shortcomings in the systematic reviews, with a majority showing critically low confidence in quality and a high risk of bias. Conclusion: Despite significant methodological flaws in the reviews, the diagnostic accuracy estimates for rapid antigen tests were characterized by a strong central tendency, highlighting the importance of large sample sizes and broad participant representation. This study suggests the need for further research in diagnostic test accuracy assessments of rigor and risk of bias in systematic reviews. (c) 2024 Elsevier Inc. All rights are reserved, including those for text and data mining, AI training, and similar technologies.</t>
  </si>
  <si>
    <t>wosiack, luana/ACO-9032-2022; Meza, Nicolás/HTS-3930-2023; Bachelet, Vivienne/JAN-7158-2023</t>
  </si>
  <si>
    <t>Carroza Escobar, Andrea Belen/0009-0009-7591-8653; O. Andrades, Catalina/0009-0008-3028-109X; Gonzalez Carrasco, Leandro/0009-0009-4634-6203; Bachelet, Vivienne C./0000-0002-5715-9755; Wosiack Menin, Luana/0000-0001-6394-6408</t>
  </si>
  <si>
    <t>0895-4356</t>
  </si>
  <si>
    <t>1878-5921</t>
  </si>
  <si>
    <t>10.1016/j.jclinepi.2024.111547</t>
  </si>
  <si>
    <t>OCT 2024</t>
  </si>
  <si>
    <t>WOS:001343626300001</t>
  </si>
  <si>
    <t>Araya, JII; Rifà-Pous, H</t>
  </si>
  <si>
    <t>Araya, Juan Ignacio Iturbe; Rifa-Pous, Helena</t>
  </si>
  <si>
    <t>Anomaly-based cyberattacks detection for smart homes: A systematic literature review</t>
  </si>
  <si>
    <t>INTERNET OF THINGS</t>
  </si>
  <si>
    <t>Smart homes, leveraging IoT technology to interconnect various devices and appliances to the internet, enable remote monitoring, automation, and control. However, collecting sensitive personal and business data assets renders smart homes a target for cyberattacks. Anomaly detection is a promising approach for identifying malicious behavior in smart homes. Yet, the current literature primarily discusses IoT-related cyberattacks and gives limited attention to detecting anomalies specific to the smart home context. Furthermore, there is a lack of datasets that accurately represent the complexity inherent in a smart home environment in terms of users with varying levels of expertise and diverse, evolving types of devices. Therefore, this paper presents a systematic literature review (SLR) that focuses on using anomaly detection to identify cyberattacks in smart home environments. The SLR includes an adapted taxonomy that classifies existing anomaly detection methods and a critical analysis of the current state of knowledge and future research challenges. Our findings show a growing interest in detecting cyberattacks with anomaly-based models in smart homes using centralized and network-based features. Ensemble and deep learning techniques are popular methods for detecting these anomalies. However, the limited diversity of cyberattacks in existing datasets and the absence of comprehensive datasets representing the complexity of smart home environments call for further research to improve the generalizability of detection models.</t>
  </si>
  <si>
    <t>Iturbe, Juan/GRE-6961-2022; Rifà-Pous, Helena/ABA-3227-2020</t>
  </si>
  <si>
    <t>Iturbe, Juan/0000-0002-6391-5254</t>
  </si>
  <si>
    <t>2543-1536</t>
  </si>
  <si>
    <t>2542-6605</t>
  </si>
  <si>
    <t>10.1016/j.iot.2023.100792</t>
  </si>
  <si>
    <t>MAY 2023</t>
  </si>
  <si>
    <t>WOS:001053195800001</t>
  </si>
  <si>
    <t>Cabib, I; Olea-Durán, B; Dintrans, PV; Salas, JB</t>
  </si>
  <si>
    <t>Cabib, Ignacio; Olea-Duran, Bastian; Dintrans, Pablo Villalobos; Salas, Jorge Browne</t>
  </si>
  <si>
    <t>Long-term functional ability trajectories and mental health among older people before and after the COVID-19 pandemic onset in Chile</t>
  </si>
  <si>
    <t>AGING &amp; MENTAL HEALTH</t>
  </si>
  <si>
    <t>ObjectivesDespite the advances in understanding the complex association between functional abilities and mental health in old age, studies have overlooked two important aspects. First, traditionally, research has employed cross-sectional designs, measuring limitations at a single time point. Second, most gerontological studies on this field have been conducted before the COVID-19 pandemic onset. This study aims to explore the association between diverse long-term functional ability trajectories across late adulthood and old age, and older people's mental health in Chile, before and after the COVID-19 pandemic onset.MethodsWe use data from the population-representative and longitudinal 'Chilean Social Protection Survey', sequence analysis to reconstruct functional ability trajectory types from 2004 to 2018, and bivariate and multivariate analyses to measure their association with depressive symptoms in early 2020 (N = 891) and late 2020 (N = 672). We analyzed four age groups defined by their age at baseline (2004): people aged 46-50, 51-55, 56-60, and 61-65.ResultsOur findings indicate that erratic or equivocal patterns of functional limitations across time (with people transiting back and forth between low and high levels of limitations) show the worst mental health outcomes, both before and after the pandemic onset. Prevalence of people with depression increased after the COVID-19 onset in most groups, being particularly high among those with previous equivocal functional ability trajectories.ConclusionsThe relationship between functional ability trajectories and mental health calls for a new paradigm, moving away from age as the main policy guide, and highlighting the need to adopt strategies to improve population-level functional status as an efficient policy to address the challenges of population aging.</t>
  </si>
  <si>
    <t>Browne, Jorge/0000-0001-6586-7084; Villalobos Dintrans, Pablo/0000-0002-2236-6447; Cabib, Ignacio/0000-0002-9918-8562</t>
  </si>
  <si>
    <t>1360-7863</t>
  </si>
  <si>
    <t>1364-6915</t>
  </si>
  <si>
    <t>AUG 3</t>
  </si>
  <si>
    <t>10.1080/13607863.2023.2188170</t>
  </si>
  <si>
    <t>MAR 2023</t>
  </si>
  <si>
    <t>WOS:000947114700001</t>
  </si>
  <si>
    <t>Truffello, D; Cevallos, C; Escanilla, C; Morgan, P</t>
  </si>
  <si>
    <t>Truffello, Daniella; Cevallos, Carolina; Escanilla, Claudio; Morgan, Pauline</t>
  </si>
  <si>
    <t>Dermoscopic findings in a case of plasma cell cheilitis</t>
  </si>
  <si>
    <t>ANAIS BRASILEIROS DE DERMATOLOGIA</t>
  </si>
  <si>
    <t>Morgan, Pauline/0000-0001-6283-5335; cevallos, carolina/0000-0002-0239-3800</t>
  </si>
  <si>
    <t>0365-0596</t>
  </si>
  <si>
    <t>1806-4841</t>
  </si>
  <si>
    <t>NOV-DEC</t>
  </si>
  <si>
    <t>10.1016/j.abd.2020.12.019</t>
  </si>
  <si>
    <t>WOS:000886837700001</t>
  </si>
  <si>
    <t>Orellana, W; Zuniga, C; Gatica, A; Ureta-Zanartu, MS; Zagal, JH; Tasca, F</t>
  </si>
  <si>
    <t>Orellana, Walter; Zuniga, Cesar; Gatica, Angelica; Ureta-Zanartu, Maria-Soledad; Zagal, Jose H.; Tasca, Federico</t>
  </si>
  <si>
    <t>Effect of Electrolyte Media on the Catalysis of Fe Phthalocyanine toward the Oxygen Reduction Reaction: Ab Initio Molecular Dynamics Simulations and Experimental Analyses</t>
  </si>
  <si>
    <t>ACS CATALYSIS</t>
  </si>
  <si>
    <t>FeN4 macrocycles are among the most promising nonprecious metal catalysts for the oxygen reduction reaction (ORR). Nevertheless, these catalysts perform poorly in acidic media. To understand what impedes the use of these catalysts in acid, graphite electrodes were drop-coated with inks of iron phthalocyanine adsorbed on carbon nanotubes (FePc-CNTs), and the electrocatalytic behavior of the catalyst was studied in four different supporting electrolytes (i.e., HCl, H2SO4, CH3COOH, and NaOH) by means of cyclic voltammetry, polarization curves, and electrochemical impedance spectroscopy. Electrolyte media are theoretically analyzed by ab initio molecular dynamic simulations, with explicit water molecules, to explain and visualize the occurring physical adsorption phenomena. The demetallation of the catalyst could be excluded because more than 3.6 eV would be necessary for this process to occur. In addition, the absorption of the anion of the specific acids at the Fe center was found to compete with the coordination of oxygen and prevent the catalytic process, modifying the ORR rate-determining step and the final product of the reaction. An electrochemical analysis and impedance spectroscopy corroborate this process.</t>
  </si>
  <si>
    <t>Zúñiga-Loyola, César/AAN-5621-2021; zagal, jose/L-9648-2014; Orellana, Walter/ABA-6452-2021; Ureta-Zañartu, Maria/G-5239-2019; Tasca, Federico/J-4134-2015</t>
  </si>
  <si>
    <t>Tasca, Federico/0000-0002-4111-4624; Zagal, Jose/0000-0002-5276-1042; Orellana, Walter/0000-0002-6897-3875; Zuniga-Loyola, Cesar/0000-0002-0894-3383</t>
  </si>
  <si>
    <t>2155-5435</t>
  </si>
  <si>
    <t>OCT 21</t>
  </si>
  <si>
    <t>10.1021/acscatal.2c03298</t>
  </si>
  <si>
    <t>WOS:000869454800001</t>
  </si>
  <si>
    <t>Sáez, G; Díaz, P; Cisternas, E; Vogel, EE; Escrig, J</t>
  </si>
  <si>
    <t>Saez, Guidobeth; Diaz, Pablo; Cisternas, Eduardo; Vogel, Eugenio E.; Escrig, Juan</t>
  </si>
  <si>
    <t>Information storage in permalloy modulated magnetic nanowires</t>
  </si>
  <si>
    <t>SCIENTIFIC REPORTS</t>
  </si>
  <si>
    <t>A long piece of magnetic material shaped as a central cylindrical wire (diameter d = 50 nm) with two wider coaxial cylindrical portions (diameter D = 90 nm and thickness t = 100 nm) defines a bimodulated nanowire. Micromagnetism is invoked to study the equilibrium energy of the system under the variations of the positions of the modulations along the wire. The system can be thought of as composed of five independent elements (3 segments and 2 modulations) leading to 25 = 32 possible different magnetic configurations, which will be later simplified to 4. We investigate the stability of the configurations depending on the positions of the modulations. The relative chirality of the modulations has negligible contributions to the energy and they have no effect on the stability of the stored configuration. However, the modulations are extremely important in pinning the domain walls that lead to consider each segment as independent from the rest. A phase diagram reporting the stability of the inscribed magnetic configurations is produced. The stability of the system was then tested under the action of external magnetic fields and it was found that more than 50 mT are necessary to alter the inscribed information. The main purpose of this paper is to find whether a prototype like this can be complemented to be used as a magnetic key or to store information in the form of firmware. Present results indicate that both possibilities are feasible.</t>
  </si>
  <si>
    <t>Cisternas, E/AAE-5482-2019; Escrig, Juan/N-4304-2015</t>
  </si>
  <si>
    <t>Escrig, Juan/0000-0002-3958-8185; Saez, Guidobeth/0000-0003-1401-2531; Vogel, Eugenio/0000-0002-1701-3030; Diaz, Pablo/0000-0002-8624-1707</t>
  </si>
  <si>
    <t>2045-2322</t>
  </si>
  <si>
    <t>10.1038/s41598-021-00165-1</t>
  </si>
  <si>
    <t>WOS:000709931300069</t>
  </si>
  <si>
    <t>Valenzuela-Fernández, L; Peñaloza-Briones, N; Barajas-Portas, K; Marinao-Artigas, E</t>
  </si>
  <si>
    <t>Valenzuela-Fernandez, Leslier; Penaloza-Briones, Natacha; Barajas-Portas, Karla; Marinao-Artigas, Enrique</t>
  </si>
  <si>
    <t>Organizational innovation capabilities. Empirical evidence from B2B contexts</t>
  </si>
  <si>
    <t>ESTUDIOS GERENCIALES</t>
  </si>
  <si>
    <t>The aim of the article is to explore organizational innovation capability variables that could have an impact on performance in business to business [B2B] context. This work used systematic analysis of the literature supported through bibtiometric analysis indicating the following organizational innovative capabilities: innovation strategy and management projects, collaborative networks and market orientation. The authors propose an explanatory model and provide empirical evidence from B2B sector in Chile, surveying 242 senior executives. The best position was the mining sector. However, all the sectors studied need more emphasis on market orientation, value co-creation and innovation to obtain better and more sustainable results.</t>
  </si>
  <si>
    <t>Barajas-Portas, Karla/ABB-6896-2021; Valenzuela-Fernández, Leslier/B-5486-2014; Marinao-Artigas, Enrique/CAF-2031-2022; Barajas-Portas, Karla/F-7336-2016</t>
  </si>
  <si>
    <t>Barajas-Portas, Karla/0000-0002-4498-3462; Valenzuela Fernandez, Leslier Maureen/0000-0002-5817-1879; Marinao-Artigas, Enrique/0000-0002-1588-5011</t>
  </si>
  <si>
    <t>0123-5923</t>
  </si>
  <si>
    <t>OCT-DEC</t>
  </si>
  <si>
    <t>10.18046/j.estger.2021.161.4309</t>
  </si>
  <si>
    <t>WOS:000710829300012</t>
  </si>
  <si>
    <t>Dintrans, PV; Browne, J; Madero-Cabib, I</t>
  </si>
  <si>
    <t>Dintrans, Pablo Villalobos; Browne, Jorge; Madero-Cabib, Ignacio</t>
  </si>
  <si>
    <t>It Is Not Just Mortality:A Call From Chile for Comprehensive COVID-19 Policy Responses Among Older People</t>
  </si>
  <si>
    <t>Objective: Provide a synthesis of the COVID-19 policies targeting older people in Chile, stressing their short- and long-term challenges. Method: Critical analysis of the current legal and policy measures, based on national-level data and international experiences. Results: Although several policies have been enacted to protect older people from COVID-19, these measures could have important unintended negative consequences in this group's mental and physical health, as well as financial aspects. Discussion: A wider perspective is needed to include a broader definition of health-considering financial scarcity, access to health services, mental health issues, and long-term care-in the policy responses to COVID-19 targeted to older people in Chile.</t>
  </si>
  <si>
    <t>Cabib, Ignacio/0000-0002-9918-8562; Villalobos Dintrans, Pablo/0000-0002-2236-6447</t>
  </si>
  <si>
    <t>E275</t>
  </si>
  <si>
    <t>E280</t>
  </si>
  <si>
    <t>10.1093/geronb/gbaa092</t>
  </si>
  <si>
    <t>WOS:000710985300006</t>
  </si>
  <si>
    <t>Arias, L; Martínez, F; González, D; Flores-Ríos, R; Katz, A; Tello, M; Moreira, S; Orellana, O</t>
  </si>
  <si>
    <t>Arias, Loreto; Martinez, Fabian; Gonzalez, Daniela; Flores-Rios, Rodrigo; Katz, Assaf; Tello, Mario; Moreira, Sandra; Orellana, Omar</t>
  </si>
  <si>
    <t>Modification of Transfer RNA Levels Affects Cyclin Aggregation and the Correct Duplication of Yeast Cells</t>
  </si>
  <si>
    <t>Codon usage bias (the preferential use of certain synonymous codons (optimal) over others is found at the organism level (intergenomic) within specific genomes (intragenomic) and even in certain genes. Whether it is the result of genetic drift due to GC/AT content and/or natural selection is a topic of intense debate. Preferential codons are mostly found in genes encoding highly-expressed proteins, while lowly-expressed proteins usually contain a high proportion of rare (lowly-represented) codons. While optimal codons are decoded by highly expressed tRNAs, rare codons are usually decoded by lowly-represented tRNAs. Whether rare codons play a role in controlling the expression of lowly- or temporarily-expressed proteins is an open question. In this work we approached this question using two strategies, either by replacing rare glycine codons with optimal counterparts in the gene that encodes the cell cycle protein Cdc13, or by overexpression the tRNA(Gly) that decodes rare codons from the fission yeast, Schizosaccharomyces pombe. While the replacement of synonymous codons severely affected cell growth, increasing tRNA levels affected the aggregation status of Cdc13 and cell division. These lead us to think that rare codons in lowly-expressed cyclin proteins are crucial for cell division, and that the overexpression of tRNA that decodes rare codons affects the expression of proteins containing these rare codons. These codons may be the result of the natural selection of codons in genes that encode lowly-expressed proteins.</t>
  </si>
  <si>
    <t>Katz, Assaf/K-7130-2018; Tello, Mario/N-4198-2019</t>
  </si>
  <si>
    <t>Tello, Mario/0000-0003-4573-6460; Katz, Assaf/0000-0001-5481-7399</t>
  </si>
  <si>
    <t>JAN 15</t>
  </si>
  <si>
    <t>10.3389/fmicb.2020.607693</t>
  </si>
  <si>
    <t>WOS:000612657900001</t>
  </si>
  <si>
    <t>von Eyben, FE; Parraga-Alava, J</t>
  </si>
  <si>
    <t>von Eyben, Finn Edler; Parraga-Alava, Jorge</t>
  </si>
  <si>
    <t>Meta-Analysis of Gene Expressions in Testicular Germ Cell Tumor Histologies</t>
  </si>
  <si>
    <t>INTERNATIONAL JOURNAL OF MOLECULAR SCIENCES</t>
  </si>
  <si>
    <t>There is no consensus as to how a precursor lesion, germ cell neoplasia in situ (GCNIS), develops into the histologic types of testicular germ cell tumor type II (TGCT). The present meta-analysis examined RNA expressions of 24 candidate genes in three datasets. They included 203 samples of normal testis (NT) and histologic types of TGCT. The Fisher's test for combinedpvalues was used for meta-analysis of the RNA expressions in the three datasets. The histologic types differed in RNA expression ofPRAME, KIT, SOX17, NANOG, KLF4, POU5F1, RB1, DNMT3B, andLIN28A(p&lt; 0.01). The histologic types had concordant differences in RNA expression of the genes in the three datasets. Eight genes had overlap with a high RNA expression in at least two histologic types. In contrast, only seminoma (SE) had a high RNA expression ofKLF4and only embryonal carcinoma (EC) had a high RNA expression ofDNMT3B. In conclusion, the meta-analysis showed that the development of the histologic types of TGCT was driven by changes in RNA expression of candidate genes. According to the RNA expressions of the ten genes, TGCT develops from NT over GCNIS, SE, EC, to the differentiated types of TGCT.</t>
  </si>
  <si>
    <t>Párraga-Alava, Jorge/GZA-8759-2022</t>
  </si>
  <si>
    <t>Parraga-Alava, Jorge/0000-0001-8558-9122</t>
  </si>
  <si>
    <t>1422-0067</t>
  </si>
  <si>
    <t>10.3390/ijms21124487</t>
  </si>
  <si>
    <t>WOS:000549379200001</t>
  </si>
  <si>
    <t>González, D; Alamos, P; Rivero, M; Orellana, O; Norambuena, J; Chávez, R; Levicán, G</t>
  </si>
  <si>
    <t>Gonzalez, Daniela; Alamos, Pamela; Rivero, Matias; Orellana, Omar; Norambuena, Javiera; Chavez, Renato; Levican, Gloria</t>
  </si>
  <si>
    <t>Deciphering the Role of Multiple Thioredoxin Fold Proteins of Leptospirillum sp. in Oxidative Stress Tolerance</t>
  </si>
  <si>
    <t>Thioredoxin fold proteins (TFPs) form a family of diverse proteins involved in thiol/disulfide exchange in cells from all domains of life. Leptospirillum spp. are bioleaching bacteria naturally exposed to extreme conditions like acidic pH and high concentrations of metals that can contribute to the generation of reactive oxygen species (ROS) and consequently the induction of thiol oxidative damage. Bioinformatic studies have predicted 13 genes that encode for TFP proteins in Leptospirillum spp. We analyzed the participation of individual tfp genes from Leptospirillum sp. CF-1 in the response to oxidative conditions. Genomic context analysis predicted the involvement of these genes in the general thiol-reducing system, cofactor biosynthesis, carbon fixation, cytochrome c biogenesis, signal transduction, and pilus and fimbria assembly. All tfp genes identified were transcriptionally active, although they responded differentially to ferric sulfate and diamide stress. Some of these genes confer oxidative protection to a thioredoxin-deficient Escherichia coli strain by restoring the wild-type phenotype under oxidative stress conditions. These findings contribute to our understanding of the diversity and complexity of thiol/disulfide systems, and of adaptations that emerge in acidophilic microorganisms that allow them to thrive in highly oxidative environments. These findings also give new insights into the physiology of these microorganisms during industrial bioleaching operations.</t>
  </si>
  <si>
    <t>Levican, Gloria/R-5191-2019; Norambuena, Javiera/MTF-3983-2025</t>
  </si>
  <si>
    <t>Norambuena, Javiera/0000-0002-2992-4907</t>
  </si>
  <si>
    <t>10.3390/ijms21051880</t>
  </si>
  <si>
    <t>WOS:000524908500331</t>
  </si>
  <si>
    <t>Nuñez, MT; Chana-Cuevas, P</t>
  </si>
  <si>
    <t>Nunez, Marco T.; Chana-Cuevas, Pedro</t>
  </si>
  <si>
    <t>New perspectives in iron chelation therapy for the treatment of Parkinson's disease</t>
  </si>
  <si>
    <t>NEURAL REGENERATION RESEARCH</t>
  </si>
  <si>
    <t>Nunez, Marco/H-6348-2014; Chana-Cuevas, Pedro/AAM-8215-2020</t>
  </si>
  <si>
    <t>1673-5374</t>
  </si>
  <si>
    <t>1876-7958</t>
  </si>
  <si>
    <t>PMID 31290444</t>
  </si>
  <si>
    <t>10.4103/1673-5374.259614</t>
  </si>
  <si>
    <t>WOS:000474887200012</t>
  </si>
  <si>
    <t>Sánchez, M; Vásquez-Quitral, P; Butto, N; Díaz-Soler, F; Yazdani-Pedram, M; Silva, JF; Neira-Carrillo, A</t>
  </si>
  <si>
    <t>Sanchez, Marianela; Vasquez-Quitral, Patricio; Butto, Nicole; Diaz-Soler, Felipe; Yazdani-Pedram, Mehrdad; Francisco Silva, Juan; Neira-Carrillo, Andronico</t>
  </si>
  <si>
    <t>Effect of Alginate from Chilean Lessonia nigrescens and MWCNTs on CaCO3 Crystallization by Classical and Non-Classical Methods</t>
  </si>
  <si>
    <t>CRYSTALS</t>
  </si>
  <si>
    <t>In our crystallization experiments, the influence of alginate from Chilean Lessonia nigrescens and functionalized multi-walled carbon nanotubes (MWCNTs) was tested through electrocrystallization (EC) and gas diffusion (GD) methods on the crystal growth of calcium carbonate (CaCO3) and their possible stabilization of proto-structures in amorphous CaCO3 (ACC) state through pre-nucleation clusters (PNC) essays with automatic potentiometric titrations were performed. CaCO3 crystals obtained in the in vitro above-mentioned crystallization systems were characterized by scanning electron microscope (SEM), energy-dispersive X-ray spectrometry (EDS) and powder X-ray diffractometer (XRD). Our experimental findings showed that ALG and functionalized MWCNTs stabilized truncated and agglomerated vaterite-like particles through GD and EC methods. While, on the other hand, we obtained qualitative information about induction or inhibition of CaCO3 nucleation that was provided by potentiometric titrations.</t>
  </si>
  <si>
    <t>Vásquez-Quitral, Patricio/H-8921-2013; Arias, Jose/E-1206-2011; Yazdani-Pedram, Mehrdad/AAW-2610-2021</t>
  </si>
  <si>
    <t>Neira-Carrillo, Andronico/0000-0003-0060-7518</t>
  </si>
  <si>
    <t>2073-4352</t>
  </si>
  <si>
    <t>10.3390/cryst8020069</t>
  </si>
  <si>
    <t>WOS:000427515800020</t>
  </si>
  <si>
    <t>Bridi, R; Nuñez-Quijada, G; Aguilar, P; Martínez, P; Lissi, E; Giordano, A; Montenegro, G</t>
  </si>
  <si>
    <t>Bridi, Raquel; Nunez-Quijada, Gabriel; Aguilar, Patricia; Martinez, Patricia; Lissi, Eduardo; Giordano, Ady; Montenegro, Gloria</t>
  </si>
  <si>
    <t>Differences between phenolic content and antioxidant capacity of quillay Chilean honeys and their separated phenolic extracts</t>
  </si>
  <si>
    <t>CIENCIA E INVESTIGACION AGRARIA</t>
  </si>
  <si>
    <t>The differences between entire quillay honeys and their separated phenolic extracts in terms of phenolic content, flavonoid content and scavenging activity assessed through an Oxygen Radicals Absorbance Capacity (ORAC) assay were determined. The separated phenolic extracts of honey were obtained using Amberlite XAD-2, which is the procedure most used in analytical methods, biological assays and functional food development. The results showed that phenolic and flavonoid contents and antioxidant activity were higher in entire honeys than in their separated phenolic extracts. The recovery of phenolic acids and flavonoids was variable and depended upon the method employed. The application of polyvinylpolypyrrolidone (PVPP), a water insoluble synthetic polymer, in the separated extracts indicated an important influence of non-phenolic reducing compounds in the polyphenolic content measured by the Folin-Ciocalteu method. This showed the elution with methanol of these compounds together with phenolic compounds using an Amberlite XAD-2 column. The antioxidant capacity assessed through ORAC-FL and ORAC-PGR was less influenced by the interference of non-phenolic compounds than by that of total phenolic and flavonoid contents.</t>
  </si>
  <si>
    <t>Bridi, Raquel/JCN-9916-2023; bridi, raquel/F-1572-2015</t>
  </si>
  <si>
    <t>bridi, raquel/0000-0002-3891-5770; Giordano, Ady/0000-0002-1867-6848</t>
  </si>
  <si>
    <t>0718-1620</t>
  </si>
  <si>
    <t>SEP-DEC</t>
  </si>
  <si>
    <t>10.7764/rcia.v44i3.1756</t>
  </si>
  <si>
    <t>WOS:000423275500004</t>
  </si>
  <si>
    <t>Quispe, X; Tapia, SM; Villarroel, C; Oporto, C; Abarca, V; García, V; Martínez, C; Cubillos, FA</t>
  </si>
  <si>
    <t>Quispe, Xtopher; Tapia, Sebastian M.; Villarroel, Carlos; Oporto, Christian; Abarca, Valentina; Garcia, Veronica; Martinez, Claudio; Cubillos, Francisco A.</t>
  </si>
  <si>
    <t>Genetic basis of mycotoxin susceptibility differences between budding yeast isolates</t>
  </si>
  <si>
    <t>Micophenolic acid (MPA) is an immunosuppressant mycotoxin which impairs yeast cell growth to variable degrees depending on the genetic background. Such variation could have emerged from several phenomena, including MPA gene resistance mutations and variations in copy number and localisation of resistance genes. To test this, we evaluated MPA susceptibility in four S. cerevisiae isolates and genetically dissected variation through the identification of Quantitative Trait Loci. Via linkage analysis we identified six QTLs, majority of which were located within subtelomeres and colocalised with IMD2, an inosine monophosphate dehydrogenase previously identified underlying MPA drug resistance in yeast cells. From chromosome end disruption and bioinformatics analysis, it was found that the subtelomere localisation of IMD2 within chromosome ends is variable depending on the strain, demonstrating the influence of IMD2 on the natural variation in yeast MPA susceptibility. Furthermore, GxE gene expression analysis of strains exhibiting opposite phenotypes indicated that ribosome biogenesis, RNA transport, and purine biosynthesis were impaired in strains most susceptible to MPA toxicity. Our results demonstrate that natural variation can be exploited to better understand the molecular mechanisms underlying mycotoxin susceptibility in eukaryote cells and demonstrate the role of subtelomeric regions in mediating interactions with the environment.</t>
  </si>
  <si>
    <t>Cubillos, Francisco/MIT-2389-2025; Martinez, Claudio/MGS-9961-2025; García, Verónica/AAM-1175-2021; Cubillos, Francisco/G-5195-2019</t>
  </si>
  <si>
    <t>Cubillos, Francisco/0000-0003-3022-469X; Tapia, Sebastian/0000-0001-6047-8178; Martinez, Claudio/0000-0001-8564-9287; Villarroel, Carlos/0000-0002-6089-3088</t>
  </si>
  <si>
    <t>AUG 23</t>
  </si>
  <si>
    <t>10.1038/s41598-017-09471-z</t>
  </si>
  <si>
    <t>WOS:000408426400006</t>
  </si>
  <si>
    <t>Hermosilla-Ibáñez, P; Wrighton-Araneda, K; Prado, G; Paredes-García, V; Pizarro, N; Vega, A; Venegas-Yazigi, D</t>
  </si>
  <si>
    <t>Hermosilla-Ibanez, Patricio; Wrighton-Araneda, Kerry; Prado, Gaspar; Paredes-Garcia, Veronica; Pizarro, Nancy; Vega, Andres; Venegas-Yazigi, Diego</t>
  </si>
  <si>
    <t>The first ReI organometallic complex with an organoimido-polyoxometalate ligand</t>
  </si>
  <si>
    <t>DALTON TRANSACTIONS</t>
  </si>
  <si>
    <t>The spectroscopic, electrochemical and photophysical properties of the first Re-I organometallic organoimido-polyoxometalate complex [n-Bu4N][Mo6O18NC6H4-CH2-N3C2H2-Re-phen(CO)(3)] compared with all fragments are reported. The UV-Vis spectra are analysed using experimental and theoretical tools. In contrast to the reported studies in the literature, our results show that a new more intense band is present in the spectra of the hybrid ligand obscuring the intra-polyanion charge transfer. The electrochemical results show that the strong acceptor character of the polyoxometalate fragment is quenched by the condensation of the phenyl-triazole molecule.</t>
  </si>
  <si>
    <t>Vega, Andres/B-2122-2010; Paredes-Garcia, Veronica/C-4415-2011; Pizarro, Nancy/E-1131-2015; Hermosilla-Ibanez, Patricio/Y-7454-2018; Venegas-Yazigi, Diego/C-5022-2009; Wrighton-Araneda, Kerry Jeffry/X-2381-2019</t>
  </si>
  <si>
    <t>Pizarro, Nancy/0000-0002-4688-0889; Vega, Andres/0000-0001-6501-4161; Hermosilla-Ibanez, Patricio/0000-0002-2272-9690; Venegas-Yazigi, Diego/0000-0001-7816-2841; Wrighton-Araneda, Kerry Jeffry/0000-0003-4872-8976</t>
  </si>
  <si>
    <t>1477-9226</t>
  </si>
  <si>
    <t>1477-9234</t>
  </si>
  <si>
    <t>JUL 14</t>
  </si>
  <si>
    <t>10.1039/c7dt01633f</t>
  </si>
  <si>
    <t>WOS:000404860300032</t>
  </si>
  <si>
    <t>Candia, N; Zanelli, C; Brunner, J; Straka, J; Han, ZX; Howard, S; Yam, P</t>
  </si>
  <si>
    <t>Buck, PD; Gallagher, EE</t>
  </si>
  <si>
    <t>Candia, Nicolas; Zanelli, Claudio; Brunner, Johann; Straka, Joachim; Han, Zhenxing; Howard, Sam; Yam, Petrie</t>
  </si>
  <si>
    <t>Characterization of Acoustic Cavitation from a Megasonic Nozzle Transducer for Photomask Cleaning</t>
  </si>
  <si>
    <t>PHOTOMASK TECHNOLOGY 2017</t>
  </si>
  <si>
    <t>Proceedings of SPIE</t>
  </si>
  <si>
    <t>SPIE Photomask Technology Conference</t>
  </si>
  <si>
    <t>SEP 11-14, 2017</t>
  </si>
  <si>
    <t>Monterey, CA</t>
  </si>
  <si>
    <t>SPIE,BACUS</t>
  </si>
  <si>
    <t>Megasonic agitation continues to be used in advanced 193i and EUV photomask cleaning processes. The trend to adopt higher frequencies is driven by the need to control a tighter process window with shrinking feature sizes and a zero-tolerance defect requirement. Despite continued use of megasonics, the effect of the acoustic field applied to the mask substrate remains unclear. Photomask cleaning is a dynamic process with many parameters that contribute to the particle removal efficiency and pattern damage. These include transducer type, transducer position, drive frequency, power setting, flow rate, chemistry, gas concentration, etc. To add to the complexity, when the acoustic waves from the transducer interact with a quartz mask the energy may reflect from, transmit through, or couple into the substrate. An in-situ measurement of the acoustic field, as present at the feature location, is required to correlate acoustic parameters with cleaning performance. This work introduces a photomask-shaped cavitation sensor capable of measuring the absolute pressure from the direct field, stable cavitation, and transient cavitation present at the surface. In contrast to previous work characterizing skirt-type transducers, this measurement instrument is sensitive to higher drive frequencies while withstanding concentrated pressure levels from nozzle transducers. Here, a megasonic system with dual nozzle transducers at 5 MHz and 3 MHz was evaluated. The aim of the study is to better understand the acoustic properties from different types of transducers for process development and monitoring in the quest to correlate with photomask cleaning.</t>
  </si>
  <si>
    <t>0277-786X</t>
  </si>
  <si>
    <t>1996-756X</t>
  </si>
  <si>
    <t>978-1-5106-1377-5; 978-1-5106-1376-8</t>
  </si>
  <si>
    <t>UNSP 1045114</t>
  </si>
  <si>
    <t>10.1117/12.2281272</t>
  </si>
  <si>
    <t>WOS:000418445700032</t>
  </si>
  <si>
    <t>Páraga-Alava, J; Dorn, M; Inostroza-Ponta, M</t>
  </si>
  <si>
    <t>Parraga-Alava, Jorge; Dorn, Marcio; Inostroza-Ponta, Mario</t>
  </si>
  <si>
    <t>Using Local Search Strategies to Improve the Performance of NSGA-II for the Multi-Criteria Minimum Spanning Tree Problem</t>
  </si>
  <si>
    <t>2017 IEEE CONGRESS ON EVOLUTIONARY COMPUTATION (CEC)</t>
  </si>
  <si>
    <t>IEEE Congress on Evolutionary Computation (CEC)</t>
  </si>
  <si>
    <t>JUN 05-08, 2017</t>
  </si>
  <si>
    <t>SPAIN</t>
  </si>
  <si>
    <t>IEEE,IEEE Computat Intelligence Soc,Univ Pais Vasco,CEC</t>
  </si>
  <si>
    <t>Finding a solution to the Multi-Criteria Minimum Spanning Tree (mc-MST) problem has direct benefit on real world problems. The Multi-objective Evolutionary Algorithm (MOEA) called NSGA-II (Non-Dominated Sorting Genetic Algorithm) has demonstrated to be the most promising approach to tackle mc-MST problem because of their efficiency and simplicity of implementation. However, it often reaches premature convergence and gets stuck at local optima causing the non-diversity of the population. To tackle this situation, the use local search strategies together with MOEAs has shown to be a good alternative. In this paper, we investigate the potential of local search methods to improve the overall effectiveness of NSGA-II to settle the mcMST problem. We evaluate the performance of three general purpose local searches (Pareto Local Search, Tabu Search and Path Relinking) adapted to the multi-objective approach. Experimental results show that using Pareto Local Search (PLS) into the NSGA-II offers a better performance in terms of diversity and search space covered to settle the mc-MST problem.</t>
  </si>
  <si>
    <t>Párraga-Alava, Jorge/GZA-8759-2022; Inostroza-Ponta, Mario/G-7548-2012; Dorn, Marcio/D-3696-2009</t>
  </si>
  <si>
    <t>Dorn, Marcio/0000-0001-8534-3480; Inostroza-Ponta, Mario/0000-0003-1295-8972; Parraga-Alava, Jorge/0000-0001-8558-9122</t>
  </si>
  <si>
    <t>978-1-5090-4601-0</t>
  </si>
  <si>
    <t>WOS:000426929700145</t>
  </si>
  <si>
    <t>Alvarez, R; Araya, H; Navarro-Lisboa, R; de Dicastillo, CL</t>
  </si>
  <si>
    <t>Alvarez, Rudy; Araya, Hector; Navarro-Lisboa, Rosa; Lopez de Dicastillo, Carol</t>
  </si>
  <si>
    <t>Evaluation of Polyphenol Content and Antioxidant Capacity of Fruits and Vegetables Using a Modified Enzymatic Extraction</t>
  </si>
  <si>
    <t>FOOD TECHNOLOGY AND BIOTECHNOLOGY</t>
  </si>
  <si>
    <t>Fruits and vegetables are considered a good source of polyphenols and antioxidant capacities which are beneficial in protecting the human body against damage induced by reactive species. The objective of this work is to conduct an assessment of the polyphenol content and antioxidant activities of different fruit (kiwi, pear, green apple, raspberry, blackberry, strawberry and blueberry) and vegetable (pumpkin, green and red pepper) extracts using both chemical extraction and a modified in vitro digestive enzymatic extraction in order to compare results. Polyphenol content and antioxidant capacity of different fruits, vegetables and fruit juices were determined by Folin-Ciocalteu and FRAP methods, respectively. It was observed that polyphenol content expressed as gallic acid equivalents of extracts obtained with the two extraction methods was significantly (p&lt;0.05) different (on average 310.3 and 231.8 mg per 100 g of fresh sample in enzymatic and methanolic extracts, respectively). Antioxidant capacity was also significantly (p&lt;0.05) different in the extracts obtained by the two methods, with higher values in enzymatic extracts (1.91 mmol of Fe2+ per 100 g of fresh sample). Analyses of apple samples with and without skin also revealed important differences related to methodology and composition. Additionally, the original enzymatic extraction method was improved to avoid interferences caused by the presence of protein residues in the extract.</t>
  </si>
  <si>
    <t>Lopez-de-Dicastillo, Carol/C-6347-2019</t>
  </si>
  <si>
    <t>Lopez-de-Dicastillo, Carol/0000-0003-0067-9765; Alvarez Vega, Rudy Carolina/0000-0002-7490-6409</t>
  </si>
  <si>
    <t>1330-9862</t>
  </si>
  <si>
    <t>1334-2606</t>
  </si>
  <si>
    <t>10.17113/ftb.54.04.16.4497</t>
  </si>
  <si>
    <t>WOS:000389623700010</t>
  </si>
  <si>
    <t>Vargas, E; Romero-Sáez, M; Denardin, JC; Gracia, F</t>
  </si>
  <si>
    <t>Vargas, E.; Romero-Saez, M.; Denardin, J. C.; Gracia, F.</t>
  </si>
  <si>
    <t>The ultrasound-assisted synthesis of effective monodisperse nickel nanoparticles: magnetic characterization and its catalytic activity in CO2 methanation</t>
  </si>
  <si>
    <t>NEW JOURNAL OF CHEMISTRY</t>
  </si>
  <si>
    <t>Homogeneous nickel nanoparticles were synthesized and supported over m-ZrO2 through a simple ultrasonic process. The microscopic and magnetic characterization of nanoparticles showed high quality and effective monodisperse size distribution. The catalytic performance of the samples, containing only 1% wt nickel, was evaluated for CO2 methanation reaction. The experimental results showed high activity ( 70%) and excellent selectivity to CH4 ( 90% at 720 K). This low-cost and simple fabrication method of a nanocatalyst proves to be a potential candidate for further application.</t>
  </si>
  <si>
    <t>Romero-Sáez, Manuel/A-9757-2016; Denardin, Juliano/S-6407-2019; Romero Saez, Manuel/P-8140-2018; Gracia, Francisco/I-2145-2013</t>
  </si>
  <si>
    <t>Romero Saez, Manuel/0000-0002-4958-5623; Denardin, Juliano/0000-0002-1373-6207; Gracia, Francisco/0000-0001-5266-3234</t>
  </si>
  <si>
    <t>1144-0546</t>
  </si>
  <si>
    <t>1369-9261</t>
  </si>
  <si>
    <t>10.1039/c6nj01574c</t>
  </si>
  <si>
    <t>WOS:000382820000012</t>
  </si>
  <si>
    <t>Artigas, A; Monsalve, A; Sipos, K; Bustos, O; Mena, J; Seco, R; Garza-Montes-de-Oca, N</t>
  </si>
  <si>
    <t>Artigas, A.; Monsalve, A.; Sipos, K.; Bustos, O.; Mena, J.; Seco, R.; Garza-Montes-de-Oca, N.</t>
  </si>
  <si>
    <t>Development of accelerated wet-dry cycle corrosion test in marine environment for weathering steels</t>
  </si>
  <si>
    <t>CORROSION ENGINEERING SCIENCE AND TECHNOLOGY</t>
  </si>
  <si>
    <t>There is great interest in the steel industry of incorporating new products that go beyond the properties of existing ones. Among these properties, corrosion resistance is extremely important for countries that, like Chile, have an extensive ocean coastline. In costal zones, the chloride ions in air produce corrosion that reduces the service life of structures. For this reason, it is of utmost importance to study the influence of different alloying elements such as nickel, which lead to improve steel's resistance to marine corrosion. In this context the development of new types of steel is hindered if the evaluation of their corrosion resistance takes very long times. This paper presents a methodology based on accelerated wet-dry cycle corrosion experiences to simulate the behaviour of steel over time in a marine environment. The results of the proposed methodology allow adequate prediction of corrosion thickness in ASTM A242 and A588 steels exposed for years to a specific marine environment.</t>
  </si>
  <si>
    <t>Artigas, Alfredo/Y-1185-2019; Allende, Rodrigo/N-5507-2017</t>
  </si>
  <si>
    <t>Monsalve, Alberto/0000-0002-5772-8815; Allende, Rodrigo/0000-0002-2115-8160</t>
  </si>
  <si>
    <t>1478-422X</t>
  </si>
  <si>
    <t>1743-2782</t>
  </si>
  <si>
    <t>10.1179/1743278215Y.0000000007</t>
  </si>
  <si>
    <t>WOS:000366925800008</t>
  </si>
  <si>
    <t>Reuquén, P; Oróstica, ML; Rojas, I; Díaz, P; Parada-Bustamante, A; Orihuela, PA</t>
  </si>
  <si>
    <t>Reuquen, Patricia; Orostica, Maria L.; Rojas, Israel; Diaz, Patricia; Parada-Bustamante, Alexis; Orihuela, Pedro A.</t>
  </si>
  <si>
    <t>Estradiol increases IP3 by a nongenomic mechanism in the smooth muscle cells from the rat oviduct</t>
  </si>
  <si>
    <t>REPRODUCTION</t>
  </si>
  <si>
    <t>Estradiol (E-2) accelerates egg transport by a nongenomic action, requiring activation of estrogen receptor ( ER) and successive cAMP and IP3 production in the rat oviduct. Furthermore, E-2 increases IP3 production in primary cultures of oviductal smooth muscle cells. As smooth muscle cells are the mechanical effectors for the accelerated oocyte transport induced by E-2 in the oviduct, herein we determined the mechanism by which E-2 increases IP3 in these cells. Inhibition of protein synthesis by Actinomycin D did not affect the E-2-induced IP3 increase, although this was blocked by the ER antagonist ICI182780 and the inhibitor of phospholipase C (PLC) ET-18-OCH3. Immunoelectron microscopy for ESR1 or ESR2 showed that these receptors were associated with the plasma membrane, indicating compatible localization with E-2 nongenomic actions in the smooth muscle cells. Furthermore, ESR1 but not ESR2 agonist mimicked the effect of E-2 on the IP3 level. Finally, E-2 stimulated the activity of a protein associated with the contractile tone, calcium/calmodulin-dependent protein kinase II (CaMKII), in the smooth muscle cells. We conclude that E-2 increases IP3 by a nongenomic action operated by ESR1 and that involves the activation of PLC in the smooth muscle cells of the rat oviduct. This E-2 effect is associated with CaMKII activation in the smooth muscle cells, suggesting that IP3 and CaMKII are involved in the contractile activity necessary to accelerate oviductal egg transport.</t>
  </si>
  <si>
    <t>Parada-Bustamante, Alexis/I-1127-2013; Díaz, Patricia/GOV-2972-2022</t>
  </si>
  <si>
    <t>Parada Bustamante, Alexis/0000-0002-3240-4961; Diaz, Patricia/0000-0003-2099-1019</t>
  </si>
  <si>
    <t>1470-1626</t>
  </si>
  <si>
    <t>10.1530/REP-15-0137</t>
  </si>
  <si>
    <t>WOS:000361908800012</t>
  </si>
  <si>
    <t>Lopez-Guede, JM; Soto, I; de Leceta, AMF; Larrañaga, JM</t>
  </si>
  <si>
    <t>Hursen, C</t>
  </si>
  <si>
    <t>Manuel Lopez-Guede, Jose; Soto, Ismael; Fdez de Leceta, Aitor Moreno; Maria Larranaga, Jesus</t>
  </si>
  <si>
    <t>Educational Innovation in the Computer Architecture area</t>
  </si>
  <si>
    <t>PROCEEDINGS OF 5TH WORLD CONFERENCE ON LEARNING, TEACHING AND EDUCATIONAL LEADERSHIP</t>
  </si>
  <si>
    <t>Procedia Social and Behavioral Sciences</t>
  </si>
  <si>
    <t>5th World Conference on Learning, Teaching and Educational Leadership, WCLTA 2014</t>
  </si>
  <si>
    <t>OCT 29-31, 2014</t>
  </si>
  <si>
    <t>Prague, CZECH REPUBLIC</t>
  </si>
  <si>
    <t>In the present work authors give a detailed description of the previously performed analysis carried out to formulate a concrete educational innovation project proposal in the area of the Computer Architecture, more specifically, in the Computer Structure and Architecture sub-module. That project was submitted to the competitive Educational Innovation Projects Call 2013-2015 of the Basque Country University (UPV/EHU, Spain), and fortunately, it was elected and granted by the Education Advisory Service of the same university. This project follows the the way started by another similar project but in other knowledge area of Electronics in the same University College. In this paper, the specific problems of the Computer Structure and Architecture sub-module in the University College of Vitoria-Gasteiz (that is the place where it is being carried out) are analyzed, the framework in a wide sense is described (University, University College and syllabus) and the specificities of the current project are explained. All the analysis is done taking into account the competences point of view (both specific for each subject and transversal for the degree). (C) 2015 The Authors. Published by Elsevier Ltd.</t>
  </si>
  <si>
    <t>Lopez-Guede, Jose/L-7768-2014; Moreno Fdz de Leceta, Aitor/GXN-3466-2022</t>
  </si>
  <si>
    <t>Soto, Ismael/0000-0002-5501-5651; Moreno Fdz. de Leceta, Aitor/0000-0003-0556-4457</t>
  </si>
  <si>
    <t>1877-0428</t>
  </si>
  <si>
    <t>10.1016/j.sbspro.2015.04.094</t>
  </si>
  <si>
    <t>WOS:000380499600060</t>
  </si>
  <si>
    <t>Curilem, M; Huenupan, F; Martin, CS; Fuentealba, G; Cardona, C; Franco, L; Acuña, G; Chacón, M</t>
  </si>
  <si>
    <t>Gelbukh, A; Espinoza, FC; GaliciaHaro, SN</t>
  </si>
  <si>
    <t>Curilem, Millaray; Huenupan, Fernando; San Martin, Cesar; Fuentealba, Gustavo; Cardona, Carlos; Franco, Luis; Acuna, Gonzalo; Chacon, Max</t>
  </si>
  <si>
    <t>Feature Analysis for the Classification of Volcanic Seismic Events Using Support Vector Machines</t>
  </si>
  <si>
    <t>NATURE-INSPIRED COMPUTATION AND MACHINE LEARNING, PT II</t>
  </si>
  <si>
    <t>Lecture Notes in Artificial Intelligence</t>
  </si>
  <si>
    <t>13th Mexican International Conference on Artificial Intelligence (MICAI)</t>
  </si>
  <si>
    <t>NOV 16-22, 2014</t>
  </si>
  <si>
    <t>Tuxtla Gutierrez, MEXICO</t>
  </si>
  <si>
    <t>Mexican Soc Artificial Intelligence,Govt Chiapas,Ist Tecnologico Tuxtla Gutierrez,Univ Autonoma Chiapas,Centro Investigac Computac Ist Politecnico Nacl,Univ Autonoma Estado Hidalgo,Univ Nacl Autonoma Mexico</t>
  </si>
  <si>
    <t>This paper shows a preliminary study to perform a pattern recognition process for seismic events of the Llaima volcano, one of the most active volcanoes in South America. 1622 classified events registered from the Llaima volcano were considered in this study, taken from 2009 to 2011. The events were divided in four classes: TREMOR (TR), LONG-PERIOD (LP), VOLCANO-TECTONICS (VT) and OTHERS (OT). All of them correspond to specific activities. TR and LP events, are related to magmatic fluid through the ducts: continuous flux correspond to TR and discrete flux to LP. VT events occurs when excess of the magmatic pressure provides enough energy for rock failure. The group of OT contains events not related to the three first volcanic classes. Many features extracted from de amplitude, the frequency and the phase of the events were used to characterize the different classes. A classifier step based on Support Vector Machines was implemented to evaluate the contribution of each feature to the classification. The paper shows the results of this process and gives insights for future works.</t>
  </si>
  <si>
    <t>san martin, cesar/AAB-2987-2020</t>
  </si>
  <si>
    <t>Huenupan, Fernando/0000-0002-8145-0251; Curilem, Millaray/0000-0001-8685-221X; Acuna Leiva, Gonzalo Pedro/0000-0002-0519-7792; cardona, carlos/0000-0002-6698-647X</t>
  </si>
  <si>
    <t>0302-9743</t>
  </si>
  <si>
    <t>1611-3349</t>
  </si>
  <si>
    <t>978-3-319-13650-9; 978-3-319-13649-3</t>
  </si>
  <si>
    <t>WOS:000354938000015</t>
  </si>
  <si>
    <t>Nagles, E; Arancibia, V; Rojas, C; Segura, R</t>
  </si>
  <si>
    <t>Nagles, Edgar; Arancibia, Veronica; Rojas, Carlos; Segura, Rodrigo</t>
  </si>
  <si>
    <t>Nafion-mercury coated film electrode for the adsorptive stripping voltammetric determination of lead and cadmium in the presence of pyrogallol red</t>
  </si>
  <si>
    <t>TALANTA</t>
  </si>
  <si>
    <t>An adsorptive stripping voltammetric (AdSV) method is presented for the simultaneous determination of Pb(II) and Cd(II) at trace levels in natural waters, based on metal complexation with pyrogallol red (PR) and subsequent adsorptive deposition on a Nation-mercury coated glassy carbon electrode (NHgFE). Pyrogallol red forms complexes with a metal:ligand stoichiometry of 1:1 with Pb(II) and of 1:2 with Cd(II). Optimal analytical conditions were pH 4.0 (acetate buffer); C-PR = 2.8 mu mol L-1; E-ads = -0.40 V vs. Ag/AgCl; t(ads) = 100 s. The linear calibration curves ranged from 1.0 mu g L-1 to 16.0 mu g L-1 for Pb(II) and from 1.0 mu g L-1 to 13.0 mg L-1 for Cd(II). The detection limits (S/N=3) were 0.05 mu g L-1 for Pb(II) and 0.01 mg L-1 for Cd(II). The relative standard deviation was 1.0% and 2.0% (n = 7), respectively, for a solution containing 5.0 mu g L-1 Pb(II) and Cd(II). The method was validated by determining Pb(II) and Cd(II) in certified reference waste water (SPS-WW1). Finally, the method was applied to the determination of Pb(II) and Cd(II) in commercial mineral water samples after UV digestion. (C) 2012 Elsevier B.V. All rights reserved.</t>
  </si>
  <si>
    <t>Segura, Rodrigo/J-6696-2016; Rojas Cruz, Carlos/GZM-2307-2022</t>
  </si>
  <si>
    <t>Segura, Rodrigo/0000-0001-5747-2357; Nagles Vidal, Edgar Orlando/0000-0002-2957-2817; Arancibia, Veronica/0000-0001-7493-0460</t>
  </si>
  <si>
    <t>0039-9140</t>
  </si>
  <si>
    <t>1873-3573</t>
  </si>
  <si>
    <t>10.1016/j.talanta.2012.05.028</t>
  </si>
  <si>
    <t>WOS:000309785300017</t>
  </si>
  <si>
    <t>Méndez, F; Sepúlveda, F</t>
  </si>
  <si>
    <t>Mendez, Fabio; Sepulveda, Facundo</t>
  </si>
  <si>
    <t>The Cyclicality of Skill Acquisition: Evidence from Panel Data</t>
  </si>
  <si>
    <t>AMERICAN ECONOMIC JOURNAL-MACROECONOMICS</t>
  </si>
  <si>
    <t>This paper presents new empirical evidence regarding the cyclicality of skill acquisition activities. The paper studies both training and schooling episodes at the individual level using quarterly data from the NLSY79 for a period of 19 years. We find that aggregate schooling is strongly countercyclical, while aggregate training is acyclical. Several training categories, however, behave procyclically. The results also indicate that firm-financed training is procyclical, while training financed through other means is countercyclical; and that the cyclicality of skill acquisition investments depends significantly on the educational level and the employment status of the individual.</t>
  </si>
  <si>
    <t>Mendez, Fabio/0000-0002-8431-6138</t>
  </si>
  <si>
    <t>1945-7707</t>
  </si>
  <si>
    <t>10.1257/mac.4.3.128</t>
  </si>
  <si>
    <t>WOS:000305838000005</t>
  </si>
  <si>
    <t>Xia, Y; Friswell, MI; Flores, EIS</t>
  </si>
  <si>
    <t>Xia, Y.; Friswell, M. I.; Saavedra Flores, E. I.</t>
  </si>
  <si>
    <t>Equivalent models of corrugated panels</t>
  </si>
  <si>
    <t>INTERNATIONAL JOURNAL OF SOLIDS AND STRUCTURES</t>
  </si>
  <si>
    <t>The design of corrugated panels has wide application in engineering. For example corrugated panels are often used in roof structures in civil engineering. More recently corrugated laminates have been suggested as a good solution for morphing aircraft skins due to their extremely anisotropic behaviour. The optimal design of these structures requires simple models of the panels or skins that may be incorporated into multi-disciplinary system models. Thus equivalent material models are required that retain the dependence on the geometric parameters of the corrugated skins or panels. An homogenisation-based analytical model, which could be used for any corrugation shape, is suggested in this paper. This method is based on a simplified geometry for a unit-cell and the stiffness properties of original sheet. This paper outlines such a modelling strategy, gives explicit expressions to calculate the equivalent material properties, and demonstrates the performance of the approach using two popular corrugation shapes. (C) 2012 Elsevier Ltd. All rights reserved.</t>
  </si>
  <si>
    <t>Flores, Erick/I-7646-2012; Friswell, Michael/B-5581-2009</t>
  </si>
  <si>
    <t>Friswell, Michael/0000-0003-4677-7395</t>
  </si>
  <si>
    <t>0020-7683</t>
  </si>
  <si>
    <t>JUN 15</t>
  </si>
  <si>
    <t>10.1016/j.ijsolstr.2012.02.023</t>
  </si>
  <si>
    <t>WOS:000304744400003</t>
  </si>
  <si>
    <t>Gracia, M; Marco, JF; Gancedo, JR; Ortiz, J; Pastene, R; Gautier, JL</t>
  </si>
  <si>
    <t>Gracia, M.; Marco, J. F.; Gancedo, J. R.; Ortiz, J.; Pastene, R.; Gautier, J. L.</t>
  </si>
  <si>
    <t>Characterization of The Lithium-Manganese Ferrite LiFeMnO4 Prepared by Two Different Methods</t>
  </si>
  <si>
    <t>JOURNAL OF PHYSICAL CHEMISTRY C</t>
  </si>
  <si>
    <t>Lithium-manganese ferrite LiFeMnO4 was prepared using two different methods: a conventional ceramic high-temperature solid-state reaction technique (Cer) and thermal decomposition of metal nitrate salts (NTD). The characterization of the compounds was carried out by SEM/EDX, XRD, XPS, Fe K- and Mn K-edge XANES, and Mossbauer spectroscopy. Both Cer and NTD LiFeMnO4 samples have the nominal expected Fe/Mn atomic ratio and show a homogeneous morphology, but they exhibit different particle sizes. Fe K-edge XANES and Mossbauer spectroscopy results show that the oxidation state of Fe ions is +3 in both samples, whereas the Mn K-edge XANES data indicate that the bulk average Mn oxidation state is +3 for the NTD sample and close to +4 for the Cer one. Thus, to maintain the charge neutrality, the NTD sample has to be nonstoichiometric in oxygen with a composition close to LiFeMnO3.5. The Mn 3s XPS data indicate that the average surface oxidation state of Mn is also lower in the NTD sample. The results suggest the occurrence of small Fe clusters inside the spinel-related structure in both samples. The Fe cluster occurrence can be due to the presence of diamagnetic Li+ ions, which share both tetrahedral and octahedral sites with the Fe3+ ions. This can result in different configurations around the Fe-occupied sites such that some of the Fe3+ ions located at the octahedral sites remain in a paramagnetic state at 298 K and, therefore, are responsible for the doublet observed in the corresponding Mossbauer spectrum. The neighboring Mn-rich regions containing Mn3+ or Mn4+ ions in octahedral positions also modify the existing magnetic interactions in such a way that they become more complex in the NTD sample than in the Cer one, which is reflected in a more marked superparamagnetic-like behavior. This suggests the existence in the NTD sample of a larger amount of Fe clusters, which can be explained by the different oxidation states of Mn, a larger number of oxygen vacancies, and a higher number of Fe sites with reduced coordination in this material. Finally, the differences found in the chemical and structural properties of Cer and NTD samples can be due not only to variations in thermal treatments used in each synthesis procedure but also to the different nature of the starting products in both methods.</t>
  </si>
  <si>
    <t>; Marco, JF/N-3176-2014</t>
  </si>
  <si>
    <t>PASTENE OLIVARES, RUBEN/0000-0002-7137-0303; Marco, JF/0000-0002-5147-1449</t>
  </si>
  <si>
    <t>1932-7447</t>
  </si>
  <si>
    <t>JUL 29</t>
  </si>
  <si>
    <t>10.1021/jp103507k</t>
  </si>
  <si>
    <t>WOS:000280070900057</t>
  </si>
  <si>
    <t>Jaramillo, A; Gaete, G; Romero, P; Orellana, P; Illanes, S</t>
  </si>
  <si>
    <t>Jaramillo, Arturo; Gaete, German; Romero, Pablo; Orellana, Patricia; Illanes, Sergio</t>
  </si>
  <si>
    <t>Acute Pontine Infarct in a 16-Year-Old Man with Acute Posterior Multifocal Placoid Pigment Epitheliopathy. A Case Report</t>
  </si>
  <si>
    <t>JOURNAL OF STROKE &amp; CEREBROVASCULAR DISEASES</t>
  </si>
  <si>
    <t>A 16-year-old boy recently diagnosed with acute posterior multifocal placoid pigment epitheliopathy (APMPPE) developed an acute infarct in the left pontine region. No relevant abnormalities were found in the brain and cervical angiography, echocardiography, cerebrospinal fluid, and blood samples. Funduscopically, lesions were multiple circumscribed, creamy yellow patches, flat lesions at the level of the retinal pigment epithelium, and the fluorescence angiography confirmed an APMPPE. All visual and neurological symptoms reverted completely after use of steroid. Our patient is the youngest patient with APMPPE and stroke described so far, being the common age presentation between 20 to 40 years. (C) 2009 by National Stroke Association</t>
  </si>
  <si>
    <t>Jaramillo, Arturo/IMO-6642-2023</t>
  </si>
  <si>
    <t>1052-3057</t>
  </si>
  <si>
    <t>10.1016/j.jstrokecerebrovasdis.2008.08.004</t>
  </si>
  <si>
    <t>WOS:000264221400013</t>
  </si>
  <si>
    <t>Gramsch, E; Oyola, P; Von Baer, D; Ormeño, I</t>
  </si>
  <si>
    <t>Gramsch, E.; Oyola, P.; Von Baer, D.; Ormeno, I.</t>
  </si>
  <si>
    <t>Impact of the use of segregated streets in the elemental carbon concentrations in Santiago de Chile</t>
  </si>
  <si>
    <t>ATMOSFERA</t>
  </si>
  <si>
    <t>The high particle concentrations that are observed in Santiago de Chile during winter have prompted the government to pursue several approaches to reduce the contamination. One of these strategies was to change the traffic direction, and privileges in several streets. The main avenue (Alameda), which has 5 lanes each way, was segregated such that in three of them, only public buses can circulate and the other two lanes can be used by other vehicles. The objective is that the buses can circulate more freely, thus reducing emissions. During winter of 2001, we have measured the elemental carbon (EC) concentration along Alameda Avenue and several other streets with a light-absorption coefficient equipment built at the University of Santiago. The morning rush hour peak can be seen for all months indicating that the influence of traffic in this area is high. The EC concentration during rush hour represents an average of 25% of the total concentration. In addition, the average in EC concentration (for all months) due to rush hour traffic is higher in the street with no segregated traffic than the other two stations that have segregated traffic. However, the large variability in the data does not allow concluding with statistical significance that there is a reduction in EC pollution during rush hour. The average values of the elemental carbon concentration in 4 stations have been measured, and two of them show high values, the other two show lower values that depend on the location across the city. These results, allow drawing approximately the limits of an area with high elemental carbon concentration.</t>
  </si>
  <si>
    <t>Gramsch, Ernesto/M-5507-2017</t>
  </si>
  <si>
    <t>von Baer, Dietrich/0000-0001-8492-1314</t>
  </si>
  <si>
    <t>0187-6236</t>
  </si>
  <si>
    <t>WOS:000252834300006</t>
  </si>
  <si>
    <t>Günther, B; Morgado, E; Cociña, M</t>
  </si>
  <si>
    <t>Homeostatic range of the oxidative metabolism:: 60 years of integrative fisiometry</t>
  </si>
  <si>
    <t>The energetic metabolism and its relationship with body weight generated a vivid controversy, since the Rubner's surface law was introduced into biology. Recently, the multifactor theory (Darveau et al) has caused again a revival of this polemic topic. Moreover, the investigations concerning metabolism and body weight include all terrestrial mammals,,from the shrew (3 grains) to the elephant (three tons). The corresponding allometric exponent for standard metabolic rate, both theoretical and empirical, fluctuates around an average value of 0.75, in contrast with the surface law, which postulated a value of 0.67. The metabolic range (rest vs maximal exercise) does vary from. 1 to 10, date to the prevalent influence of the skeletal muscle activity. Recent investigations have emphasized the fact that the allometric exponent is not unique (0.75), but it should be subjected to statistical variability, both in standard and in maximal exercise.</t>
  </si>
  <si>
    <t>WOS:000228990600013</t>
  </si>
  <si>
    <t>Noseda, R; Hernández, A; Valladares, L; Mondaca, M; Laurido, C; Soto-Moyano, R</t>
  </si>
  <si>
    <t>Melatonin-induced inhibition of spinal cord synaptic potentiation in rats is MT2 receptor-dependent</t>
  </si>
  <si>
    <t>NEUROSCIENCE LETTERS</t>
  </si>
  <si>
    <t>Systemically administered melatonin has been reported to produce antinociception and to inhibit spinal nociceptive transmission in rats. The present study was designed to investigate in anesthetized rats (i) whether intrathecally administered melatonin can depress synaptic potentiation (wind-up) in the spinal cord, and (ii) whether this effect is prevented by intrathecal (i.t.) administration of the MT2 receptor antagonist luzindole. Results showed that melatonin i.t. (10, 30 and 90 mug) induced dose-dependent inhibition of wind-up activity (ED50 = 52.06 mug i.t.), an effect that was prevented by 100 mug i.t. of luzindole. Since wind-up is dependent on NMDA receptor activation, the results suggest that melatonin can interfere with the NMDA-mediated glutamatergic component of pain transmission in rat spinal cord by acting on NIT, receptors. (C) 2004 Elsevier Ireland Ltd. All rights reserved.</t>
  </si>
  <si>
    <t>Hernandez, Alejandro/M-4796-2019; Noseda, Rodrigo/AAN-1761-2020</t>
  </si>
  <si>
    <t>Hernandez, Alejandro/0000-0001-9222-6522; Noseda, Rodrigo/0000-0002-9641-4691</t>
  </si>
  <si>
    <t>0304-3940</t>
  </si>
  <si>
    <t>1872-7972</t>
  </si>
  <si>
    <t>APR 22</t>
  </si>
  <si>
    <t>10.1016/j.neulet.2004.01.080</t>
  </si>
  <si>
    <t>WOS:000221080500011</t>
  </si>
  <si>
    <t>Pelissier, T; Laurido, C; Kramer, V; Hernández, A; Paeile, C</t>
  </si>
  <si>
    <t>Antinociceptive interactions of ketamine with morphine or methadone in mononeuropathic rats</t>
  </si>
  <si>
    <t>EUROPEAN JOURNAL OF PHARMACOLOGY</t>
  </si>
  <si>
    <t>To study the antinociceptive synergy resulting from the combination of opioid receptor agonists and N-methyl-D-aspartate (NMDA) receptor antagonists on neuropathic pain, an isobolographic analysis of equianalgesic combinations of ketamine with methadone or morphine was performed in rats with mononeuropathy produced by placing four constrictive ligatures around the common sciatic nerve. Two weeks later, the antinociceptive effect of subcutaneous administration of the drugs alone or combined was evaluated by using the paw pressure test. Drugs and their combinations produced dose-dependent antinociception. Combinations produced synergy of a supra-additive nature in the neuropathic paw, but only additive antinociception in the normal paw. The ketamine/metadone combination was more effective to produce antinociception in the neuropathic paw than was the ketamine/morphine association, as revealed by the lower ED25. The results indicate supra-additive synergy between NMDA receptor antagonists and opioids, especially methadone, to produce antinociception in experimental neuropathy. (C) 2003 Elsevier B.V. All rights reserved.</t>
  </si>
  <si>
    <t>Hernandez, Alejandro/M-4796-2019</t>
  </si>
  <si>
    <t>Hernandez, Alejandro/0000-0001-9222-6522</t>
  </si>
  <si>
    <t>0014-2999</t>
  </si>
  <si>
    <t>1879-0712</t>
  </si>
  <si>
    <t>SEP 5</t>
  </si>
  <si>
    <t>10.1016/S0014-2999(03)02192-7</t>
  </si>
  <si>
    <t>WOS:000185674300004</t>
  </si>
  <si>
    <t>Letelier, MF; Siginer, DA</t>
  </si>
  <si>
    <t>Secondary flows of viscoelastic liquids in straight tubes</t>
  </si>
  <si>
    <t>7th Pan American Congress of Applies Mechanics (PACAM 7)</t>
  </si>
  <si>
    <t>JAN, 2002</t>
  </si>
  <si>
    <t>UNIV LA FRONTERA, INTEGRADO ANDRES BELLO, TEMUCO, CHILE</t>
  </si>
  <si>
    <t>UNIV LA FRONTERA, INTEGRADO ANDRES BELLO</t>
  </si>
  <si>
    <t>The unsteady flow of the Green-Rivlin fluids in straight tubes of arbitrary cross-section driven by a pulsating pressure gradient is investigated. The non-linear constitutive structure defined by a series of nested integrals over semi-infinite time domains is perturbed simultaneously with the boundary of the base flow through a novel approach to domain mapping. The dominant primary component of the flow, the longitudinal field, and the much weaker transversal field arise at the first and the second orders of the analysis, respectively. The secondary field is driven by first-order terms stemming from the linearly viscoelastic longitudinal flow at the first order. The domain mapping technique employed yields a continuous spectrum of unconventional closed cross-sectional shapes. We present longitudinal velocity profiles and transversal time-averaged, mean secondary flow streamline patterns for a specific fluid and for representative cross-sectional shapes in the spectrum the triangular, square and hexagonal shapes. (C) 2003 Elsevier Ltd. All rights reserved.</t>
  </si>
  <si>
    <t>10.1016/S0020-7683(03)00256-7</t>
  </si>
  <si>
    <t>WOS:000184674700011</t>
  </si>
  <si>
    <t>Navarro, P; Vargas, C; Villarroel, A; Alguacil, FJ</t>
  </si>
  <si>
    <t>On the use of ammoniacal/ammonium thiosulphate for gold extraction from a concentrate</t>
  </si>
  <si>
    <t>The use of ammonium thiosulphate as leaching agent for gold from a flotation concentrate has been studied. The gold content in the concentrate was 95 g/t, whereas the main mineralogical species were chalcopyrite, pyrite, pyrrhotite, termantite and sphalerite. The experimental variables studied were: (i) Cu(II) concentration (0-6.5 g Cu(II) (added) per liter of leaching solution), (ii) thiosulphate concentration (0.1-0.7 M), (iii) pH (9-10) and (iv) pulp density (10-40%). Best gold dissolution (94%) was obtained at 0.05 M Cu(II), 0.3 M S2O32-, pH 10 and 10% pulp density after 15 h, whereas cyanidation gives the same yield but after about 46 h of reaction. (C) 2002 Elsevier Science B.V. All rights reserved.</t>
  </si>
  <si>
    <t>Villarroel Rivera, Adriana/IAM-2002-2023</t>
  </si>
  <si>
    <t>PII S0304-386X(02)00062-2</t>
  </si>
  <si>
    <t>10.1016/S0304-386X(02)00062-2</t>
  </si>
  <si>
    <t>WOS:000177708100006</t>
  </si>
  <si>
    <t>Chandía, O; Zanelli, J</t>
  </si>
  <si>
    <t>Reply to Comment on 'Topological invariants, instantons, and the chiral anomaly on spaces with torsion' -: art. no. 048502</t>
  </si>
  <si>
    <t>PHYSICAL REVIEW D</t>
  </si>
  <si>
    <t>We respond to the claim by Kreimer and Mielke to the effect that the Nieh-Yan topological invariant cannot contribute to the chiral anomaly in spaces with torsion.</t>
  </si>
  <si>
    <t>1550-7998</t>
  </si>
  <si>
    <t>1550-2368</t>
  </si>
  <si>
    <t>FEB 15</t>
  </si>
  <si>
    <t>10.1103/PhysRevD.63.048502</t>
  </si>
  <si>
    <t>WOS:000166996900093</t>
  </si>
  <si>
    <t>Navarro, P; Alguacil, FJ</t>
  </si>
  <si>
    <t>Extraction of copper from sulphate solutions by LIX 864 in Escaid 100</t>
  </si>
  <si>
    <t>The extraction-stripping reaction of Cu (II) by LIX 864 in Escaid 100 from aqueous sulphate medium has been investigated. The effects of different variables which should affected extraction-stripping were investigated: kinetics, aqueous pH, strip solution concentration, etc. Numerical treatment of the data suggested the presence of the CuR2 (K-ext= 1.99) species in the organic phase. Equilibrium studies were used to assess the conditions of copper recovery in a continuous counter-current plant using a real leach solution. (C) 1999 Elsevier Science Ltd. All rights reserved.</t>
  </si>
  <si>
    <t>NAVARRO, PERLA/F-1747-2019</t>
  </si>
  <si>
    <t>10.1016/S0892-6875(99)00009-6</t>
  </si>
  <si>
    <t>WOS:000079180700008</t>
  </si>
  <si>
    <t>Blanc, V; Jordana, X; Litvak, S; Araya, A</t>
  </si>
  <si>
    <t>Control of gene expression by base deamination: The case of RNA editing in wheat mitochondria</t>
  </si>
  <si>
    <t>BIOCHIMIE</t>
  </si>
  <si>
    <t>The term 'RNA editing' was used for the first time in 1986 to describe the process of uridylate insertion into trypanosomal mitochondrial transcripts. Since then, the term has been used more generally to describe a large variety of processes involving base insertions, deletions and conversions that generate RNAs with a primary sequence different to those encoded by the gene. RNA editing has been observed in the mitochondrial fraction of trypanosomes, plants and other organisms, in the animal nuclear fraction in the case of the apolipoprotein B and glutamate brain receptors mRNAs as well as in viruses like paramyxovirus, hepatitis delta and probably HN. The role of cytidine and adenine deamination leading to C to U and A to I transitions has became pivotal to explain this process by base conversion. In this review we will focus mainly on the work performed in our group on plant mitochondria and more specifically on the mechanism and the functional significance of RNA editing in wheat organelles. The original contributions of our laboratory in this field are: i) showing that RNA editing is reflected at the protein level; ii) settling three in vitro systems to assay C to U conversion using a wheat mitochondrial lysate as source of enzymes and factors, and unedited mRNA from the same source, as substrate; iii) determination by double labelling of the unedited substrate that RNA editing in wheat mitochondria occurs via a deamination step; and iv) that introducing unedited proteins in the mitochondria of transgenic plants leads to the emergence of cytoplasmic male sterility supporting the idea that the role of this process is to produce functional proteins. Using the antisense approach in transgenic plants we were able to obtain a significant male fertility restoration.</t>
  </si>
  <si>
    <t>0300-9084</t>
  </si>
  <si>
    <t>10.1016/0300-9084(96)84757-2</t>
  </si>
  <si>
    <t>WOS:A1996VQ65100015</t>
  </si>
  <si>
    <t>Vargas-Morales, G; Lauzurique, Y; Huiliñir, C</t>
  </si>
  <si>
    <t>Vargas-Morales, Gustavo; Lauzurique, Yeney; Huilinir, Cesar</t>
  </si>
  <si>
    <t>Inclusion of fly ash effects in ADM1: calibration and validation of a simple function using real wastewater</t>
  </si>
  <si>
    <t>BIODEGRADATION</t>
  </si>
  <si>
    <t>Including a source of trace elements such as fly ash (FA) in the ADM1 has yet to be addressed, including calibration and validation. The present work aimed to propose, calibrate, and validate a simple function for including the FA effect in the ADM1 using real wastewater from the winery industry. The new function and the ADM1 were calibrated with data of daily methane production coming from a biochemical methane potential (BMP) test of winery wastewater without FA and validated for BMPs using five FA concentrations (25, 50, 75, 100, and 150 mg/L). The ADM1 calibration showed that the model fits well with the experimental data, although the parameter values are lower than the range reported in the literature. The calibration of the proposed function fits well with the experimental data under all conditions, including the inhibition and stimulating zones. Lastly, the modified ADM1 could accurately represent the accumulated methane at different FA concentrations, with NRMSE between 0.0635 and 0.1342. Furthermore, the sensitivity analysis shows that the proposed function only requires calibrating one parameter (ki). Thus, the proposed model is robust and valid for all the tested conditions.</t>
  </si>
  <si>
    <t>0923-9820</t>
  </si>
  <si>
    <t>1572-9729</t>
  </si>
  <si>
    <t>10.1007/s10532-025-10134-4</t>
  </si>
  <si>
    <t>WOS:001480766300001</t>
  </si>
  <si>
    <t>Saavedra, E; Terruzzi, P; Palma, JL; Escrig, J</t>
  </si>
  <si>
    <t>Saavedra, Eduardo; Terruzzi, Piero; Palma, Juan Luis; Escrig, Juan</t>
  </si>
  <si>
    <t>Interplay between geometry and spin dynamics in elongated magnetic nanoislands: Elliptical vs stadium-shaped cases</t>
  </si>
  <si>
    <t>Through numerical simulations, we investigate the equilibrium states and dynamic responses of stadium- shaped and elliptical nanodots in the absence of a bias field. Our findings reveal two distinct equilibrium states - single domain and vortex - identified in these nanodots. Notably, the resonant frequencies and the number of peaks in the dynamics response are shown to be influenced by the minimum energy configuration, which is intricately linked to the system's aspect ratio. The insights gained from this exploration contribute to a deeper understanding of the interplay between geometric parameters and dynamic behavior in low- dimensional magnetic nanostructures, offering valuable considerations for the design and optimization of on-chip microwave devices in spintronics and magnonics applications.</t>
  </si>
  <si>
    <t>Saavedra Diaz, Eduardo Andres/0000-0002-2842-2526; Escrig, Juan/0000-0002-3958-8185</t>
  </si>
  <si>
    <t>10.1016/j.jmmm.2025.172939</t>
  </si>
  <si>
    <t>MAR 2025</t>
  </si>
  <si>
    <t>WOS:001449979900001</t>
  </si>
  <si>
    <t>Alfaro, M; Rubio, C; Fuertes, G; Vargas, M; Mejia-Giraldo, A</t>
  </si>
  <si>
    <t>Alfaro, Miguel; Rubio, Carlos; Fuertes, Guillermo; Vargas, Manuel; Mejia-Giraldo, Armando</t>
  </si>
  <si>
    <t>Biomathematical model to analyze the transmission dynamics of Covid-19: Case study, Santiago de Cali, Colombia</t>
  </si>
  <si>
    <t>The Covid-19 pandemic has challenged both the scientific community and government authorities in Colombia. Both sectors are collaborating to understand the transmission and spread of the virus and to establish control strategies. This study proposes a biomathematical model with difference equations to analyze the transmission of Covid-19 in Santiago de Cali from March 2020 to June 2022. The results indicate that most of the inhabitants could be positive at some point, but with containment measures, a manageable number of symptomatic cases could be maintained. In addition, the cumulative fatality curve is fitted to the Gompertz model. The method used for parameter fitting or estimation was Gauss-Newton. This approach provides valuable information for decision making and pandemic management in the city.</t>
  </si>
  <si>
    <t>Fuertes, Guillermo/Q-2341-2016</t>
  </si>
  <si>
    <t>Fuertes, Guillermo/0000-0003-3044-5919</t>
  </si>
  <si>
    <t>DEC 2</t>
  </si>
  <si>
    <t>e0311414</t>
  </si>
  <si>
    <t>10.1371/journal.pone.0311414</t>
  </si>
  <si>
    <t>WOS:001371910800072</t>
  </si>
  <si>
    <t>Morales, J; Espinoza-Pérez, A; Espinoza-Pérez, L; Pino-Cortés, E; Yánez-Sevilla, D; Viñán-Guerrero, P; Molina, L; Burgos, C; Vallejo, F</t>
  </si>
  <si>
    <t>Morales, Jaime; Espinoza-Perez, Andrea; Espinoza-Perez, Lorena; Pino-Cortes, Ernesto; Yanez-Sevilla, Diana; Vinan-Guerrero, Patricia; Molina, Lorena; Burgos, Carlos; Vallejo, Fidel</t>
  </si>
  <si>
    <t>Supply Chain Design for Waste Valorization Through High-Energy-Density Pellet Production in Chile</t>
  </si>
  <si>
    <t>APPLIED SCIENCES-BASEL</t>
  </si>
  <si>
    <t>This study presents the development and application of a mathematical optimization model to improve decision-making in the supply chain for high-energy-density pellet (HEDP) production and commercialization. Focused on the Metropolitan Region of Chile, the research involved a detailed analysis of key supply chain components, including identifying landfills and controlled dumps, waste volume assessments, plant location analysis, technology evaluation, and market potential exploration. The model revealed that the available raw material in the region was sufficient to meet 100% of HEDP demand, with a surplus of 2,161,952 tons remaining after satisfying maximum demand. An optimization analysis of potential plant locations identified Santa Marta as the optimal choice, resulting in annual cost savings of USD 100,000 compared to other sites. This work underscores the role of mathematical optimization in enhancing supply chain efficiency for biomass-based energy products, offering valuable insights for strategic decision-making in similar contexts.</t>
  </si>
  <si>
    <t>Espinoza, Lorena/GVU-7778-2022; Vallejo, Fidel/AAM-6353-2020; Cortés, Ernesto/Z-2777-2019; Espinoza Perez, Andrea Teresa/M-4426-2014</t>
  </si>
  <si>
    <t>Espinoza Perez, Andrea Teresa/0000-0002-6362-9100; Molina, Lorena/0000-0001-9056-8262; Vallejo, Fidel Ernesto/0000-0001-5835-298X; Pino-Cortes, Ernesto/0000-0001-5133-2812; Espinoza Perez, Lorena/0000-0001-6737-8479; Yanez Sevilla, Diana/0000-0003-2840-5731</t>
  </si>
  <si>
    <t>2076-3417</t>
  </si>
  <si>
    <t>10.3390/app142210429</t>
  </si>
  <si>
    <t>WOS:001366967600001</t>
  </si>
  <si>
    <t>Castro, JI; Payan-Valero, A; Valencia-Llano, CH; Zapata, MEV; Hernández, JHM; Zapata, PA; Grande-Tovar, CD</t>
  </si>
  <si>
    <t>Castro, Jorge Ivan; Payan-Valero, Alana; Valencia-Llano, Carlos-Humberto; Zapata, Mayra Eliana Valencia; Hernandez, Jose Herminsul Mina; Zapata, Paula A.; Grande-Tovar, Carlos David</t>
  </si>
  <si>
    <t>Graphene Oxide Nanosheets for Bone Tissue Regeneration</t>
  </si>
  <si>
    <t>Bone tissue engineering is a promising alternative to repair wounds caused by cellular or physical accidents that humans face daily. In this sense, the search for new graphene oxide (GO) nanofillers related to their degree of oxidation is born as an alternative bioactive component in forming new scaffolds. In the present study, three different GOs were synthesized with varying degrees of oxidation and studied chemically and tissue-wise. The oxidation degree was determined through infrared (FTIR), X-ray diffraction (XRD), X-ray photoelectron (XPS), and Raman spectroscopy (RS). The morphology of the samples was analyzed using scanning electron microscopy (SEM). The oxygen content was deeply described using the deconvolution of RS and XPS techniques. The latter represents the oxidation degree for each of the samples and the formation of new bonds promoted by the graphitization of the material. In the RS, two characteristic bands were observed according to the degree of oxidation and the degree of graphitization of the material represented in bands D and G with different relative intensities, suggesting that the samples have different crystallite sizes. This size was described using the Tuinstra-Koenig model, ranging between 18.7 and 25.1 nm. Finally, the bone neoformation observed in the cranial defects of critical size indicates that the F1 and F2 samples, besides being compatible and resorbable, acted as a bridge for bone healing through regeneration. This promoted healing by restoring bone and tissue structure without triggering a strong immune response.</t>
  </si>
  <si>
    <t>Tovar, Carlos/J-9638-2019; Mina Hernandez, Jose Herminsul/HKV-3137-2023; Valencia Llano, Carlos Humberto/KZU-6023-2024</t>
  </si>
  <si>
    <t>Mina Hernandez, Jose Herminsul/0000-0003-3767-4431; Valencia Zapata, Mayra Eliana/0000-0001-9001-2045; castro castro, jorge ivan/0000-0003-1930-6598; Zapata, Paula Andrea/0000-0003-3361-6226; Valencia Llano, Carlos Humberto/0000-0003-4892-9786; Grande Tovar, Carlos David/0000-0002-6243-4571</t>
  </si>
  <si>
    <t>10.3390/molecules29143263</t>
  </si>
  <si>
    <t>WOS:001277742100001</t>
  </si>
  <si>
    <t>Tarrío, JA; Cáceres, C; Vásquez, V; Marten, M; Inzunza, J; Isla, F; Caverlotti, M; Jeldres, G; Urrutia, R; Mardones, C; Fernandes, R</t>
  </si>
  <si>
    <t>Tarrio, Jose Antonio; Caceres, Catalina; Vasquez, Valeria; Marten, Miguel; Inzunza, Jesarella; Isla, Fernando; Caverlotti, Marcelo; Jeldres, Gabriel; Urrutia, Rodrigo; Mardones, Cristian; Fernandes, Rui</t>
  </si>
  <si>
    <t>Geodetic innovation in Chilean mining: The evolution from static to kinematic reference frame in seismic zones</t>
  </si>
  <si>
    <t>JOURNAL OF GEODETIC SCIENCE</t>
  </si>
  <si>
    <t>The use of regional kinematic reference frames (mRFs) in seismic zones is uncommon worldwide. This article proposes a solution implemented for Chilean mining, whose current projects are based on the classic reference frames (PSAD56 and SAD69). The approach is to move from a classic reference frame to an mRF in seismic countries where earthquakes constantly alter the frame. Our research group calculated an mRF (REDGEOMIN) that includes interseismic, coseismic, and postseismic deformation using CORS with open data from 2009 to 2022 and processed with scientific standards global navigation satellite system. REDGEOMIN consists of a deformation model (ADELA) with an interpolation approach through thin plate spline, allowing the greatest deformation to be modelled at campaign points. The relationship between classical and modern systems was explored with conformal transformations and NTv2 grids to include deformations, especially coming from PSAD56 and SAD69. The results demonstrate that REDGEOMIN aligns with the IGb14 reference frame (&lt;1.0 mm), SIRGAS (ENU = 1.0, 1, 0, 2.0 mm), and the Chilean national reference frame SIRGASChile@2021.00 (ENU = 1, 2, 1, 6, 4.3 mm) aligns with millimetric precision. ADELA deformation model accurately models period locations to within 5 mm. Densification of REDGEOMIN@2022.00 at passive points PSAD56/SAD69 shows centimetric precision. PSAD56/SAD69, adjusted in the 1970s, are outdated due to crustal movement and seismic events and have metric errors. Therefore, different types of transformations were evaluated between PSAD56/SAD69 and REDGEOMIN@2022, whose RMS is between 1.57 and 1.69 m, and national grid transformations (NTv2) with an RMS of 0.23 and 0.16 m for PSAD56 and SAD69, respectively. The relationship between the classic systems and REDGEOMIN allows the transformation of the entire Chilean mining cadastre to epoch 2022.00. Starting in 2022.00, REDGEOMIN/ADELA offers millimetre precision, which is crucial in seismic zones. Furthermore, it paves the way to implement an updated national-level mRF in case of seismic events. Currently, Chilean mining laws are rigid, geodesically speaking. Therefore, legal-technical suggestions for implementing REDGEOMIN are also included in this article.</t>
  </si>
  <si>
    <t>Fernandes, Rui/B-6972-2008</t>
  </si>
  <si>
    <t>Marten Allendes, Miguel/0009-0001-1353-8518; Tarrio Mosquera, Jose Antonio/0000-0002-2128-604X</t>
  </si>
  <si>
    <t>2081-9919</t>
  </si>
  <si>
    <t>2081-9943</t>
  </si>
  <si>
    <t>MAY 15</t>
  </si>
  <si>
    <t>10.1515/jogs-2022-0173</t>
  </si>
  <si>
    <t>WOS:001223159200001</t>
  </si>
  <si>
    <t>Ozbugday, FC; Tirgil, A; Dintrans, PV</t>
  </si>
  <si>
    <t>Ozbugday, Fatih Cemil; Tirgil, Abdullah; Villalobos Dintrans, Pablo</t>
  </si>
  <si>
    <t>How Do Attitudes of Adult Children Toward Long-Term Care Change with Education? International Evidence</t>
  </si>
  <si>
    <t>JOURNAL OF AGING &amp; SOCIAL POLICY</t>
  </si>
  <si>
    <t>Global demographic trends indicate that the world population is aging and education acquisition is increasing. For the first time in history, people are expected to spend more years as adults with living parents than as a parent of teenage children, and the average years of schooling have increased dramatically over the past several decades for many countries. Additionally, family-provided care is still the most important form of care to meet care demands worldwide. As strong filial norms could affect older adults' long-term care decision-making, understanding the link between filial obligations and education is critical under these trends. Using individual data from the World Values Survey and an instrumental variables strategy to account for endogeneity, this study finds that adult children with higher education levels have lower filial beliefs. Since population aging is expected to increase the demand for long-term care services, and education can reduce the supply of family-provided long-term care services, countries must start addressing this gap.</t>
  </si>
  <si>
    <t>Dintrans, Pablo/AAM-6248-2020; Tirgil, Abdullah/AAO-4204-2020; Ozbugday, Fatih/J-8269-2019</t>
  </si>
  <si>
    <t>Villalobos Dintrans, Pablo/0000-0002-2236-6447; Tirgil, Abdullah/0000-0002-4491-4459; Ozbugday, Fatih Cemil/0000-0001-5841-4343</t>
  </si>
  <si>
    <t>0895-9420</t>
  </si>
  <si>
    <t>1545-0821</t>
  </si>
  <si>
    <t>2024 MAY 4</t>
  </si>
  <si>
    <t>10.1080/08959420.2024.2348965</t>
  </si>
  <si>
    <t>MAY 2024</t>
  </si>
  <si>
    <t>WOS:001216976300001</t>
  </si>
  <si>
    <t>Zaragoza-García, O; Castro-Alarcón, N; Pérez-Rubio, G; Falfán-Valencia, R; Briceño, O; Navarro-Zarza, JE; Parra-Rojas, I; Tello, M; Guzmán-Guzmán, IP</t>
  </si>
  <si>
    <t>Zaragoza-Garcia, Oscar; Castro-Alarcon, Natividad; Perez-Rubio, Gloria; Falfan-Valencia, Ramces; Briceno, Olivia; Navarro-Zarza, Jose Eduardo; Parra-Rojas, Isela; Tello, Mario; Guzman-Guzman, Iris Paola</t>
  </si>
  <si>
    <t>Serum Levels of IFABP2 and Differences in Lactobacillus and Porphyromonas gingivalis Abundance on Gut Microbiota Are Associated with Poor Therapeutic Response in Rheumatoid Arthritis: A Pilot Study</t>
  </si>
  <si>
    <t>Intestinal dysbiosis is related to the physiopathology and clinical manifestation of rheumatoid arthritis (RA) and the response to pharmacologic treatment. The objectives of this study were (1) to analyze the effect of conventional synthetic disease modifying anti-rheumatic drugs (csDMARDs) on the abundance of gut microbiota's bacteria; (2) to evaluate the relationship between the differences in microbial abundance with the serum levels of intestinal fatty-acid binding protein 2 (IFABP2), cytokines, and the response phenotype to csDMARDs therapy in RA. A cross-sectional study was conducted on 23 women diagnosed with RA. The abundance of bacteria in gut microbiota was determined with qPCR. The ELISA technique determined serum levels of IFABP2, TNF-alpha, IL-10, and IL-17A. We found that the accumulated dose of methotrexate or prednisone is negatively associated with the abundance of Lactobacillus but positively associated with the abundance of Bacteroides fragilis. The Lactobacillus/Porphyromonas gingivalis ratio was associated with the Disease Activity Score-28 for RA with Erythrocyte Sedimentation Rate (DAS28-ESR) (r = 0.778, p = 0.030) and with the levels of IL-17A (r = 0.785, p = 0.027) in the group treated with csDMARD. Moreover, a relation between the serum levels of IFABP2 and TNF-alpha (r = 0.593, p = 0.035) was observed in the group treated with csDMARD. The serum levels of IFABP2 were higher in patients with secondary non-response to csDMARDs therapy. In conclusion, our results suggest that the ratios of gut microbiota's bacteria and intestinal permeability seems to establish the preamble for therapeutic secondary non-response in RA.</t>
  </si>
  <si>
    <t>Tello, Mario/N-4198-2019; Falfan-Valencia, Ramces/M-7331-2018</t>
  </si>
  <si>
    <t>Perez-Rubio, Gloria/0000-0002-6876-1012; Guzman Guzman, Iris Paola/0000-0003-1535-4226; Zaragoza-Garcia, Oscar/0000-0001-9006-2165; Falfan-Valencia, Ramces/0000-0001-6877-8124; Tello, Mario/0000-0003-4573-6460</t>
  </si>
  <si>
    <t>1661-6596</t>
  </si>
  <si>
    <t>10.3390/ijms24031958</t>
  </si>
  <si>
    <t>WOS:000932788500001</t>
  </si>
  <si>
    <t>Burgos-Díaz, C; Opazo-Navarrete, M; Palacios, JL; Verdugo, L; Anguita-Barrales, F; Bustamante, M</t>
  </si>
  <si>
    <t>Burgos-Diaz, Cesar; Opazo-Navarrete, Mauricio; Palacios, Jose Luis; Verdugo, Lidia; Anguita-Barrales, Fresia; Bustamante, Mariela</t>
  </si>
  <si>
    <t>Food-grade bioactive ingredient obtained from the Durvillaea incurvata brown seaweed: Antibacterial activity and antioxidant activity</t>
  </si>
  <si>
    <t>ALGAL RESEARCH-BIOMASS BIOFUELS AND BIOPRODUCTS</t>
  </si>
  <si>
    <t>Natural antioxidants have been extracted and identified from different types of marine seaweeds for developing new food-grade functional ingredients and drugs. In this study, a food-grade bioactive ingredient (FGBI) con-taining functional bioactive carotenoids was obtained from Durvillaea incurvata (D. incurvata) brown edible seaweed, which was subjected to an alternative postharvest drying process (sunlight radiation protection) to preserve the fucoxanthin content. Moreover, FGBI was prepared from the part of the structure of seaweed where the fucoxanthin is mainly concentrated (external structure of the D. incurvata). The nutritional value of D. incurvata was evaluated and the major macronutrients contained in the brown seaweed were the dietary fiber (56.9 g/100 g, dry weight), ash (20.9 g/100 g, dry weight), and protein (8.30 g/100 g, dry weight). In addition, its heavy metal content is in the safe range to be consumed. Regarding the antibacterial activity of the FGBI-extract (dried ethanolic extract from FGBI), the lowest minimum inhibitory concentration (MIC) values were evidenced for Staphylococcus aureus (0.06 mg/mL), Listeria monocytogenes (0.1 mg/mL), and Enterococcus feacalis (0.5 mg/mL). The DPPH radical scavenging activity was dependent on the FGBI-extract concentration and the effective concentration for 50 % scavenging (EC50) was 6.1 mu g/mL. The oxygen radical absorbance capacity (ORAC) for FBGI-extract was 957.7 +/- 78.8 mu mol of Trolox equivalent/g dry sample. Moreover, the FGBI-extract ameliorated the oxidative stress in vivo and extend the lifespan of Caenorhabditis elegans used as a model organism in this study. Consequently, D. incurvata has great potential to be considered a source of nutraceutical compounds.</t>
  </si>
  <si>
    <t>Bustamante, Mariela/S-1126-2019; Burgos-Diaz, Cesar/IWM-4985-2023</t>
  </si>
  <si>
    <t>2211-9264</t>
  </si>
  <si>
    <t>10.1016/j.algal.2022.102880</t>
  </si>
  <si>
    <t>WOS:000933373100006</t>
  </si>
  <si>
    <t>Kanashiro, L; Dammert, L; Hernández, W</t>
  </si>
  <si>
    <t>Rocha, A; Barredo, D; Lopez-Lopez, PC; Puentes-Rivera, I</t>
  </si>
  <si>
    <t>Kanashiro, Lilian; Dammert, Lucia; Hernandez, Wilson</t>
  </si>
  <si>
    <t>Media, Fear of Crime, and Authority: Focus Groups in Lima (Peru)</t>
  </si>
  <si>
    <t>COMMUNICATION AND SMART TECHNOLOGIES (ICOMTA 2021)</t>
  </si>
  <si>
    <t>Smart Innovation Systems and Technologies</t>
  </si>
  <si>
    <t>International Conference on Communication and Applied Technologies (ICOMTA)</t>
  </si>
  <si>
    <t>SEP 01-03, 2019</t>
  </si>
  <si>
    <t>Bogota, COLOMBIA</t>
  </si>
  <si>
    <t>Lima's news agenda focuses on the media's exposure and coverage of crime. This paper aims to analyze the relationship between news consumption, fear of crime, and trust in authority. To this end, twelve focus group discussions were conducted with residents of Lima. The findings revealed significant vicarious fear: respondents admitted to feeling greater fear for their children and other relatives as they remembered recent news reports. Additionally, the focus groups related news consumption to a paucity of trust in authority and evidenced a subjective consonance with their environment.</t>
  </si>
  <si>
    <t>Dammert, Lucia/U-2327-2019; Kanashiro, Lilian/IQU-0257-2023</t>
  </si>
  <si>
    <t>2190-3018</t>
  </si>
  <si>
    <t>2190-3026</t>
  </si>
  <si>
    <t>978-981-16-5792-4; 978-981-16-5791-7</t>
  </si>
  <si>
    <t>10.1007/978-981-16-5792-4_35</t>
  </si>
  <si>
    <t>WOS:000867637000035</t>
  </si>
  <si>
    <t>Diaz, FR; Pardo, MA; Gacitua, MA; Del Valle, MA</t>
  </si>
  <si>
    <t>Diaz, F. R.; Pardo, M. A.; Gacitua, M. A.; Del Valle, M. A.</t>
  </si>
  <si>
    <t>ELECTRODE MODIFIED WITH A POLYMER OF ANILINE AND 3-HEXYLTHIOPHENE TO BE ASSAYED IN THE SELECTIVE DETERMINATION OF NITRATE</t>
  </si>
  <si>
    <t>In this work, platinum electrodes are modified with poly[4-(3-hexyl-2-thiophene)-aniline], PTANIr2, and characterized by cyclic voltammetry. In the presence of nitrate in the electrolytic medium, an oxidation signal at 0.6 V vs. SCE is recorded, so the response of this modified electrode, Pt vertical bar PTANIr2, is evaluated to determine its relationship with the concentration of the anion. Thus, it is verified that the best response is achieved by chrono-amperometry, obtaining a directly proportional relationship between the charge and the concentration, in an interval between 5 and 100 mg L(-1)of the anion, with r(2) = 0.996. Furthermore, it is found that the response of Pt vertical bar PTANIr2 is quite selective for nitrate, since there is no response for anions such as HPO4-, PO42-, ClO4- ; F-, Cl-, Br-, I- and NO2-, thereby contributing significantly to solving the main problem of devices of this type proposed so far. Finally, the surfaces were characterized by atomic force microscopy, showing a strong anionpolymer layer interaction. 'Thus, this material can be proposed to be tested as a columbimetric nitrate sensor, highlighting the possibility of varying the area of the electrode and/or the thickness of the deposited polymeric layer and with it, the sensitivity of the device.</t>
  </si>
  <si>
    <t>Gacitua, Manuel/R-8868-2019</t>
  </si>
  <si>
    <t>Gacitua, Manuel/0000-0003-0807-2677</t>
  </si>
  <si>
    <t>WOS:000596297000016</t>
  </si>
  <si>
    <t>McSherry, JP</t>
  </si>
  <si>
    <t>Patrice McSherry, J.</t>
  </si>
  <si>
    <t>The Dictatorship and Popular Music in Chile: The first years of lead</t>
  </si>
  <si>
    <t>RESONANCIAS</t>
  </si>
  <si>
    <t>This study examines the impact of the repressive regime of Augusto Pinochet (1973-1990) upon the artists and the cultural life of Chile, particularly the musicians who were part of the Chilean New Song movement, in the first years of the dictatorship (1973-1977), using the analytical tool of the microhistory. It considers, as well, in a comparative manner, the cultural expression known as Canto Nuevo, which emerged after the coup. This work considers daily life as expressed in the microhistory to be a reflection of the ideological and structural changes made by the dictatorship in an effort to erase the recent history of the Popular Unity (UP) and the dreams of the popular classes of Chile.</t>
  </si>
  <si>
    <t>0717-3474</t>
  </si>
  <si>
    <t>0719-5702</t>
  </si>
  <si>
    <t>JUL-NOV</t>
  </si>
  <si>
    <t>WOS:000504836900006</t>
  </si>
  <si>
    <t>Muñoz, IL; Wacyk, J; Perez, C; Carrasco, J; Cortez-San Martin, M</t>
  </si>
  <si>
    <t>Lozano Munoz, Ivonne; Wacyk, Jurij; Perez, Claudio; Carrasco, Jaime; Cortez-San Martin, Marcelo</t>
  </si>
  <si>
    <t>Diets enriched in red seaweed (Pyropia columbina and Gracilaria chilensis) cryo concentrates modulate the immune-relevant gene encoding the Mx antiviral protein in salmon (Salmo salar) white blood cells</t>
  </si>
  <si>
    <t>JOURNAL OF APPLIED PHYCOLOGY</t>
  </si>
  <si>
    <t>Pharmacotherapy has long been used to control viral diseases. However, its success is questionable because its use can negatively impact environmental and human health. An alternative solution is the use of functional foods and diets containing natural products, which tend to be more biodegradable than synthetic molecules and are less likely to generate resistance. Seaweed contains biologically active macronutrients and minerals that offer a natural alternative to synthetic molecules. Red seaweeds, in particular, are a rich source of anti-viral compounds. This study aimed to evaluate the effect of two edible red seaweeds, Pyropia columbina and Gracilaria chilensis cryo concentrates (RSCC), on the gene transcription levels in leukocyte proteins involved in antiviral response (INF gamma, Mx, interleukin-6, cathelicidin, and lysozyme). The RSCCs were fed to fish (Salmo salar L.) at concentrations of 0.1, 1, or 10 g kg(-1) for 56days, and blood samples were collected at 8weeks. The transcription levels of key genes associated with the antiviral response were analyzed by qRT-PCR using leukocyte mRNA as template. The Mx transcript level was significantly decreased (p&lt;0.05) with the RSCC diets, and lysozyme transcript levels were significantly increased (1 g kg(-1)P. columbina cryo concentrate). Cathelicidin, interleukin-6, and INF gamma had stable transcription levels. Importantly, RSCC modulated the immune-relevant gene that encodes the Mx antiviral protein in white blood cells.</t>
  </si>
  <si>
    <t>Muñoz, Ivonne/H-4724-2019; Wacyk, Jurij/AAG-4868-2021</t>
  </si>
  <si>
    <t>Lozano-Munoz, Ivonne/0000-0002-1609-0317</t>
  </si>
  <si>
    <t>0921-8971</t>
  </si>
  <si>
    <t>1573-5176</t>
  </si>
  <si>
    <t>10.1007/s10811-018-1595-y</t>
  </si>
  <si>
    <t>WOS:000463988500056</t>
  </si>
  <si>
    <t>Patrice Mcsherry, J.</t>
  </si>
  <si>
    <t>Memory, Truth, and Justice in Contemporary Latin America</t>
  </si>
  <si>
    <t>10.1017/tam.2019.24</t>
  </si>
  <si>
    <t>WOS:000462769300025</t>
  </si>
  <si>
    <t>Barriga, L; Villalta, M</t>
  </si>
  <si>
    <t>Barriga, Lautaro; Villalta, Marco</t>
  </si>
  <si>
    <t>Analysis of the Conversation: Psychotherapy of depressed adolescents with attempted suicide in a hospital context</t>
  </si>
  <si>
    <t>TERAPIA PSICOLOGICA</t>
  </si>
  <si>
    <t>Recent research in psychotherapy shows that the study of psychotherapeutic interaction by focusing attention on the conversation of interlocutors, provides signals to analyze the therapeutic change. The purpose of the present case study is to understand the movement of a Therapeutic Exchange Structure in the conversation of complete psychotherapeutic processes of depressed adolescents with attempted suicide in a hospital context, analyzing the use of the time of the exchanges in the sessions, which were segmented in start, development and closure. The results show that the exchanges are managed according to their usefulness in psychotherapy that their occupation is sensitive and adjusted to the work and therapeutic objectives that arise in the interaction. In addition, there would be exchanges that are functional at the beginning, development and closure of each session, and others that should be used with caution. The psychotherapist must know what, when and how to use the Structure of Therapeutic Exchanges.</t>
  </si>
  <si>
    <t>Villalta Paucar, Marco Antonio/B-9555-2012</t>
  </si>
  <si>
    <t>Villalta Paucar, Marco Antonio/0000-0002-7553-925X; Barriga Carvajal, Lautaro Bernardo/0000-0002-0128-7133</t>
  </si>
  <si>
    <t>0718-4808</t>
  </si>
  <si>
    <t>10.4067/S0718-48082019000100039</t>
  </si>
  <si>
    <t>WOS:000465387200004</t>
  </si>
  <si>
    <t>Gruda, D; McCleskey, J; Berrios, R</t>
  </si>
  <si>
    <t>Gruda, Dritjon; McCleskey, Jim; Berrios, Raul</t>
  </si>
  <si>
    <t>Seems Fair to Me: Dyadic Leader Consensus Mediates Fairness and Group Performance</t>
  </si>
  <si>
    <t>SMALL GROUP RESEARCH</t>
  </si>
  <si>
    <t>Drawing on both relational and shared leadership theory and utilizing social consensus, we examine the relationship between percieved leader fairness, leader consensus (LC), and group performance. We do so by conceptualizing LC as a new way of hypothesizing and examining shared leadership. LC derives from mutual dyadic perceptions of all members in a team. First, we examine perceptions of leader fairness as a possible antecedent of LC. Second, we investigate the mediational effect of dyadic perceptions of leadership (i.e., LC predicts group performance). In two multisource studies using a round-robin design, we demonstrate that when team members reach a clear consensus about their team leader, perceived leader fairness was positively associated with LC. Furthermore, teams who perceived their leaders as fair exhibited higher group performance.</t>
  </si>
  <si>
    <t>Gruda, Dritjon/AAV-5887-2021; Berrios, Raul/G-5167-2019; McCleskey, Jim/MEO-3376-2025</t>
  </si>
  <si>
    <t>Berrios, Raul/0000-0003-1826-7822; McCleskey, Jim/0000-0002-7354-1823; Gruda, Dritjon/0000-0002-8315-0826</t>
  </si>
  <si>
    <t>1046-4964</t>
  </si>
  <si>
    <t>1552-8278</t>
  </si>
  <si>
    <t>10.1177/1046496417740636</t>
  </si>
  <si>
    <t>WOS:000429946000003</t>
  </si>
  <si>
    <t>Elías, RG; Vidal-Silva, N; Manchon, A</t>
  </si>
  <si>
    <t>Elias, Ricardo Gabriel; Vidal-Silva, Nicolas; Manchon, Aurelien</t>
  </si>
  <si>
    <t>Steady motion of skyrmions and domains walls under diffusive spin torques</t>
  </si>
  <si>
    <t>PHYSICAL REVIEW B</t>
  </si>
  <si>
    <t>We explore the role of the spin diffusion of conducting electrons in two-dimensionalmagnetic textures (domain walls and skyrmions) with spatial variation of the order of the spin precession length lambda(ex). The effect of diffusion reflects in four additional torques that are third order in spatial derivatives of magnetization and bilinear in lambda(ex) and in the nonadiabatic parameter ss . In order to study the dynamics of the solitons when these diffusive torques are present, we derive the Thiele equation in the limit of steady motion and we compare the results with the nondiffusive limit. When considering a homogenous current these torques increase the longitudinal velocity of transverse domain walls of width Delta by a factor (lambda(ex)/Delta )(2)(alpha/ 3), alpha being the magnetic damping constant. In the case of single skyrmions with core radius r(0) these new contributions tend to increase the Magnus effect in an amount proportional to (lambda(ex)/ r(0)) 2(1 + 2 alpha ss).</t>
  </si>
  <si>
    <t>Elias, Ricardo/F-2608-2012; Manchon, Aurelien/A-9355-2010; Vidal Silva, Nicolas/IAN-0226-2023</t>
  </si>
  <si>
    <t>Manchon, Aurelien/0000-0002-4768-293X; Vidal Silva, Nicolas/0000-0002-3717-3816</t>
  </si>
  <si>
    <t>2469-9950</t>
  </si>
  <si>
    <t>2469-9969</t>
  </si>
  <si>
    <t>MAR 8</t>
  </si>
  <si>
    <t>10.1103/PhysRevB.95.104406</t>
  </si>
  <si>
    <t>WOS:000396001800005</t>
  </si>
  <si>
    <t>Casassa, LP; Knop, F; Carrasco, J; Casassa, G</t>
  </si>
  <si>
    <t>Casassa, Linus P.; Knop, Frederik; Carrasco, Jorge; Casassa, Gino</t>
  </si>
  <si>
    <t>A low-cost UAS for monitoring vertical wind distribution</t>
  </si>
  <si>
    <t>2017 FIRST IEEE INTERNATIONAL SYMPOSIUM OF GEOSCIENCE AND REMOTE SENSING (GRSS-CHILE)</t>
  </si>
  <si>
    <t>1st IEEE International Symposium on Geoscience and Remote Sensing (GRSS-CHILE)</t>
  </si>
  <si>
    <t>JUN 15-16, 2017</t>
  </si>
  <si>
    <t>Univ Austral, Valdivia, CHILE</t>
  </si>
  <si>
    <t>IEEE,IEEE Geoscience &amp; Remote Sensing Soc,Univ Mangallanes,Isprs,Dresden Inst Photogrammetry &amp; Remote Sensing,Ciren,Cresis,Selper Chile,DCGG UDEC,WWF,Microgeo</t>
  </si>
  <si>
    <t>Univ Austral</t>
  </si>
  <si>
    <t>A low-cost Unmanned Aircraft System (UAS) has been developed based on commercial off-the-shelf components. The UAS includes a foam flying wing of expanded polypropylene with a 1.8 m wing-span and a total mass of 4 kg. It includes lithium polymer batteries which power a single propeller, resulting in a minimum airborne autonomy of 1 h. Experiments have been performed with a pitot tube to measure wind speed and wind direction on a vertical profile from 100 m a.s.l. to 3500 m a.s.l. A spiral pattern with a 100 m radius was followed on the ascent and descent. Results have been compared with radiosonde data obtained at Santo Domingo station located 80 km to the south. Wind data show a precision better than 1 m/s during the slower ascent stage and results are consistent with radiosonde data obtained 3 hours later at Santo Domingo station.</t>
  </si>
  <si>
    <t>Casassa, Gino/AAX-6142-2020; Carrasco, Jorge/K-2949-2014</t>
  </si>
  <si>
    <t>Carrasco, Jorge/0000-0003-2154-5483</t>
  </si>
  <si>
    <t>978-1-5386-0740-4</t>
  </si>
  <si>
    <t>WOS:000425214700022</t>
  </si>
  <si>
    <t>Castro, A; Quiroz, D; Sánchez, E; Miccono, MD; Aguirre, C; Ramírez, A; Montes, C; Prieto, H</t>
  </si>
  <si>
    <t>Castro, Alvaro; Quiroz, Daniela; Sanchez, Evelyn; de los Angeles Miccono, Maria; Aguirre, Carlos; Ramirez, Alejandra; Montes, Christian; Prieto, Humberto</t>
  </si>
  <si>
    <t>Synthesis of an artificial Vitis vinifera miRNA 319e using overlapping long primers and its application for gene silencing</t>
  </si>
  <si>
    <t>JOURNAL OF BIOTECHNOLOGY</t>
  </si>
  <si>
    <t>The conserved mechanism of action of micro-RNAs (miRNAs) as regulators of gene expression has allowed the use of artificial miRNAs (amiRNAs) as a powerful tool for candidate gene evaluation in plants. Based on the use of a Vitis vinifera miRNA molecule (i.e., vvi-miR319e), the present work presents a new methodology for designing artificial miR319e precursors (pre-amiR319e). As a proof of concept, we silenced the green fluorescent protein (GFP) gene in transgenic Nicotiana benthamiana plants. This methodology includes a two-step PCR reaction in which overlapping long primers allow for the complete generation of pre-amiR319e-GFP molecules that are adequate for recombination into Gateway vectors with no further requirements. The seed region in amiRNA was directed against the 3'-end portion of the GFP gene. Three groups of transformed N. benthamiana plants were generated: GFP-, amiR319e-GFP-, and GFP plus miR319e-GFP-expressing vectors. A similar group of wild-type plants was included. Confocal microscopy evaluation of these groups revealed strong silencing of the GFP phenotype in the double GFP plus amiR319e-GFP group. The molecular characterization of silenced plants was achieved via modified 5'RACE of the GFP mRNA and revealed the occurrence of a partial, 3'-end GFP mRNA molecule that was generated in planta. In addition, large-scale small RNA sequencing confirmed the occurrence of the expected 21-nt miR319e-GFP species and other 22- and 24-nt species that exhibited sequence relationships with the expected amiRNA. These results highlight the possibility of using vvi-MIR319 as a template for the generation of single amiRNAs as a tool for gene silencing in plants. (C) 2016 Elsevier B.V. All rights reserved.</t>
  </si>
  <si>
    <t>Aguirre, Carlos/H-9886-2013; Prieto, H./B-4400-2008; SANCHEZ, EVELYN/MEO-5601-2025; Montes, Christian/M-2398-2014</t>
  </si>
  <si>
    <t>Prieto, Humberto/0000-0002-9013-1906; Montes, Christian/0000-0003-1249-2308</t>
  </si>
  <si>
    <t>0168-1656</t>
  </si>
  <si>
    <t>1873-4863</t>
  </si>
  <si>
    <t>10.1016/j.jbiotec.2016.06.028</t>
  </si>
  <si>
    <t>WOS:000380819300022</t>
  </si>
  <si>
    <t>Calderón, JF; Nussbaum, M; Carmach, I; Díaz, JJ; Villalta, M</t>
  </si>
  <si>
    <t>Felipe Calderon, Juan; Nussbaum, Miguel; Carmach, Ignacio; Jaime Diaz, Juan; Villalta, Marco</t>
  </si>
  <si>
    <t>A single-display groupware collaborative language laboratory</t>
  </si>
  <si>
    <t>INTERACTIVE LEARNING ENVIRONMENTS</t>
  </si>
  <si>
    <t>Language learning tools have evolved to take into consideration new teaching models of collaboration and communication. While second language acquisition tasks have been taken online, the traditional language laboratory has remained unchanged. By continuing to follow its original configuration based on individual work, the language laboratory fails to take advantage of the potential provided by collaborative learning. We propose the use of a language laboratory based on single-display groupware (SDG) for learning vocabulary, grammar, pronunciation, and listening comprehension. By adopting SDG, the language laboratory benefits from the advantages of small group collaborative learning. In this paper, we first describe the design and pedagogical merit of the SDG collaborative language laboratory. We then share the results of a quasi-experimental pre-post comparison study, and use an observation guideline to analyze whether the conditions for collaborative learning have been fulfilled. Based on the results of this study, we conclude that developing pronunciation skills can be more effective when using a collaborative language laboratory versus an individual language laboratory. In addition to this, it can also be concluded that collaborative learning is most effective when accompanied by adequate instructional design.</t>
  </si>
  <si>
    <t>Calderon, Juan/Q-3256-2019; Nussbaum, Miguel/D-1341-2013; Villalta Paucar, Marco Antonio/B-9555-2012</t>
  </si>
  <si>
    <t>Nussbaum, Miguel/0000-0001-5617-5983; Calderon, Juan Felipe/0000-0002-7248-4492; Villalta Paucar, Marco Antonio/0000-0002-7553-925X</t>
  </si>
  <si>
    <t>1049-4820</t>
  </si>
  <si>
    <t>1744-5191</t>
  </si>
  <si>
    <t>10.1080/10494820.2014.917111</t>
  </si>
  <si>
    <t>WOS:000381425600007</t>
  </si>
  <si>
    <t>Guzmán, D; Isaacs, M; Osorio-Román, I; García, M; Astudino, J; Ohlbaum, M</t>
  </si>
  <si>
    <t>Guzman, Diego; Isaacs, Mauricio; Osorio-Roman, Igor; Garcia, Macarena; Astudino, Jason; Ohlbaum, Macarena</t>
  </si>
  <si>
    <t>Photoelectrochemical Reduction of Carbon Dioxide on Quantum-Dot-Modified Electrodes by Electric Field Directed Layer-by-Layer Assembly Methodology</t>
  </si>
  <si>
    <t>ACS APPLIED MATERIALS &amp; INTERFACES</t>
  </si>
  <si>
    <t>The photoelectrocatalytic reduction of CO2 on ITO-modified electrodes, with electrostatic assemblies (polycations/quantum dots) (polycations = poly diallyldimethylammonium, PDDA, and poly(2-trimethylammonium)ethyl methacrylate, PMAEMA)), is described in the present work. Nanoparticles of CdTe (5.6 nm) were incorporated through an electric field directed layer-by-layer assembly method on ITO electrodes. Modified surfaces were active toward the reduction of CO2 at -400 mV vs Ag/AgCl; the activity of ITO(PMAEMA/QDs)(6) electrodes was enhanced by 300 mV under irradiation conditions. The photoelectrocatalytic effect was associated with the structure of the polycation and its influence in the assembly. Reaction products at -450 mV were H-2, CO, CH3OH, and HCOH.</t>
  </si>
  <si>
    <t>Isaacs, Mauricio/N-3027-2013; García, Macarena/GXG-8380-2022; Osorio, Igor/AEX-9230-2022; Guzman de la Cerda, Diego/L-1559-2016</t>
  </si>
  <si>
    <t>Osorio-Roman, Igor/0000-0001-7502-8698; Isaacs Casanova, Mauricio/0000-0003-0503-0949; Guzman de la Cerda, Diego/0000-0002-9435-2511</t>
  </si>
  <si>
    <t>1944-8244</t>
  </si>
  <si>
    <t>1944-8252</t>
  </si>
  <si>
    <t>SEP 16</t>
  </si>
  <si>
    <t>10.1021/acsami.5b05722</t>
  </si>
  <si>
    <t>WOS:000361501700001</t>
  </si>
  <si>
    <t>Ganga, MA; Salinas, F; Ravanal, C; García, V; Carrasco, C; Martínez, C; Saavedra, J</t>
  </si>
  <si>
    <t>Angelica Ganga, Maria; Salinas, Francisco; Ravanal, Cristina; Garcia, Veronica; Carrasco, Carolina; Martinez, Claudio; Saavedra, Jorge</t>
  </si>
  <si>
    <t>Cinnamic acid, ethanol and temperature interaction on coumarate decarboxylase activity and the relative expression of the putative cd gene in D. bruxellensis</t>
  </si>
  <si>
    <t>ELECTRONIC JOURNAL OF BIOTECHNOLOGY</t>
  </si>
  <si>
    <t>Dekkera bruxellensis is one of the main contaminating yeasts in wine due to its ability to metabolize cinnamic acids into volatile phenols. This yeast metabolizes p-coumaric acid into 4-vinylphenol through a coumarate decarboxylase (CD) and then transforms it into to 4-ethylphenol (EF) through a vinylphenol reductase. In this work we investigated the influence of the interaction between the concentration of p-coumaric acid, ferulic acid and ethanol as well as growth temperature on the production of CD activity and the expression of a putative gene that codes for this enzymatic activity. For this, a Box Behnken experimental design was used. The concentration of p-coumaric acid (5-26 ppm) and ferulic acid (3-9 ppm) alone did not show any significant effect on any of the studied response variables. However, the interaction between (ethanol concentration * cinnamic acid concentration) and (ethanol concentration * temperature) had a significant statistical effect on the production of CD activity. Additionally, a higher growth temperature negatively affected the expression of the putative cd gene and the production of CD activity. This is the first work that studies the effect of cinnamic acids on the production of CD activity and the relative expression of its putative gene, using natural concentrations of cinnamic acid found in wine.</t>
  </si>
  <si>
    <t>García, Verónica/AAM-1175-2021; Salinas, Francisco/W-3269-2017; Ganga, Maria/S-8176-2019; Martinez, Claudio/MGS-9961-2025</t>
  </si>
  <si>
    <t>Martinez, Claudio/0000-0001-8564-9287</t>
  </si>
  <si>
    <t>0717-3458</t>
  </si>
  <si>
    <t>10.2225/vol14-issue5-fulltext-2</t>
  </si>
  <si>
    <t>WOS:000300562500002</t>
  </si>
  <si>
    <t>Rubio, MA; Vilches, V; Lissi, E; Villena, G; Elshorbany, YF; Kleffmann, J; Kurtenbach, R; Wiesen, P</t>
  </si>
  <si>
    <t>Rubio, Maria A.; Vilches, Valeria; Lissi, Eduardo; Villena, Guillermo; Elshorbany, Yasin F.; Kleffmann, Joerg; Kurtenbach, Ralf; Wiesen, Peter</t>
  </si>
  <si>
    <t>RATE OF NOCTURNAL OZONE DEPLETION IN DOWNTOWN SANTIAGO, CHILE</t>
  </si>
  <si>
    <t>FRESENIUS ENVIRONMENTAL BULLETIN</t>
  </si>
  <si>
    <t>The chemical nocturnal rate of ozone removal in a downtown location in the city of Santiago de Chile was evaluated during March (end of summer), and May and June (autumn) of 2005. In all the measured days, ground level ozone concentrations drop below 1 ppb during night-time. The simultaneous measurements of NO and VOCs concentrations allows an estimation of the chemical rates of ozone removal by these pollutants. Calculated chemical removal rates are considerably larger than those experimentally determined. The main chemical ozone removal process is its reaction with NO. This process is partially compensated by ozone transport, most probably from the residual layer and / or advection of ozone enriched air masses.</t>
  </si>
  <si>
    <t>Bajo, Maria/ABF-6991-2020; Elshorbany, Yasin/N-1050-2019; Elshorbany, Yasin/B-3661-2008</t>
  </si>
  <si>
    <t>Elshorbany, Yasin/0000-0001-8883-3522; Villena, Guillermo/0000-0002-1867-1879</t>
  </si>
  <si>
    <t>1018-4619</t>
  </si>
  <si>
    <t>1610-2304</t>
  </si>
  <si>
    <t>5A</t>
  </si>
  <si>
    <t>WOS:000291083400007</t>
  </si>
  <si>
    <t>Sepulveda, W; Wong, AE; Fauchon, DE</t>
  </si>
  <si>
    <t>Sepulveda, Waldo; Wong, Amy E.; Fauchon, David E.</t>
  </si>
  <si>
    <t>Fetal spinal anomalies in a first-trimester sonographic screening program for aneuploidy</t>
  </si>
  <si>
    <t>PRENATAL DIAGNOSIS</t>
  </si>
  <si>
    <t>Objectives To review the sonographic features of spinal anomalies in first-trimester fetuses presenting for screening for chromosomal abnormalities. Methods Fetuses with a spinal abnormality diagnosed prenatally or postnatally that underwent first-trimester sonographic evaluation at our institution had their clinical information retrieved and their sonograms reviewed. Results A total of 21 fetuses complied with the entry criteria including eight with body stalk anomaly, seven with spina bifida, two with Vertebral, Anal, Cardiac, Tracheal, Esophageal, Renal, and Limb (VACTERL) association, and one case each of isolated kyphoscoliosis, tethered cord, iniencephaly, and sacrococcygeal teratoma. One fetus with body stalk anomaly and another with VACTERL association also had a myelomeningocele, making a total of nine cases of spina bifida in our series. Five of the nine (56%) cases with spina bifida, one of the two cases with VACTERL association, and the cases with tethered cord and sacrococcygeal teratoma were undiagnosed in the first trimester. Although increased nuchal translucency was found in seven (33%) cases, chromosomal analysis revealed only one case of aneuploidy in this series. Conclusions Fetal spinal abnormalities diagnosed in the first trimester are usually severe and frequently associated with other major defects. The diagnosis of small defects is difficult and a second-trimester scan is still necessary to detect most cases of spina bifida. Copyright (C) 2010 John Wiley &amp; Sons, Ltd.</t>
  </si>
  <si>
    <t>0197-3851</t>
  </si>
  <si>
    <t>10.1002/pd.2608</t>
  </si>
  <si>
    <t>WOS:000286074900017</t>
  </si>
  <si>
    <t>Alarcón, E; Campos, AM; Edwards, AM; Lissi, E; López-Alarcón, C</t>
  </si>
  <si>
    <t>Alarcon, E.; Campos, A. M.; Edwards, A. M.; Lissi, E.; Lopez-Alarcon, C.</t>
  </si>
  <si>
    <t>Antioxidant capacity of herbal infusions and tea extracts:: A comparison of ORAC-fluorescein and ORAC-pyrogallol red methodologies</t>
  </si>
  <si>
    <t>FOOD CHEMISTRY</t>
  </si>
  <si>
    <t>Oxygen radical absorbance capacity (ORAC) values have been obtained for a series of teas and herbal infusions employing 2,2'-azobis(2-amidinopropane) as free radical source, and fluorescein and pyrogallol red as target molecules. The amounts of phenols in the extracts were evaluated by Folin's methodology. ORAC values are extremely dependent upon the employed target molecule. Even more, relative ORAC values measured for different infusions depend upon the employed methodology. For example, ORAC-fluoreseein value of Aloysia citriodora is larger than that of green tea, while if pyrogallol red is employed as target molecule green tea appears as nearly nine times more efficient. Similarly, for extracts with comparable amounts of phenols, herbal infusions are more efficient than teas by ORAC-fluorescein, while opposite conclusions are obtained if ORAC-pyrogallol red values are considered. Extreme care must then be taken for conclusions obtained from ORAC values estimated by employing a single target molecule. (c) 2007 Elsevier Ltd. All rights reserved.</t>
  </si>
  <si>
    <t>Lopez, Camilo/J-5770-2013; Alarcon, Emilio/A-7285-2011</t>
  </si>
  <si>
    <t>Edwards-Mujica, Ana M./0000-0002-4637-1013; Lopez, Camilo/0000-0002-0174-8972</t>
  </si>
  <si>
    <t>0308-8146</t>
  </si>
  <si>
    <t>1873-7072</t>
  </si>
  <si>
    <t>APR 1</t>
  </si>
  <si>
    <t>10.1016/j.foodchem.2007.09.035</t>
  </si>
  <si>
    <t>WOS:000252004100019</t>
  </si>
  <si>
    <t>Lopez-Alarcon, C.; Aspee, A.; Lissi, E.</t>
  </si>
  <si>
    <t>Antioxidant reactivity evaluated by competitive kinetics:: Influence of the target molecule concentration</t>
  </si>
  <si>
    <t>In the present work, a competitive kinetic method using c-phycocyanin (from Arthospira maxima species) as target molecule was employed to estimate the reactivity of several phenols and flavonoids present in the human diet towards peroxyl radicals. The results obtained indicate that the protection afforded by a given compound strongly depends upon the experimental conditions employed and, in particular, on the concentration of the target molecule. This dependence is related to increased role of secondary reactions of the phenol-derived radicals initially formed. Secondary reactions can explain the strong downward curvature observed in R-0/R (where R-0 is the rate of the process in the absence of additive, and R is the rate of the process in the presence of additive) vs. additive concentration plots, for compounds such as kaempferol and protocatechuic acid, particularly at high c-phycocyanin concentration. Also, it can explain the prooxidant role played by phenolic compounds of low reactivity, such as 3-hydroxyflavone at low c-phycocyanin concentrations. (c) 2007 Elsevier Ltd. All rights reserved.</t>
  </si>
  <si>
    <t>10.1016/j.foodchem.2007.02.006</t>
  </si>
  <si>
    <t>WOS:000247631900017</t>
  </si>
  <si>
    <t>Klishevich, SM; Plyushchay, MS</t>
  </si>
  <si>
    <t>Dolan-Grady relations and noncommutative quasi-exactly solvable systems</t>
  </si>
  <si>
    <t>JOURNAL OF PHYSICS A-MATHEMATICAL AND GENERAL</t>
  </si>
  <si>
    <t>We investigate a U(l) gauge invariant quantum mechanical system on a 2D noncommutative space with coordinates generating a generalized deformed oscillator algebra. The Hamiltonian is taken as a quadratic form in gauge covariant derivatives obeying the nonlinear Dolan-Grady relations. This restricts the structure function of the deformed oscillator algebra to a quadratic polynomial. The cases when the coordinates form the su(2) and sl(2, R) algebras are investigated in detail. Reducing the Hamiltonian to ID finite-difference quasi-exactly solvable operators, we demonstrate partial algebraization of the spectrum of the corresponding systems on the fuzzy sphere and noncommutative hyperbolic plane. A completely covariant method based on the notion of intrinsic algebra is proposed to deal with the spectral problem of such systems.</t>
  </si>
  <si>
    <t>0305-4470</t>
  </si>
  <si>
    <t>NOV 7</t>
  </si>
  <si>
    <t>PII S0305-4470(03)65467-3</t>
  </si>
  <si>
    <t>10.1088/0305-4470/36/44/009</t>
  </si>
  <si>
    <t>WOS:000186916000010</t>
  </si>
  <si>
    <t>Nonlinear supersymmetry on the plane in magnetic field and quasi-exactly solvable systems</t>
  </si>
  <si>
    <t>The nonlinear n-supersymmetry with holomorphic supercharges is investigated for the 2D system describing the motion of a charged spin-1/2 particle in an external magnetic field. The universal algebraic structure underlying the holomorphic n-supersymmetry is found. It is shown that the essential difference of the 2D realization of the holomorphic n-supersymmetry from the 1D case recently analysed by us consists in appearance of the central charge entering non-trivially into the superalgebra. The relation of the 2D holomorphic n-supersymmetry to the 1D quasi-exactly solvable (QES) problems is demonstrated by means of the reduction of the systems with hyperbolic or trigonometric form of the magnetic field. The reduction of the n-supersymmetric system with the polynomial magnetic field results in the family of the one-dimensional QES systems with the sextic potential. Unlike the original 2D holomorphic supersymmetry, the reduced 1D supersymmetry associated with x(6) + ... family is characterized by the non-holomorphic supercharges of the special form found by Aoyama et al. (C) 2001 Elsevier Science B.V. All rights reserved.</t>
  </si>
  <si>
    <t>NOV 26</t>
  </si>
  <si>
    <t>10.1016/S0550-3213(01)00389-3</t>
  </si>
  <si>
    <t>WOS:000172179800001</t>
  </si>
  <si>
    <t>Llesuy, S; Evelson, P; Lissi, E</t>
  </si>
  <si>
    <t>Kinetic analysis and double quenching experiments as tools to elucidate the action mechanism of antioxidants</t>
  </si>
  <si>
    <t>The dependence of the oxidation rate with the concentration of an additive that reduces the rate of the process can be employed to determine if its effect is due to trapping of active radicals (chain-breaking antioxidant) or to its ability to chelate active metals (metal-chelating antioxidant). Kinetic expressions are deduced for metal-chelating antioxidants of high or low efficiency and for chain-breaking antioxidants. In particular, it is proposed that chain-breaking antioxidants must provide lineal SternVolmer's like relationships, while efficient primary antioxidants will give plots with a strong upward curvature. A second procedure is proposed that could allow a determination of the main mechanism of action of the additive based on double quenching experiments. The effect of the simultaneous addition of two antioxidant will depend of their mechanism of action. Two strong metal-chelating antioxidants will present a synergic behavior, while two chain-breaking antioxidants acting on the same species will present antagonic behavior. Antioxidants acting by different mechanisms will present an indifferent behavior, its efficiency being independent of the presence of the second antioxidant. Several different situations are contrasted with data obtained in the autoxidation of brain homogenates employing propyl gallate, desferrioxamine and BHT as antioxidants.</t>
  </si>
  <si>
    <t>Evelson, Pablo Andres/J-1245-2014</t>
  </si>
  <si>
    <t>Evelson, Pablo Andres/0000-0001-7920-7968; Francisca Llesuy, Susana/0000-0001-6818-051X</t>
  </si>
  <si>
    <t>WOS:000076339000012</t>
  </si>
  <si>
    <t>Norambuena, E; Rezende, MC</t>
  </si>
  <si>
    <t>Electrochemical study of the π* probe dye 5-nitro-5′-dimethylamino-2,2′-bisthiophene</t>
  </si>
  <si>
    <t>JOURNAL OF PHYSICAL ORGANIC CHEMISTRY</t>
  </si>
  <si>
    <t>Cyclic voltamograms of the solvatochromic dye 5-nitro-5'-dimethylamino-2,2'-bisthiophene (1), introduced recently as a sensitive pi* probe, were recorded in different solvents. An EPR spectrum of the anionic radical of 1 in DMSO was obtained and compared with other spectra of analogous substituted bisthiophene radicals. It was found that the presence of a donor-acceptor pair of substituents in 1(-.) reduces significantly the rotational barrier of the radical compared with the unsubstituted bithienyl radical anion 2(-.). This is the result of an electronic repulsion between the donor ring fragment and the added electron in the coplanar radical, which does not exist in 2(-.). (C) 1998 John Wiley &amp; Sons, Ltd.</t>
  </si>
  <si>
    <t>Caroli, Marcos/H-3570-2019</t>
  </si>
  <si>
    <t>Rezende, Marcos/0000-0003-2040-9009</t>
  </si>
  <si>
    <t>0894-3230</t>
  </si>
  <si>
    <t>10.1002/(SICI)1099-1395(199806)11:6&lt;419::AID-POC14&gt;3.0.CO;2-K</t>
  </si>
  <si>
    <t>WOS:000075124800007</t>
  </si>
  <si>
    <t>LISSI, EA; ESCOBAR, J; PASCUAL, C; DELCASTILLO, M; SCHMITT, TH; DI MASCIO, P</t>
  </si>
  <si>
    <t>VISIBLE CHEMILUMINESCENCE ASSOCIATED WITH THE REACTION BETWEEN METHEMOGLOBIN OR OXYHEMOGLOBIN WITH HYDROGEN-PEROXIDE</t>
  </si>
  <si>
    <t>Visible chemiluminescence is emitted in the irreversible deactivation of hemoglobin or methemoglobin with excess H2O2. The emission takes place in two phases. The most intense one lasts a few seconds and is followed by a second phase of lower intensity that remains for longer periods. This second phase presents chaotic or sustained oscillations. Free radicals are implicated in the luminescent process since the emission can be reduced by free radical scavengers such as 6-hydroxy-2,5,7,8,-tetramethylchroman-2-carboxylic acid (Trolox) or ascorbic acid. These additives lead to a delay in reaching the maximum intensity, which can be related to their consumption, implying substantial recycling of the hemoprotein. Chemiluminescence is also observed in the oxidation of hemin by H2O2, suggesting a role for the heme group in the processes leading to the excited state production. The lower intensity observed in the presence of hemin can be related to the contribution of the globin chains.</t>
  </si>
  <si>
    <t>Di Mascio, Paolo/D-1264-2014; del Castillo, MD/J-6283-2012</t>
  </si>
  <si>
    <t>Di Mascio, Paolo/0000-0003-4125-8350; del Castillo, MD/0000-0001-6309-5383</t>
  </si>
  <si>
    <t>10.1111/j.1751-1097.1994.tb05124.x</t>
  </si>
  <si>
    <t>WOS:A1994PR25800002</t>
  </si>
  <si>
    <t>Olea, F; Allendes, C; del Valle, T; Jofré-Ulloa, PP; Tapia, R; Isaacs, M; Diaz, G; Pizarro, J; Quijada-Maldonado, E</t>
  </si>
  <si>
    <t>Olea, Felipe; Allendes, Cristian; del Valle, Tamara; Jofre-Ulloa, Pedro P.; Tapia, Ricardo; Isaacs, Mauricio; Diaz, Georgina; Pizarro, Jaime; Quijada-Maldonado, Esteban</t>
  </si>
  <si>
    <t>Impact of Hydrophobic Ionic Liquid Mixtures on Cobalt (II) Extraction from Sulfate Media at Low pH: Stoichiometry and Operating Variables Study</t>
  </si>
  <si>
    <t>INDUSTRIAL &amp; ENGINEERING CHEMISTRY RESEARCH</t>
  </si>
  <si>
    <t>Global demand for cobalt (Co) is increasing due to its essential role in lithium-ion batteries for electric vehicles and renewable energy storage systems. However, efficient extraction remains challenging because of the complex composition of ores and the associated environmental concerns. This study examines the stoichiometry of Co extraction from a sulfated acidic aqueous phase containing Co, nickel (Ni), manganese (Mn), and iron (Fe) at low pH levels. Two ionic liquid (IL) combinations were identified as optimal for extraction and selectivity at pH values of 0.85 and 3.28: trioctylmethylammonium benzoate ([Toma][Ba]) dissolved in 1-octyl-3-methylimidazolium bis((trifluoromethyl)sulfonyl)imide ([Omim][Tf2N]) and trioctylmethylammonium di(2-ethylhexyl)phosphate ([Toma][D2EHP]) in 1-methyl-1-octylpyrrolidinium bis(trifluoromethyl)sulfonyl)imide ([Ompy][Tf2N]), respectively. The results show improved Co extraction and selectivity at acidic pH levels compared with conventional organic phases, such as D2EHPA/CYANEX 272 dissolved in kerosene. This approach could potentially eliminate the need for Fe precipitation steps prior to solvent extraction. Co extraction was found to follow an ion exchange mechanism, as confirmed through experimental assays and theoretical calculations. Analysis of operating variables revealed that increasing temperature decreases Co extraction, while higher extractant concentrations significantly enhance Co recovery (by approximately 50%), although with reduced selectivity.</t>
  </si>
  <si>
    <t>olea, felipe/IAN-5687-2023; Jofré-Ulloa, Pedro/ABC-3710-2021</t>
  </si>
  <si>
    <t>Quijada-Maldonado, Esteban/0000-0003-1411-4327; Olea Chandia, Felipe/0000-0002-6349-6184</t>
  </si>
  <si>
    <t>0888-5885</t>
  </si>
  <si>
    <t>1520-5045</t>
  </si>
  <si>
    <t>APR 17</t>
  </si>
  <si>
    <t>10.1021/acs.iecr.5c00444</t>
  </si>
  <si>
    <t>APR 2025</t>
  </si>
  <si>
    <t>WOS:001469191500001</t>
  </si>
  <si>
    <t>Vergara-Pinto, P; Herrera-Morgado, P</t>
  </si>
  <si>
    <t>Vergara-Pinto, Paulina; Herrera-Morgado, Pablo</t>
  </si>
  <si>
    <t>Immunizations in adults: a look at special populations</t>
  </si>
  <si>
    <t>REVISTA MEDICA CLINICA LAS CONDES</t>
  </si>
  <si>
    <t>Vaccines are synthetic biological products designed for the prevention of infectious diseases. After potable drinking water, they are the most effective public health measure in reducing mortality and other consequences caused by vaccine-preventable diseases. In Chile, they accompany us throughout our life cycle through the National Immunization Program (PNI), created in 1979 and constantly undergoing change and improvements in order to ensure safe and free access to vaccines to the general population. There are certain clinical conditions, however, that exacerbate the acquisition and/or severity of vaccine-preventable diseases. These special populations are on the rise. In this context, the objective of this review is to provide current guidelines for the immunization of these particular groups of patients.</t>
  </si>
  <si>
    <t>0716-8640</t>
  </si>
  <si>
    <t>MAY-AUG</t>
  </si>
  <si>
    <t>10.1016/j.rmclc.2024.07.003</t>
  </si>
  <si>
    <t>AUG 2024</t>
  </si>
  <si>
    <t>WOS:001300590300001</t>
  </si>
  <si>
    <t>Morales, R; Vivanco-Avaria, FJ; Palma, S</t>
  </si>
  <si>
    <t>Morales, Rodolfo; Vivanco-Avaria, Francisco J.; Palma, Sergio</t>
  </si>
  <si>
    <t>A novel mathematical approach for gravity-driven granular flows in block caving</t>
  </si>
  <si>
    <t>APPLIED MATHEMATICAL MODELLING</t>
  </si>
  <si>
    <t>This study presents a novel mathematical model aimed at elucidating the distinctive behavior observed in the flow of flat-bottom silos. A scheme analogous to the spot model proposed by Bazant is adopted, in which groups of particles move in relation to a static medium. However, we assume that the movement of the particles is driven by the local change in the tensional state instead of the increment of interstitial space through the diffusion of spots. We propose that the tensional state and gravity might induce a driving force with a larger magnitude than the friction exerted at the boundary of the group of mobilized particles. Thus, the dynamics of the flow is controlled by the driving and frictional force. Finally, we have introduced a dimensionless number (Y) corresponding to the ratio of driving to frictional force to characterize the movement of particles. By assuming that frictional force at the interface has a viscous component proportional to the relative speed of the mobilized particles, we have writen an equation analogous to Darcy's law for the flow of a Bingham fluid in a porous medium. The finite element method is utilized to solve the model, and the numerical findings demonstrate a strong correspondence with experimental results achieved in flat-bottom silos featuring one or two openings. Comparatively, the results of the kinematic model are surpassed, with a notable enhancement in the depiction of the velocity field.</t>
  </si>
  <si>
    <t>0307-904X</t>
  </si>
  <si>
    <t>1872-8480</t>
  </si>
  <si>
    <t>10.1016/j.apm.2023.09.013</t>
  </si>
  <si>
    <t>SEP 2023</t>
  </si>
  <si>
    <t>WOS:001086086300001</t>
  </si>
  <si>
    <t>Paillamilla, SFC; Pavlic, RD</t>
  </si>
  <si>
    <t>Carrasco Paillamilla, Silvia F.; Disi Pavlic, Rodolfo</t>
  </si>
  <si>
    <t>Predictors of perceptions of human rights violations during the Chilean social outburst of 2019</t>
  </si>
  <si>
    <t>FRONTIERS IN PSYCHOLOGY</t>
  </si>
  <si>
    <t>The 2019 social outburst in Chile marked a significant turning point for the nation's politics and society, with widespread reports of human rights violations committed by the armed forces and the Police during demonstrations and riots. Despite the attention given to these events, few studies have systematically analyzed perceptions of human rights violations in such contentious contexts. To investigate the factors influencing perceptions of human rights violations during the 2019 Chilean social outburst, we conducted ordered logistic regressions using data from a nationally representative survey fielded during the unrest. Our findings reveal that participation in demonstrations, use of social media for political information, fear of crime, and proximity to violent protests are correlated with the perception that security forces frequently violated human rights during the outburst. These results contribute to the understanding of public perceptions of human rights violations in the context of the 2019 Chilean social outburst and provide insights for future research on the role of individual and contextual factors in shaping these perceptions.</t>
  </si>
  <si>
    <t>Disi Pavlic, Rodolfo/X-6376-2019</t>
  </si>
  <si>
    <t>Disi Pavlic, Rodolfo/0000-0003-4655-153X</t>
  </si>
  <si>
    <t>1664-1078</t>
  </si>
  <si>
    <t>APR 28</t>
  </si>
  <si>
    <t>10.3389/fpsyg.2023.1133428</t>
  </si>
  <si>
    <t>WOS:000994392200001</t>
  </si>
  <si>
    <t>Palma, JG; Pincus, J</t>
  </si>
  <si>
    <t>Gabriel Palma, Jose; Pincus, Jonathan</t>
  </si>
  <si>
    <t>Latin America and Southeast Asia. Two development models but the same middle income trap: Easy rents lead to indolent elites</t>
  </si>
  <si>
    <t>TRIMESTRE ECONOMICO</t>
  </si>
  <si>
    <t>The success of some early Asian emerging countries such as Korea, Taiwan, Singapore, and Hong Kong, followed by China and India since 1980, has raised the bar for developing economies. However, other Asian emerging countries, like those from Southeast Asia, including Malaysia, Thailand, Indonesia, and now Viet Nam, have not yet been able to replicate the performance of their Asian predecessors. Could it be that they are already experiencing the problems of a Latin American-style middle-income trap? In these two regions, the common factor has been the inability to upgrade their growth strategies when the existing ones have run their course and become counterproductive. The middle-income trap indicates that productivity growth is more difficult to sustain at higher and more complex stages of the catching-up process. While Latin American countries have exhausted their purely extractive development model (and productivity growth has stalled for decades), Southeast Asian ones have failed to recapture their pre-1997 high growth trajectories as they have been priced out of labor-intensive activities. This paper analyses how the more of the same but hopefully better supply-side-strategy that many mainstream economists and trade agreements focus on is the wrong solution for escaping the trap; instead, middle-income countries facing a slowdown in productivity growth should reengineer existing development strategies. Matching the performance of the above-mentioned countries requires a conscious, national-level strategy to promote investment in activities with higher long-term potentials for productivity growth, especially higher value-added manufactured exports. The main policy implication of this analysis is that Latin America must reignite productivity growth by adding value to their commodity exports and strengthening backward linkages of export products and services, while Southeast Asian countries should deepen their assembly operations in manufacturing. Nicholas Kaldor's argument that manufacturing has the greatest scope to realize increasing returns to scale remains true, even in today's decentralized, fragmented manufacturing systems, but the limited size of domestic markets means that middle-income countries must prioritize manufactured exports using all of the policy instruments still available to them.</t>
  </si>
  <si>
    <t>Pincus, Jonathan/GZL-3687-2022</t>
  </si>
  <si>
    <t>0041-3011</t>
  </si>
  <si>
    <t>APR-JUN</t>
  </si>
  <si>
    <t>10.20430/ete.v89i354.1509</t>
  </si>
  <si>
    <t>WOS:000783321300007</t>
  </si>
  <si>
    <t>Piquer, B; Ruz, F; Barra, R; Lara, HE</t>
  </si>
  <si>
    <t>Piquer, Beatriz; Ruz, Freddy; Barra, Rafael; Lara, Hernan E.</t>
  </si>
  <si>
    <t>Gestational Sympathetic Stress Programs the Fertility of Offspring: A Rat Multi-Generation Study</t>
  </si>
  <si>
    <t>INTERNATIONAL JOURNAL OF ENVIRONMENTAL RESEARCH AND PUBLIC HEALTH</t>
  </si>
  <si>
    <t>The exposure to sympathetic stress during the entire period of gestation (4 degrees C/3 h/day) strongly affects the postnatal reproductive performance of the first generation of female offspring and their fertility capacity. The aim of this work was to determine whether this exposure to sympathetic stress affects the reproductive capacity of the next three generations of female offspring as adults. Adult female Sprague-Dawley rats were mated with males of proven fertility. We studied the reproductive capacity of the second, third, and fourth generations of female offspring (the percentage of pregnancy and the number and weight of female offspring). The estrus cycle activity of the progenies was studied, and a morphological analysis of the ovaries was carried out to study the follicular population. The second generation had a lower number of pups per litter and a 20% decrease in fertile capacity. The estrus cycle activity of the third generation decreased even more, and they had a 50% decrease in their fertile capacity, and their ovaries presented polycystic morphology. The fourth generation however, recovered their reproductive capacity but not the amount of newborns pups. Most probably, the chronic intrauterine exposure to the sympathetic stress programs the female gonads to be stressed in a stressful environment; since the fourth generation was the first born with no direct exposure to stress during development, it opens studies on intrauterine factors affecting early follicular development.</t>
  </si>
  <si>
    <t>barra pezo, rafael/0000-0002-2898-3729; Lara, Hernan/0000-0001-5829-824X</t>
  </si>
  <si>
    <t>1660-4601</t>
  </si>
  <si>
    <t>10.3390/ijerph19053044</t>
  </si>
  <si>
    <t>WOS:000771180900001</t>
  </si>
  <si>
    <t>Barros, KS; Vielmo, VS; Moreno, BG; Riveros, G; Cifuentes, G; Bernardes, AM</t>
  </si>
  <si>
    <t>Barros, Kayo Santana; Vielmo, Vicente Schaeffer; Moreno, Belen Garrido; Riveros, Gabriel; Cifuentes, Gerardo; Bernardes, Andrea Moura</t>
  </si>
  <si>
    <t>Chemical Composition Data of the Main Stages of Copper Production from Sulfide Minerals in Chile: A Review to Assist Circular Economy Studies</t>
  </si>
  <si>
    <t>MINERALS</t>
  </si>
  <si>
    <t>The mining industry has faced significant challenges to maintaining copper production technically, economically, and environmentally viable. Some of the major limitations that must be overcome in the coming years are the copper ore grade decline due to its intense exploitation, the increasing requirements for environmental protection, and the need to expand and construct new tailings dams. Furthermore, the risk of a supply crisis of critical metals, such as antimony and bismuth, has prompted efforts to increase their extraction from secondary resources in copper production. Therefore, improving conventional processes and developing new technologies is crucial to satisfying the world's metal demands, while respecting the policies of environmental organizations. Hence, it is essential that the chemical composition of each copper production stage is known for conducting these studies, which may be challenging due to the huge variability of concentration data concerning the ore extraction region, the process type, and the operational conditions. This paper presents a review of chemical composition data of the main stages of copper production from sulfide minerals, such as (1) copper minerals, (2) flotation tailings, (3) flotation concentrates, (4) slags and (5) flue dust from the smelting/converting stage, (6) copper anodes, (7) anode slimes, (8) contaminated electrolytes from the electrorefining stage, (9) electrolytes cleaned by ion-exchange resins, and (10) elution solutions from the resins. In addition, the main contributions of recent works on copper production are summarized herein. This study is focused on production sites from Chile since it is responsible for almost one-third of the world's copper production.</t>
  </si>
  <si>
    <t>Cifuentes, Gerardo/AAS-2148-2021; Santana, Kayo/AAU-4234-2021; Moura Bernardes, Andrea/F-7504-2012</t>
  </si>
  <si>
    <t>Santana, Kayo/0000-0002-8248-5595; Cifuentes, Gerardo/0000-0002-9543-1625; Moura Bernardes, Andrea/0000-0001-7687-0908</t>
  </si>
  <si>
    <t>2075-163X</t>
  </si>
  <si>
    <t>10.3390/min12020250</t>
  </si>
  <si>
    <t>WOS:000764352100001</t>
  </si>
  <si>
    <t>Arauna, D; Navarrete, S; Devia, M; Rodríguez, L; Reyes, L; Wehinger, S; Silva-Weiss, A; Palomo, I; Fuentes, E</t>
  </si>
  <si>
    <t>Arauna, Diego; Navarrete, Simon; Devia, Matias; Rodriguez, Lyanne; Reyes, Lemuel; Wehinger, Sergio; Silva-Weiss, Andrea; Palomo, Ivan; Fuentes, Eduardo</t>
  </si>
  <si>
    <t>The Role of Coffee and its Bioactive Components in Platelet Function and Aging</t>
  </si>
  <si>
    <t>MINI-REVIEWS IN MEDICINAL CHEMISTRY</t>
  </si>
  <si>
    <t>Cardiovascular diseases (CVD) are known to be the world's leading cause of death and different factors are known to increase the risk of death, including aging, mainly due to increased oxidative stress and inflammation observed in older people. Acute myocardial infarctions and cerebrovascular accidents belong to CVD, and are the ones that cause the most deaths and disabilities, where greater platelet activation plays an important role in pathophysiology. These diseases are more prevalent in older people, which have a clear relationship with increased platelet function and are strongly related to aging. Platelet function is affected by diet, which varies in its requirements and characteristics according to age. Coffee belongs to the family of diet elements that can alter platelet function and an increase in coffee consumption with advancing age, and a U-shaped correlation with the risk of CVD have been reported. However, the effect of coffee consumption and its bioactive compounds on platelet function and aging presents controversial evidence, and therefore, a complex effect is not fully elucidated in the cardiovascular system. This review focuses on the relationship between coffee consumption (and its constituent bioactive compounds), and platelet function, and aging.</t>
  </si>
  <si>
    <t>Reyes, Lemuel/LHA-3228-2024; wehinger, sergio/L-3610-2017; Arauna, Diego/ABC-9631-2020; Fuentes, Eduardo/I-2889-2017; Palomo, Iván/I-4321-2018</t>
  </si>
  <si>
    <t>, Simon/0000-0001-5296-1215; wehinger, sergio/0000-0001-7021-3544; Arauna, Diego/0000-0001-7132-991X</t>
  </si>
  <si>
    <t>1389-5575</t>
  </si>
  <si>
    <t>1875-5607</t>
  </si>
  <si>
    <t>10.2174/1389557521666210405155859</t>
  </si>
  <si>
    <t>WOS:000710694600001</t>
  </si>
  <si>
    <t>Cartagena, J; Jiménez, C; Spencer, E</t>
  </si>
  <si>
    <t>Cartagena, Julio; Jimenez, Catalina; Spencer, Eugenio</t>
  </si>
  <si>
    <t>Detection of Piscine orthoreoviruses (PRV-1b AND PRV-3a) in farmed Coho salmon with jaundice syndrome from Chile</t>
  </si>
  <si>
    <t>AQUACULTURE</t>
  </si>
  <si>
    <t>Piscine orthoreoviruses (PRVs) represent a group of marine viruses belonging to Reoviridae family, which are associated to emerging diseases in farmed Atlantic salmon, Rainbow trout and Coho salmon around the world. In Chile, the prevalence and deleterious effects of PRV infection in farmed salmonids had been studied recently, showing the occurrence of PRV-1 (formerly PRV-Ss) in Atlantic salmon with Heart and Skeletal Muscle Inflammation (HSMI), PRV-3 (formerly PRV-Om) in Rainbow trout with HSMI-like disease, and both viruses (PRV-1 and PRV-3) in Coho salmon with HSMI-like disease. In 1997, Jaundice Syndrome in Coho salmon was first described in Chile associated to outbreaks with high mortality, which occur during autumn season. Then, it was reported in 2006 that the jaundice condition in Coho salmon is consistent with an infectious form of hemolytic anemia and probably a virus was the causative agent, however the identification of the putative virus was not possible. Currently, the etiology of this syndrome is unknown, but several of the clinical signs exhibited by diseased Coho salmon are comparable to the signs showed by salmonids affected with some disease which are caused by PRVs. Therefore, it was of interest to determine if some PRVs could be related to Jaundice Syndrome in Coho salmon. In this manner, heart and head kidney tissue samples obtained from Coho salmon mortalities were analyzed in search of viral pathogens, where the presence of both PRV-1 and PRV-3 was confirmed by RT-qPCR and Sanger sequencing. Moreover, full-length genomic segment S1 sequences were obtained to determine the phylogenetic relationship with others PRV isolates previously described in Europe, America and Japan. One group of sequences found in Coho salmon with Jaundice Syndrome clustered into Sub-genotype Ib together with PRV-1 isolate described in Coho salmon with HSMI-like condition from Chile, and other group of sequences clustered into Genotype II with the first PRV-3 detected in Rainbow trout from Norway into previously described PRV-3a clade. Our results also suggest that PRVs has developed an infection cycle, which involves to Atlantic salmon, Rainbow trout and Coho salmon.</t>
  </si>
  <si>
    <t>0044-8486</t>
  </si>
  <si>
    <t>1873-5622</t>
  </si>
  <si>
    <t>NOV 15</t>
  </si>
  <si>
    <t>10.1016/j.aquaculture.2020.735480</t>
  </si>
  <si>
    <t>WOS:000553682000023</t>
  </si>
  <si>
    <t>Santos, JFD; Wilson, VD; Herrera-Valenzuela, T; Machado, FSM</t>
  </si>
  <si>
    <t>Santos, Jonatas Ferreira da Silva; Wilson, Vinicius Dias; Herrera-Valenzuela, Tomas; Machado, Frederico Sander Mansur</t>
  </si>
  <si>
    <t>Time-Motion Analysis and Physiological Responses to Taekwondo Combat in Juvenile and Adult Athletes: A Systematic Review</t>
  </si>
  <si>
    <t>STRENGTH AND CONDITIONING JOURNAL</t>
  </si>
  <si>
    <t>Taekwondo is a complex combat sport characterized by high-intensity short activity and low-intensity activity and/or pause. This systematic review focused on which type of physical capacities and the main physiological adjustments that are demanded during official taekwondo matches. The search was performed in electronic databases in which 38 articles were selected. Taekwondo matches' characteristics, time-motion analysis, physical and physiological responses during prematch and postmatch were described. After analysis, practical recommendations were suggested regarding physical training prescriptions oriented to performance optimization of taekwondo athletes.</t>
  </si>
  <si>
    <t>Herrera-Valenzuela, Tomas/L-1819-2019; DIAS WILSON, VINICIUS/G-6681-2018</t>
  </si>
  <si>
    <t>DIAS WILSON, VINICIUS/0000-0003-3877-344X</t>
  </si>
  <si>
    <t>1524-1602</t>
  </si>
  <si>
    <t>1533-4295</t>
  </si>
  <si>
    <t>10.1519/SSC.0000000000000517</t>
  </si>
  <si>
    <t>WOS:000524986700010</t>
  </si>
  <si>
    <t>Salazar-Aravena, D; Escrig, J; Laroze, D</t>
  </si>
  <si>
    <t>Salazar-Aravena, Diego; Escrig, Juan; Laroze, David</t>
  </si>
  <si>
    <t>Unusual behavior of the magnetization reversal process of interacting nanostructures with wire-tube morphology</t>
  </si>
  <si>
    <t>We have studied the magnetostatic interactions between two parallel cylindrical nanostructures with wire-tube morphology as a function of their interaxial separation and the magnetic field applied using micromagnetic simulations. We find that the hysteresis curves of the system can exhibit one, two or three Barkhausen jumps as a function of the separation between the nanostructures and the angle at which the external magnetic field is applied, which are related to the reversal of the magnetic moments of certain segments of the nanostructures. In addition, by studying the averages of magnetization we obtain that for angles less than or equal to 60 degrees, the nanostructures reverse their magnetization through the nucleation and propagation of domain walls (vortex for the tube segment and transverse for the wire segment), while for higher angles the nanostructures revert their magnetization by quasi-coherent rotation.</t>
  </si>
  <si>
    <t>Laroze, David/Z-2852-2019; Salazar-Aravena, Diego/F-5133-2016; Escrig, Juan/N-4304-2015; Laroze, David/E-9134-2011</t>
  </si>
  <si>
    <t>Salazar-Aravena, Diego/0000-0002-6250-8358; Escrig, Juan/0000-0002-3958-8185; Laroze, David/0000-0002-6487-8096</t>
  </si>
  <si>
    <t>MAR 1</t>
  </si>
  <si>
    <t>10.1016/j.jmmm.2019.165935</t>
  </si>
  <si>
    <t>WOS:000501596800096</t>
  </si>
  <si>
    <t>Rincón-Rodriguez, R; Mena, D; Mena, J; Díaz-Saldivar, P; Guajardo-Correa, E; Godoy-Guzman, C; Cardenas, H; Orihuela, PA</t>
  </si>
  <si>
    <t>Rincon-Rodriguez, Ramiro; Mena, Dennise; Mena, Javier; Diaz-Saldivar, Patricia; Guajardo-Correa, Emanuel; Godoy-Guzman, Carlos; Cardenas, Hugo; Orihuela, Pedro A.</t>
  </si>
  <si>
    <t>F-Spondin Is the Signal by Which 2-Methoxyestradiol Induces Apoptosis in the Endometrial Cancer Cell Line Ishikawa</t>
  </si>
  <si>
    <t>The metabolite 2-methoxyestradiol (2ME) is an endogenous estrogen metabolite with potential therapeutic properties in reproductive cancers. However, the molecular mechanisms by which 2ME exerts its anticancer activity are not well elucidated. The purpose of this study was to determine the molecular signals associated with the apoptotic effects of 2ME in a human endometrial cancer cell line. Ishikawa cells were treated with non-apoptotic (0.1 mu M) or apoptotic concentrations (5 mu M) of 2ME, and 12 hours later mRNA levels for Scd2, Snx6, and Spon1 were determined by real-time PCR. We then investigated by immunofluorescence and Western blot the expression and distribution of F-spondin, encoded by Spon1, in Ishikawa cells treated with 2ME 5 mu M at 6, 12, or 24 h after treatment. The role of estrogen receptors (ER) in the effect of 2ME on the Spon1 level was also investigated. Finally, we examined whether 2ME 5 mu M induces cell death in Ishikawa cells pre-incubated with a neutralizing F-spondin antibody. Non-apoptotic or apoptotic concentrations of 2ME decreased Scd2 and increased Snx6. However, Spon1 was only increased with the 2ME apoptotic concentration. F-spondin protein was also increased at 12 and 24 h after 2ME treatment, while 2ME-induced Spon1 increase was independent of ER. Neutralization of F-spondin blocked the effect of 2ME on the cell viability. These results show that F-spondin signaling is one of the components in the apoptotic effects of 2ME on Ishikawa cells and provide experimental evidence underlying the mechanism of action of this estrogen metabolite on cancer cells.</t>
  </si>
  <si>
    <t>Díaz, Patricia/GOV-2972-2022; Guajardo, Emanuel/LKL-0134-2024; Godoy-Guzman, Carlos Ignacio/IUO-1065-2023</t>
  </si>
  <si>
    <t>Mena, Javier/0000-0001-5758-0470; Godoy-Guzman, Carlos/0000-0001-8451-7047; Diaz, Patricia/0000-0003-2099-1019; Guajardo-Correa, Emanuel/0000-0002-6091-6745</t>
  </si>
  <si>
    <t>AUG 2</t>
  </si>
  <si>
    <t>10.3390/ijms20163850</t>
  </si>
  <si>
    <t>WOS:000484411100007</t>
  </si>
  <si>
    <t>Arteaga, GC; Saavedra-Olavarría, J; Almendras, S; Hermosilla-Ibáñez, P; Almodovar, I; Pérez, EG</t>
  </si>
  <si>
    <t>Arteaga, Gean C.; Saavedra-Olavarria, Jorge; Almendras, Sebastian; Hermosilla-Ibanez, Patricio; Almodovar, Iriux; Perez, Edwin G.</t>
  </si>
  <si>
    <t>Copper-catalyzed intermolecular aminochlorination of alkenes (vol 59, pg 1091, 2018)</t>
  </si>
  <si>
    <t>TETRAHEDRON LETTERS</t>
  </si>
  <si>
    <t>Perez, Edwin/KVY-5791-2024; Hermosilla-Ibáñez, Patricio/Y-7454-2018; Arteaga arroyo, Gean/GWZ-3176-2022</t>
  </si>
  <si>
    <t>0040-4039</t>
  </si>
  <si>
    <t>FEB 7</t>
  </si>
  <si>
    <t>10.1016/j.tetlet.2019.01.016</t>
  </si>
  <si>
    <t>WOS:000457661800013</t>
  </si>
  <si>
    <t>Núñez, C; Osorio, R; Petit, M</t>
  </si>
  <si>
    <t>Berrios, C; Garcia, C</t>
  </si>
  <si>
    <t>Nunez, Consuelo; Osorio, Rodrigo; Petit, Matias</t>
  </si>
  <si>
    <t>Citizen empowerment? Evolution and determinants of participation and politicization in Chile, 1990-2016</t>
  </si>
  <si>
    <t>CIUDADANIAS EN CONFLICTO: ENFOQUES, EXPERIENCIAS Y PROPUESTAS</t>
  </si>
  <si>
    <t>978-956-8416-59-1</t>
  </si>
  <si>
    <t>10.26448/978-956-8416-59-1/11</t>
  </si>
  <si>
    <t>WOS:000440942900009</t>
  </si>
  <si>
    <t>Tejo, F; Corona, RM; Arenas, C; Palma, JL; Escrig, J</t>
  </si>
  <si>
    <t>Tejo, Felipe; Corona, Rosa M.; Arenas, Claudia; Palma, Juan Luis; Escrig, Juan</t>
  </si>
  <si>
    <t>Micromagnetic simulations of Permalloy double-dot structures</t>
  </si>
  <si>
    <t>CURRENT APPLIED PHYSICS</t>
  </si>
  <si>
    <t>In this paper we investigate by micromagnetic simulations the magnetic properties of Permalloy double-dot structures as a function of the center-to-center distance between the dots. Generally, a well-defined neck appears in the hysteresis curve, evidencing that the process of magnetization reversal occurs by nucleation and propagation of vortices. However, although the processes of magnetization reversal are similar for different distances between the dots, the coercivities are quite different, primarily due to the different energy contributions that dominate the system. The contribution of the shape anisotropy is important for Permalloy double-dot structures where the distance between the dots is less than their diameters, while the magnetostatic interaction between the two dots predominates if the distance between the dots is greater than their diameters. Finally, there is a critical distance for which the influence of magnetostatic interaction decreases sufficiently so that the interacting system can be considered as an isolated system. (C) 2017 Elsevier B.V. All rights reserved.</t>
  </si>
  <si>
    <t>Tejo, Felipe/IUQ-0578-2023; Palma, Juan/IAP-4554-2023; Escrig, Juan/N-4304-2015</t>
  </si>
  <si>
    <t>Corona, Rosa/0000-0001-6054-5019; Escrig, Juan/0000-0002-3958-8185; Tejo Lazo, Felipe Tejo/0000-0001-7457-7281; Palma, JuanLuis/0000-0003-2068-174X</t>
  </si>
  <si>
    <t>1567-1739</t>
  </si>
  <si>
    <t>1878-1675</t>
  </si>
  <si>
    <t>10.1016/j.cap.2017.02.021</t>
  </si>
  <si>
    <t>WOS:000400210800025</t>
  </si>
  <si>
    <t>Zagal, JH; Koper, MTM</t>
  </si>
  <si>
    <t>Zagal, Jose H.; Koper, Marc T. M.</t>
  </si>
  <si>
    <t>Reactivity Descriptors for the Activity of Molecular MN4 Catalysts for the Oxygen Reduction Reaction</t>
  </si>
  <si>
    <t>ANGEWANDTE CHEMIE-INTERNATIONAL EDITION</t>
  </si>
  <si>
    <t>Similarities are established between well-known reactivity descriptors of metal electrodes for their activity in the oxygen reduction reaction (ORR) and the reactivity of molecular catalysts, in particular macrocyclic MN4 metal complexes confined to electrode surfaces. We show that there is a correlation between the MIII/MII redox potential of MN4 chelates and the M-O-2 binding energies. Specifically, the binding energy of O-2 (and other O species) follows the M-III-OH/M-II redox transition for MnN4 and FeN4 chelates. The ORR volcano plot for MN4 catalysts is similar to that for metal catalysts: catalysts on the weak binding side (mostly CoN4 chelates) yield mainly H2O2 as the product, with an ORR onset potential independent of the pH value on the NHE scale (and therefore pH-dependent on the RHE scale); catalysts on the stronger binding side yield H2O as the product with the expected pH-dependence on the NHE scale. The suggested descriptors also apply to heat-treated pyrolyzed MN4 catalysts.</t>
  </si>
  <si>
    <t>zagal, jose/L-9648-2014; Koper, Marc/C-5026-2009</t>
  </si>
  <si>
    <t>1433-7851</t>
  </si>
  <si>
    <t>1521-3773</t>
  </si>
  <si>
    <t>NOV 14</t>
  </si>
  <si>
    <t>10.1002/anie.201604311</t>
  </si>
  <si>
    <t>WOS:000388252700004</t>
  </si>
  <si>
    <t>Barrera, C; Letelier, M; Siginer, D; Stockle, J</t>
  </si>
  <si>
    <t>Barrera, Cristian; Letelier, Mario; Siginer, Dennis; Stockle, Juan</t>
  </si>
  <si>
    <t>The Graetz problem in tubes of arbitrary cross section</t>
  </si>
  <si>
    <t>ACTA MECHANICA</t>
  </si>
  <si>
    <t>14th Pan-American Congress of Applied Mechanics</t>
  </si>
  <si>
    <t>MAR 24-28, 2014</t>
  </si>
  <si>
    <t>Santiago, CHILE</t>
  </si>
  <si>
    <t>Univ Chile, Dept Mech Engn</t>
  </si>
  <si>
    <t>The Graetz problem is investigated analytically for the steady laminar flow of Newtonian fluids in tubes of arbitrary cross section. The one-to-one mapping introduced satisfies the no-slip condition and allows the determination of the velocity field in a wide spectrum of arbitrary tube contours. The energy equation is solved for the temperature field in the corresponding tube contours, and the temperature distribution for the triangular, square and circular cross-sectional tubes is presented as particular case. Furthermore, in order to illustrate its relevance for a moderate P,clet number (Pe) regime, the solution applied to the square cross section is compared to numerical simulations for two scenarios, Case I with Pe = 100 and Case II with Pe = 500. It is found that for Case I the relative error does not exceed 2.9 %, being maximum at the center of the tube, while for Case II both analytical and numerical solutions match rather precisely, with less than 1 % of difference near the edges.</t>
  </si>
  <si>
    <t>Barrera-Hinojosa, Cristian/GOE-4973-2022</t>
  </si>
  <si>
    <t>Barrera Hinojosa, Cristian/0000-0003-4976-3028</t>
  </si>
  <si>
    <t>0001-5970</t>
  </si>
  <si>
    <t>1619-6937</t>
  </si>
  <si>
    <t>10.1007/s00707-015-1540-y</t>
  </si>
  <si>
    <t>WOS:000387422100012</t>
  </si>
  <si>
    <t>Cáceres-Jensen, L; Rodríguez-Becerra, J; Parra-Rivero, J; Escudey, M; Barrientos, L; Castro-Castillo, V</t>
  </si>
  <si>
    <t>Caceres-Jensen, Lizethly; Rodriguez-Becerra, Jorge; Parra-Rivero, Joselyn; Escudey, Mauricio; Barrientos, Lorena; Castro-Castillo, Vicente</t>
  </si>
  <si>
    <t>Sorption kinetics of diuron on volcanic ash derived soils</t>
  </si>
  <si>
    <t>JOURNAL OF HAZARDOUS MATERIALS</t>
  </si>
  <si>
    <t>Diuron sorption kinetic was studied in Andisols, Inceptisol and Ultisols soils in view of their distinctive physical and chemical properties: acidic pH and variable surface charge. Two types of kinetic models were used to fit the experimental dates: those that allow to establish principal kinetic parameters and modeling of sorption process (pseudo-first-order, pseudo-second-order), and some ones frequently used to describe solute transport mechanisms of organic compounds on different sorbents intended for remediation purposes (Elovich equation, intra particle diffusion, Boyd, and two-site nonequilibrium models). The best fit was obtained with the pseudo-second-order model. The rate constant and the initial rate constant values obtained through this model demonstrated the behavior of Diuron in each soil, in Andisols were observed the highest values for both parameters. The application of the models to describe solute transport mechanisms allowed establishing that in all soils the mass transfer controls the sorption kinetic across the boundary layer and intraparticle diffusion into macropores and micropores. The slowest sorption rate was observed on Ultisols, behavior which must be taken into account when the leaching potential of Diuron is considered. (C) 2013 Elsevier B.V. All rights reserved.</t>
  </si>
  <si>
    <t>Castro, Vicente/I-8444-2017; Cáceres-Jensen, Lizethly/AAC-8527-2020; Barrientos, Lorena/J-8906-2017; Rodriguez-Becerra, Jorge/F-8714-2017</t>
  </si>
  <si>
    <t>Barrientos, Lorena/0000-0002-9641-6507; Rodriguez-Becerra, Jorge/0000-0003-1496-8410; Caceres-Jensen, Lizethly/0000-0002-5903-7356</t>
  </si>
  <si>
    <t>0304-3894</t>
  </si>
  <si>
    <t>1873-3336</t>
  </si>
  <si>
    <t>10.1016/j.jhazmat.2013.07.073</t>
  </si>
  <si>
    <t>WOS:000328177300068</t>
  </si>
  <si>
    <t>Ferreira, CS; Ochi, LS; Parada, V; Uchoa, E</t>
  </si>
  <si>
    <t>Ferreira, Cristiane S.; Ochi, Luis Satoru; Parada, Victor; Uchoa, Eduardo</t>
  </si>
  <si>
    <t>A GRASP-based approach to the generalized minimum spanning tree problem</t>
  </si>
  <si>
    <t>Given a multipartite graph G the generalized minimum spanning tree problem is to find a tree of minimal cost that includes a vertex from each part. This paper proposes several versions of the GRASP metaheuristic for the problem. The GRASP approach is based on constructive heuristics as well as on additional improvement mechanisms such as path-relinking and iterated local search. Several computational experiments are performed over a set of existing instances. A cut generation algorithm is proposed that is able to find lower bounds, based on a formulation for Steiner's problem in directed graphs. The computational results show that the best versions of the GRASP approach use improvement mechanisms. The solutions found are better than most of the known solutions in the literature and require significantly less computer time. Furthermore, a set of rules is defined for pre-processing the instances, based on the Bottleneck distance concept. Using those rules, it was possible to reduce the size of the instances to an average of 14% of the number of edges in relation to the original graphs. (C) 2011 Elsevier Ltd. All rights reserved.</t>
  </si>
  <si>
    <t>Uchoa, Eduardo/AAS-7950-2021; Parada, Victor/M-5840-2014; Uchoa, Eduardo/F-7193-2011</t>
  </si>
  <si>
    <t>Ferreira, Cristiane/0000-0002-8680-1938; Uchoa, Eduardo/0000-0002-8687-2613; Ochi, Luiz Satoru/0000-0002-5007-4513</t>
  </si>
  <si>
    <t>10.1016/j.eswa.2011.09.043</t>
  </si>
  <si>
    <t>WOS:000297823300136</t>
  </si>
  <si>
    <t>Lastra, F; López, CE; Roa, L; Retamal, JC</t>
  </si>
  <si>
    <t>Lastra, F.; Lopez, C. E.; Roa, L.; Retamal, J. C.</t>
  </si>
  <si>
    <t>Entanglement of formation for a family of (2 ⊗ d)-dimensional systems</t>
  </si>
  <si>
    <t>Entanglement of formation for arbitrary mixed states in a (2 circle times 2)-dimensional Hilbert space is well known. For higher-dimensional mixed states analytical expressions for quantifying entanglement exist for a particular family of states. In this work, we calculate analytically the entanglement of formation for a family of bipartite (2 circle times d)-dimensional mixed states which can be obtained from tripartite 2 circle times 2 . d pure states following the entanglement relations obtained by Koashi and Winter [Phys. Rev. A 69, 022309 (2004)].</t>
  </si>
  <si>
    <t>López, Carlos/B-8456-2009; Retamal, Juan/G-6425-2010; Roa, Luis/F-9884-2010</t>
  </si>
  <si>
    <t>Retamal Abarzua, Juan Carlos/0000-0002-7174-7879</t>
  </si>
  <si>
    <t>1050-2947</t>
  </si>
  <si>
    <t>1094-1622</t>
  </si>
  <si>
    <t>10.1103/PhysRevA.85.022320</t>
  </si>
  <si>
    <t>WOS:000300417300001</t>
  </si>
  <si>
    <t>Eugenín, JL; Muller, KJ</t>
  </si>
  <si>
    <t>Eugenin, Jaime L.; Muller, Kenneth J.</t>
  </si>
  <si>
    <t>Point:: Counterpoint:: Medullary pacemaker neurons are essential for both eupnea and gasping in mammals vs. medullary pacemaker neurons are essential for gasping, but not eupnea, in mammals</t>
  </si>
  <si>
    <t>JOURNAL OF APPLIED PHYSIOLOGY</t>
  </si>
  <si>
    <t>8750-7587</t>
  </si>
  <si>
    <t>1522-1601</t>
  </si>
  <si>
    <t>WOS:000248459600046</t>
  </si>
  <si>
    <t>Aguilar, JR; Salinas, RA; Abidi, MA</t>
  </si>
  <si>
    <t>Carapezza, EM</t>
  </si>
  <si>
    <t>Aguilar, Juan R.; Salinas, Renato A.; Abidi, Mongi A.</t>
  </si>
  <si>
    <t>Search-matching algorithm for acoustics-based automatic sniper localization</t>
  </si>
  <si>
    <t>SENSORS, AND COMMAND, CONTROL, COMMUNICATIONS AND INTELLIGENCE (C31) TECHNOLOGIES FOR HOMELAND SECURITY AND HOMELAND DEFENSE VI</t>
  </si>
  <si>
    <t>Conference on Sensors, and Command, Control, Communications and Intelligence (C31) Technologies for Homeland Security and Homeland Defense VI</t>
  </si>
  <si>
    <t>APR 09-12, 2007</t>
  </si>
  <si>
    <t>Orlando, FL</t>
  </si>
  <si>
    <t>SPIE</t>
  </si>
  <si>
    <t>Most of modem automatic sniper localization systems are based on the utilization of the acoustical emissions produced by the gun fire events. In order to estimate the spatial coordinates of the sniper location, these systems measures the time delay of arrival of the acoustical shock wave fronts to a microphone array. In more advanced systems, model based estimation of the nonlinear distortion parameters of the N-waves is used to make projectile trajectory and calibre estimations. In this work we address the sniper localization problem using a model based search-matching approach. The automatic sniper localization algorithm works searching for the acoustics model of ballistic shock waves which best matches the measured data. For this purpose, we implement a previously released acoustics model of ballistic shock waves. Further, the sniper location, the projectile trajectory and calibre, and the muzzle velocity are regarded as the inputs variables of such a model. A search algorithm is implemented in order to found what combination of the input variables minimize a fitness function defined as the distance between measured and simulated data. In such a way, the sniper location, the projectile trajectory and calibre, and the muzzle velocity can be found. In order to evaluate the performance of the algorithm, we conduct computer based experiments using simulated gunfire event data calculated at the nodes of a virtual distributed sensor network. Preliminary simulation results are quite promising showing fast convergence of the algorithm and good localization accuracy.</t>
  </si>
  <si>
    <t>978-0-8194-6660-0</t>
  </si>
  <si>
    <t>65381F</t>
  </si>
  <si>
    <t>10.1117/12.718650</t>
  </si>
  <si>
    <t>WOS:000247902200033</t>
  </si>
  <si>
    <t>Chacón, M; Blanco, C; Panerai, R; Evans, D</t>
  </si>
  <si>
    <t>Sanfeliu, A; Cortes, ML</t>
  </si>
  <si>
    <t>Nonlinear modeling of dynamic cerebral autoregulation using recurrent neural networks</t>
  </si>
  <si>
    <t>PROGRESS IN PATTERN RECOGNITION, IMAGE ANALYSIS AND APPLICATIONS, PROCEEDINGS</t>
  </si>
  <si>
    <t>Lecture Notes in Computer Science</t>
  </si>
  <si>
    <t>10th Iberoamerican Congress on Pattern Recognition</t>
  </si>
  <si>
    <t>NOV 15-18, 2005</t>
  </si>
  <si>
    <t>Havana, CUBA</t>
  </si>
  <si>
    <t>The function of the Cerebral Blood Flow Autoregulation (CBFA) system is to maintain a relatively constant flow of blood to the brain, in spite of changes in arterial blood pressure. A model that characterizes this system is of great use in understanding cerebral hemodynamics and would provide a pattern for evaluating different cerebrovascular diseases and complications. This work posits a non-linear model of the CBFA system through the evaluation of various types of neural networks that have been used in the field of systems identification. Four different architectures, combined with four learning methods were evaluated. The results were compared with the linear model that has often been used as a standard reference. The results show that the best results are obtained with the FeedForward Time Delay neural network, using the Levenberg-Marquardt learning algorithm, with an improvement of 24% over the linear model (p &lt; 0.05).</t>
  </si>
  <si>
    <t>3-540-29850-9</t>
  </si>
  <si>
    <t>WOS:000234341500022</t>
  </si>
  <si>
    <t>Lucero, M; Ramírez, G; Riquelme, A; Azocar, I; Isaacs, M; Armijo, F; Förster, JE; Trollund, E; Aguirre, MJ; Lexa, D</t>
  </si>
  <si>
    <t>Electrocatalytic oxidation of sulfite at polymeric iron tetra (4-aminophenyl) porphyrin -: modified electrode</t>
  </si>
  <si>
    <t>JOURNAL OF MOLECULAR CATALYSIS A-CHEMICAL</t>
  </si>
  <si>
    <t>The electro-oxidation of sulfite was studied by using a glassy carbon electrode coated with a polymeric film of Fe-tetra-4-aminophenylporphyrin, in a wide pH range. The polymeric complex-modified electrode catalyses the electro-oxidation of sulfite to sulfate in acid and basic media, but it is more active at pH higher than 8.5. The polymer film coating is obtained by cycling the electrode in a solution containing the complex (monomer). The polymerization process takes place after the oxidation of the amino groups via a radical mechanism. When the modified electrode is obtained, the polymeric system needs to be over-oxidized in order to avoid the further oxidation of the remaining amino groups in the potential range where the oxidation of the sulfite takes place. The over-oxidation process destroys the monomer-modified electrode. Then, the electropolymerization of the iron complex is the only way to obtain a catalyst for this reaction with this porphyrin. The specie postulated for the oxidation is Fe(IV). The polymer-modified electrode is very stable and its activity remains almost constant for more than 500 consecutive cycles. Also, its activity remains unchanged during more than 30 days of exposure to air and light. The oxidation process occurs during the anodic and the cathodic potentiodynamic scans, showing that it is only necessary the recovery of the active sites; the formation of Fe(IV) is probably needed to promote the oxidation. However, this regeneration is low and becomes the slow step of the reaction. (C) 2004 Elsevier B.V. All rights reserved.</t>
  </si>
  <si>
    <t>Armijo, Francisco/G-3391-2013; Azocar, Manuel/I-1226-2013; Isaacs, Mauricio/N-3027-2013; Aguirre, Maria/A-3935-2013</t>
  </si>
  <si>
    <t>Isaacs Casanova, Mauricio/0000-0003-0503-0949; Armijo, Francisco/0000-0002-2479-6280; Ramirez, Galo/0000-0002-6217-4730; Aguirre, Maria/0000-0003-1134-4469; Azocar Guzman, Manuel/0000-0003-1098-4659</t>
  </si>
  <si>
    <t>1381-1169</t>
  </si>
  <si>
    <t>1873-314X</t>
  </si>
  <si>
    <t>10.1016/j.molcata.2004.04.045</t>
  </si>
  <si>
    <t>WOS:000224328900008</t>
  </si>
  <si>
    <t>Tapia, L; Torres, J; Mendoza, L; Urzúa, A; Ferreira, J; Pavani, M; Wilkens, M</t>
  </si>
  <si>
    <t>Effect of 13-epi-sclareol on the bacterial respiratory chain</t>
  </si>
  <si>
    <t>PLANTA MEDICA</t>
  </si>
  <si>
    <t>13-epi-Sclareol is a labdane-type diterpene isolated from the resinous exudates of the medicinal plant species Pseudognaphalium cheiranthifolium (Lam.) Hilliard et Burtt. and P. heterotrichium (Phil.) A. Anderb. This compound has antibacterial activity only against Gram-positive bacteria, showing a bactericidal and lytic action. The interaction of 13-epi-sclareol with the bacterial respiratory chain was analyzed. The compound inhibited oxygen consumption of intact Gram-positive cells, but not with Gram-negative bacteria. The compound inhibited NADH oxidase and cytochrome c reductase activities, while coenzyme Q reductase and the cytochrome c oxidase activities were not affected. These resuits suggest that the target site of 13-epi-sclareol is located between coenzyme Q and cytochrome c. Using cytoplasmic membrane fractions, the results of the analysis of the enzyme activities associated with the respiratory chain complexes were the same for both Gram-positive and Gram-negative bacteria, indicating that the compound has no access to the cytoplasmic membrane of intact Gram-negative bacteria. Thus, the Gram-negative envelope may act as a physical barrier that prevents the access of this compound to the site of action.</t>
  </si>
  <si>
    <t>Wilkens, Marcela/G-5928-2019</t>
  </si>
  <si>
    <t>Urzua, Alejandro/0000-0003-2638-0921</t>
  </si>
  <si>
    <t>0032-0943</t>
  </si>
  <si>
    <t>1439-0221</t>
  </si>
  <si>
    <t>10.1055/s-2004-832647</t>
  </si>
  <si>
    <t>WOS:000225506000009</t>
  </si>
  <si>
    <t>Chavanis, PH; Ispolatov, I</t>
  </si>
  <si>
    <t>Phase diagram of self-attracting systems</t>
  </si>
  <si>
    <t>A phase diagram of microcanonical ensembles of self-attracting particles is studied for two types of short-range potential regularizations: self-gravitating fermions and classical particles interacting via an attractive soft -(r(2)+r(0)(2))(-1/2) Coulomb potential. When the range of regularization is sufficiently short, the self-attracting systems exhibit gravitational or collapselike transition. As the fermionic degeneracy or the softness radius increases, the gravitational phase transition crosses over to a normal first-order phase transition, becomes second-order at a critical point, and finally disappears. Applicability of a commonly used saddle-point or mean-field approximation and importance of metastable states is discussed.</t>
  </si>
  <si>
    <t>2A</t>
  </si>
  <si>
    <t>10.1103/PhysRevE.66.036109</t>
  </si>
  <si>
    <t>WOS:000178624100018</t>
  </si>
  <si>
    <t>Gumucio, CP</t>
  </si>
  <si>
    <t>Contemporary dimensions of religion among indigenous peoples in Latin America - Introduction</t>
  </si>
  <si>
    <t>SOCIAL COMPASS</t>
  </si>
  <si>
    <t>Parker, Cristián/J-4947-2017</t>
  </si>
  <si>
    <t>0037-7686</t>
  </si>
  <si>
    <t>10.1177/0037768602049001002</t>
  </si>
  <si>
    <t>WOS:000174817600002</t>
  </si>
  <si>
    <t>Vásquez, CC; Saavedra, CP; Pichuantes, SE</t>
  </si>
  <si>
    <t>Nucleotide sequence of the gene encoding the BstLVI DNA methyltransferase:: Comparison with other amino-DNA methyltransferases</t>
  </si>
  <si>
    <t>CURRENT MICROBIOLOGY</t>
  </si>
  <si>
    <t>The nucleotide sequence of a 2837-base pairs (bp) EcoRI-PvuI fragment of Bacillus stearothermophilus LV chromosomal DNA encoding the bstLVIM gene was determined. It revealed a large open reading frame (ORF) of 1737 bp specifying a methylase of 579 amino acid (aa) residues and Mr 66,831. This was in agreement with the size estimated for the M.BstLVI (similar to 67 kDa) purified from Escherichia coli cells harboring a recombinant plasmid containing the bstLVIM gene and with results of transcription-translation experiments performed in vitro. Upstream the bstLVIM gene and in the opposite transcriptional orientation, there is a 81-aa ORF that showed great homology with the regulatory C proteins identified in other type II restriction and modification (R-M) systems. This 81-aa ORF precedes a truncated ORF of 86 aa which in turn may represent the structural gene for the BstLVI restriction endonuclease.</t>
  </si>
  <si>
    <t>0343-8651</t>
  </si>
  <si>
    <t>10.1007/s002849910022</t>
  </si>
  <si>
    <t>WOS:000084502600008</t>
  </si>
  <si>
    <t>Klishevich, S; Plyushchay, T</t>
  </si>
  <si>
    <t>Supersymmetry of parafermions</t>
  </si>
  <si>
    <t>We show that the single-mode parafermionic type systems possess supersymmetry, which is based on the symmetry of characteristic functions of the parafermions related to the generalized deformed oscillator of Daskaloyannis et al. The supersymmetry is realized in both unbroken and spontaneously broken phases. As in the case of parabosonic supersymmetry observed recently by one of the authors, the form of the associated superalgebra depends on the order of the parafermion and can be linear or nonlinear in the Hamiltonian. The list of supersymmetric parafermionic systems includes usual parafermions, finite-dimensional q-deformed oscillator, q-deformed parafermionic oscillator and parafermionic oscillator with internal Z(2) structure.</t>
  </si>
  <si>
    <t>DEC 21</t>
  </si>
  <si>
    <t>10.1142/S0217732399002881</t>
  </si>
  <si>
    <t>WOS:000085214800007</t>
  </si>
  <si>
    <t>Moscoso, H; Saavedra, C; Loyola, C; Pichuantes, S; Vásquez, C</t>
  </si>
  <si>
    <t>Biochemical characterization of tellurite-reducing activities of Bacillus stearothermophilus V</t>
  </si>
  <si>
    <t>RESEARCH IN MICROBIOLOGY</t>
  </si>
  <si>
    <t>Bacillus stearothermophilus V is a naturally occurring Gram-positive rod which exhibits resistance to potassium tellurite, Crude extracts of this bacterium catalyse the NADH-dependent, protease-sensitive reduction of K2TeO3 in vitro. Two fractions which showed the ability to reduce potassium tellurite (H1 and H2) were obtained. Fraction H1 behaved as a macroaggregate exhibiting a very high molecular mass that could not be estimated accurately. Upon electrophoresis in polyacrylamide gels in the presence of SDS, however, it was resolved into three distinct bands of 60, 41 and 37.5 kDa. On the other hand, an M-r of 121 was determined for fraction H2 by means of gel filtration and high-pressure liquid chromatography. In SDS-PAGE a unique protein band of 60 kDa was observed, suggesting that it is actually a dimer. Both fractions showed pH and temperature optima of 7.5 and 57 degrees C, respectively. Concentrations of 2.5 M NaCl or 0.35 mM SDS inhibited fraction H2 almost completely, while fraction H1 retained 20% of its activity under the same conditions. Concentrations of 5 mM EDTA caused the activity of both fractions to increase 2-fold. In addition to reducing tellurite, they were also able to reduce Na2SeO3 and Na2SO3 in vitro.</t>
  </si>
  <si>
    <t>0923-2508</t>
  </si>
  <si>
    <t>10.1016/S0923-2508(98)80321-5</t>
  </si>
  <si>
    <t>WOS:000075157900002</t>
  </si>
  <si>
    <t>Contreras, C; Vergara, L</t>
  </si>
  <si>
    <t>Nielsen identities for the generalized R-xi gauge</t>
  </si>
  <si>
    <t>We show that it is possible, in opposition to a previous conjecture, to derive a Nielsen identity for the effective action in the case of the generalized R-xi gauge, where the gauge function explicitly depends on the gauge parameter xi. Also the Nielsen identity for the effective potential is verified to one loop in the Abelian Higgs model and the corresponding identity for the physical Higgs boson mass is derived.</t>
  </si>
  <si>
    <t>2470-0010</t>
  </si>
  <si>
    <t>2470-0029</t>
  </si>
  <si>
    <t>APR 15</t>
  </si>
  <si>
    <t>10.1103/PhysRevD.55.5241</t>
  </si>
  <si>
    <t>WOS:A1997WV25000077</t>
  </si>
  <si>
    <t>Altbir, D; eCastro, JD; Vargas, P</t>
  </si>
  <si>
    <t>Magnetic coupling in metallic granular systems</t>
  </si>
  <si>
    <t>The coupling between magnetic clusters in granular metals is investigated and the relative importance of the Ruderman-Kittel-Kasuya-Yosida and classical dipolar interactions is discussed. It is shown that beyond a certain critical cluster size, the coupling is entirely dominated by the dipolar term, leading to an antiferromagnetic bias. Numerical results for Cu1-xCox alloys indicate that such a critical value corresponds to clusters of about N = 100 Co atoms. The importance of those results to the understanding of the giant-magnetoresistance effect in granular materials is pointed out.</t>
  </si>
  <si>
    <t>Altbir, Dora/R-6781-2018</t>
  </si>
  <si>
    <t>Altbir, Dora/0000-0002-2945-4909</t>
  </si>
  <si>
    <t>R6823</t>
  </si>
  <si>
    <t>R6826</t>
  </si>
  <si>
    <t>10.1103/PhysRevB.54.R6823</t>
  </si>
  <si>
    <t>WOS:A1996VH08200006</t>
  </si>
  <si>
    <t>Triana, JF; Herrera, F</t>
  </si>
  <si>
    <t>Triana, Johan F.; Herrera, Felipe</t>
  </si>
  <si>
    <t>Spontaneous single-molecule dissociation in infrared nanocavities</t>
  </si>
  <si>
    <t>JOURNAL OF CHEMICAL PHYSICS</t>
  </si>
  <si>
    <t>Ultrastrong light-matter interaction with molecular vibrations in infrared cavities has emerged as a tool for manipulating and controlling chemical reactivity. By studying the wavepacket dynamics of an individual polar diatomic molecule in a quantized infrared electromagnetic environment, we show that chemical bonds can efficiently dissociate in the absence of additional thermal or coherent energy sources, provided that the coupled system is prepared in a suitable diabatic state. Using hydrogen fluoride as a case study, we predict dissociation probabilities of up to 35% in less than 200 fs for a vibration-cavity system that is rapidly initialized with a low number of bare vibrational and cavity excitations. We develop a simple and general analytical model based on the multipolar formulation of quantum electrodynamics to show that the Bloch-Seigert shift of the bare vibrational ground state is a predictor of a threshold coupling strength below which no spontaneous dissociation is expected. The role of state-dependent permanent dipole moments in the light-matter interaction process is clarified. Our work paves the way toward the development of vacuum-assisted chemical reactors powered by ultrastrong light-matter interaction at the single-molecule level.</t>
  </si>
  <si>
    <t>Triana, Johan/AAU-9985-2021; Herrera, Felipe/KHD-8453-2024</t>
  </si>
  <si>
    <t>0021-9606</t>
  </si>
  <si>
    <t>1089-7690</t>
  </si>
  <si>
    <t>APR 7</t>
  </si>
  <si>
    <t>10.1063/5.0247008</t>
  </si>
  <si>
    <t>WOS:001458020200021</t>
  </si>
  <si>
    <t>Iturbe-Araya, JI; Rifà-Pous, H</t>
  </si>
  <si>
    <t>Iturbe-Araya, Juan Ignacio; Rifa-Pous, Helena</t>
  </si>
  <si>
    <t>Enhancing unsupervised anomaly-based cyberattacks detection in smart homes through hyperparameter optimization</t>
  </si>
  <si>
    <t>INTERNATIONAL JOURNAL OF INFORMATION SECURITY</t>
  </si>
  <si>
    <t>As smart homes become increasingly interconnected, it is crucial to ensure their security against cyber threats. This research focuses on improving anomaly detection within smart home environments through the application of unsupervised learning methods. Unlike traditional methods that require prior knowledge of specific attack types, unsupervised methods learn from normal operational data, identifying anomalies as deviations from this norm. This study investigates the impact of hyperparameter tuning on the effectiveness of these methods compared to their default settings. This research aims to identify optimal strategies for the configuration of unsupervised learning algorithms in smart home environments. We applied four models (Elliptic Envelope, Isolation Forest, Local Outlier Factor, and One-class SVM) in four datasets (Bot-IoT, IoTID20, N-baiot, and Ton-IoT). Our findings indicate a significant improvement in performance with hyperparameter optimization.</t>
  </si>
  <si>
    <t>Rifà-Pous, Helena/ABA-3227-2020; Iturbe, Juan/GRE-6961-2022</t>
  </si>
  <si>
    <t>1615-5262</t>
  </si>
  <si>
    <t>1615-5270</t>
  </si>
  <si>
    <t>10.1007/s10207-024-00961-6</t>
  </si>
  <si>
    <t>WOS:001379064400002</t>
  </si>
  <si>
    <t>Wong-Guerra, M; Montano-Peguero, Y; Hernandez-Ensenat, D; Ramirez-Sanchez, J; Mondelo-Rodriguez, A; Padron-Yaquis, AS; Garcia-Alfonso, E; Fonseca-Fonseca, LA; Nunez-Figueredo, Y</t>
  </si>
  <si>
    <t>Wong-Guerra, Maylin; Montano-Peguero, Yanay; Hernandez-Ensenat, Daniela; Ramirez-Sanchez, Jeney; Mondelo-Rodriguez, Abel; Padron-Yaquis, Alejandro Saul; Garcia-Alfonso, Enrique; Fonseca-Fonseca, Luis Arturo; Nunez-Figueredo, Yanier</t>
  </si>
  <si>
    <t>Mitochondrial protective properties exerted by JM-20 in a dementia model induced by intracerebroventricular administration of streptozotocin in mice</t>
  </si>
  <si>
    <t>BEHAVIOURAL BRAIN RESEARCH</t>
  </si>
  <si>
    <t>Background: Mitochondrial dysfunction and brain insulin resistance have been related to Alzheimer's disease (AD) development. Streptozotocin (STZ) is commonly employed to disrupt glucose and insulin metabolism, even causing cognitive impairment in animal models. We aimed at studying the protective effect of JM-20 on STZinduced memory impairment and brain mitochondrial dysfunction. Methods: Male C57Bl6 mice received 3 mg/kg STZ intracerebroventricularly and JM-20 (0.25 mg/kg or 4 mg/kg) was administered daily by gastric gavage. Episodic memory was evaluated through Y-maze, novel object recognition, and Morris water maze. Endogenous antioxidant systems (catalase and superoxide dismutase activities), total sulfhydryl groups, malondialdehyde levels were also studied and acetylcholinesterase (AChE) activity were assessed in the prefrontal cortex (PC) and hippocampus (HO). Results: demonstrated that STZ injection impaired recognition and spatial learning and memory and oxygen flow in all mitochondrial respiration states. Additionally, STZ increased AChE, superoxide dismutase, and catalase activity in the PC but not in HO tissue. A neuroprotective effect of JM-20 on STZ-induced memory decline, and mitochondrial dysfunction was observed, suggesting an important causal interaction. In addition, JM-20 was able to decreased AChE enzyme hyperactivity, rescued endogenous antioxidant systems, and prevented histologically observed neuronal damage Conclusion: Our results indicate that JM-20 protects against STZ-induced impairment in brain bioenergetic metabolism and memory, confirming its potential as a candidate for treating neurodegenerative disorders associated with mitochondrial dysfunction like AD.</t>
  </si>
  <si>
    <t>Ramírez-Sánchez, Jeney/AAF-8598-2021; Mondelo Rodríguez, Abel/GRR-9886-2022; Hernandez, Daniela/AAD-1201-2022</t>
  </si>
  <si>
    <t>Hernandez-Ensenat, Daniela/0000-0001-8235-2269; Garcia Alfonso, Enrique/0000-0001-7789-6528</t>
  </si>
  <si>
    <t>0166-4328</t>
  </si>
  <si>
    <t>1872-7549</t>
  </si>
  <si>
    <t>MAR 5</t>
  </si>
  <si>
    <t>10.1016/j.bbr.2024.115385</t>
  </si>
  <si>
    <t>DEC 2024</t>
  </si>
  <si>
    <t>WOS:001391295400001</t>
  </si>
  <si>
    <t>Galvez, D; Castro, M; Bittencourt, G; Carvalho, V; Allende, S</t>
  </si>
  <si>
    <t>Galvez, David; Castro, Mario; Bittencourt, Guilherme; Carvalho, Vagson; Allende, Sebastian</t>
  </si>
  <si>
    <t>Magnetic Bimerons in Cylindrical Nanotubes</t>
  </si>
  <si>
    <t>NANOMATERIALS</t>
  </si>
  <si>
    <t>This work presents the analysis of the stability of magnetic bimerons in a cylindrical nanotube. Through micromagnetic simulations, we study the influence of magnetic and geometrical parameters on the bimeron existence and size. The obtained results allow us to present diagram states showing the stability region of a bimeron as a function of the nanotube's height and radius for different anisotropy and Dzyaloshinskii-Moriya interaction strengths. We also obtain two other magnetic states in the range of parameters where the bimeron is not stable: helicoidal and saturated states.</t>
  </si>
  <si>
    <t>Bittencourt, Guilherme/MXM-5181-2025; Castro, Mario/ABD-7776-2021; Carvalho-Santos, Vagson/E-8806-2013</t>
  </si>
  <si>
    <t>Carvalho-Santos, Vagson/0000-0002-2759-2152; Rezende Bittencourt, Guilherme Henrique/0000-0002-0912-8444; Galvez, David/0009-0005-3993-0170</t>
  </si>
  <si>
    <t>2079-4991</t>
  </si>
  <si>
    <t>10.3390/nano13212841</t>
  </si>
  <si>
    <t>WOS:001100302700001</t>
  </si>
  <si>
    <t>Inostroza, MA; Espinosa-Méndez, C</t>
  </si>
  <si>
    <t>Alejandra Inostroza, M.; Espinosa-Mendez, Christian</t>
  </si>
  <si>
    <t>The influence of the personality traits and sociodemographic CEO characteristics on performance of SMEs: evidence from Chile</t>
  </si>
  <si>
    <t>ACADEMIA-REVISTA LATINOAMERICANA DE ADMINISTRACION</t>
  </si>
  <si>
    <t>Purpose In this paper the authors study how sociodemographic characteristics and personality traits of the Chief Executive Officer (CEO) impact financial performance in small and medium enterprises (SMEs) in an emerging economy such as Chile. Design/methodology/approach The authors applied a questionnaire to 185 Chilean SME CEOs during 2017 concerning sociodemographic characteristics (gender, age, experience and marital status), personality traits (extraversion, responsibility, openness to experience, agreeableness, and neuroticism) and firm characteristics. Findings The authors find that some sociodemographic characteristics (gender and age) significantly impact SME performance. The authors find no significant connection between personality traits and firm performance. Originality/value This paper contributes to the business literature by investigating how sociodemographic variables and personality traits of the CEO are related to SME financial performance; by providing new evidence on the relationship between CEO characteristics and firm performance, mostly centered on developed economies, in the context of an emerging economy; and allowing for a better understanding of how CEO decisions impact firm performance.</t>
  </si>
  <si>
    <t>Espinosa-Méndez, Christian/G-5177-2019</t>
  </si>
  <si>
    <t>Inostroza-Correa, Maria Alejandra/0000-0003-0756-7352; Espinosa-Mendez, Christian/0000-0001-6499-2414</t>
  </si>
  <si>
    <t>1012-8255</t>
  </si>
  <si>
    <t>2056-5127</t>
  </si>
  <si>
    <t>NOV 17</t>
  </si>
  <si>
    <t>10.1108/ARLA-08-2021-0163</t>
  </si>
  <si>
    <t>SEP 2022</t>
  </si>
  <si>
    <t>WOS:000849048600001</t>
  </si>
  <si>
    <t>Molina-Sánchez, H; Giorgi, G; Guajardo, DC; Ariza-Montes, A</t>
  </si>
  <si>
    <t>Molina-Sanchez, Horacio; Giorgi, Gabriele; Castillo Guajardo, Dante; Ariza-Montes, Antonio</t>
  </si>
  <si>
    <t>Special Issue Rethinking the Subjective Wellbeing for a New Workplace Scenario</t>
  </si>
  <si>
    <t>Molina-Sanchez, Horacio/J-2458-2018; Ariza-Montes, Antonio/G-8882-2017</t>
  </si>
  <si>
    <t>Molina-Sanchez, Horacio/0000-0001-6042-0005; Ariza-Montes, Antonio/0000-0002-5921-0753</t>
  </si>
  <si>
    <t>10.3390/su14084581</t>
  </si>
  <si>
    <t>WOS:000786331100001</t>
  </si>
  <si>
    <t>González, AA; Cruchaga, MA; Celentano, DJ</t>
  </si>
  <si>
    <t>Gonzalez, Alvaro A.; Cruchaga, Marcela A.; Celentano, Diego J.</t>
  </si>
  <si>
    <t>Bilinear damage evolution in AA2011 wire drawing processes</t>
  </si>
  <si>
    <t>INTERNATIONAL JOURNAL OF DAMAGE MECHANICS</t>
  </si>
  <si>
    <t>This paper presents an experimental and numerical analysis of damage evolution in AA2011 aluminum alloy wires drawn under different scenarios. To this end, load-unload tensile tests were firstly carried out in order to characterize the degradation of the mechanical response in every cycle where the experimental results show a bilinear damage relationship in terms of the effective plastic strain. Therefore, a modification of the classical Lemaitre model is proposed in this work in order to reproduce bilinear paths of damage with the addition of only two parameters that can be directly obtained from the material characterization. Then, the damage predictive capability of this new experimental-based model is assessed in numerical simulations of the drawing process in one and two passes (considering for this last case the sequential and tandem configurations) where the computed predictions are compared with the corresponding experimental data showing a good agreement between them.</t>
  </si>
  <si>
    <t>Celentano, Diego/JQW-5027-2023; Cruchaga, Marcela/M-7522-2014</t>
  </si>
  <si>
    <t>Gonzalez Ortega, Alvaro/0000-0003-0839-721X</t>
  </si>
  <si>
    <t>1056-7895</t>
  </si>
  <si>
    <t>1530-7921</t>
  </si>
  <si>
    <t>10.1177/10567895211072581</t>
  </si>
  <si>
    <t>JAN 2022</t>
  </si>
  <si>
    <t>WOS:000748898700001</t>
  </si>
  <si>
    <t>de Moura, BF; da Mata, AMM; Martins, MF; Palma, FS; Ramos, R</t>
  </si>
  <si>
    <t>de Moura, Bruno Furtado; Malafaia da Mata, Adriana Machado; Martins, Marcio Ferreira; Palma, Francisco Sepulveda; Ramos, Rogerio</t>
  </si>
  <si>
    <t>A Methodology to Assist in Improvements of Low-cost Electrical Impedance Tomography Systems</t>
  </si>
  <si>
    <t>IEEE LATIN AMERICA TRANSACTIONS</t>
  </si>
  <si>
    <t>Electrical Impedance Tomography (EIT) is a technique that enables the reconstruction of the impedance distributions inside a vessel in a multiphase flow of industrial processes. Such a technique combines a data acquisition (DAQ) system to inject a current and to measure the voltages on the sensors and an inverse problem technique to reconstruct the image properly. This problem is highly ill-conditioned, causing errors to produce instabilities. Therefore, when performing the acquisition, the DAQ system must have adequate accuracy to allow the reconstruction of images with good quality. To avoid these measurement inaccuracies, this paper introduces a methodology that aid in the process of development of low-cost systems. It consists of investigating the errors in the current version of the system. Further, predicting the systematic errors of each subsystem by modeling its frequency response by Simulation Program with Integrated Circuit Emphasis (SPICE). From this information, it is possible to perform critical analysis, aiding design decisions.</t>
  </si>
  <si>
    <t>de Moura, Bruno/AAT-7554-2021; Sepúlveda, Francesca/AAW-8092-2021; Ferreia Martins, Marcio/T-5321-2017</t>
  </si>
  <si>
    <t>Ferreia Martins, Marcio/0000-0002-3023-222X; Ramos, Rogerio/0000-0003-4493-2435; de Moura, Bruno Furtado/0000-0003-1912-3732; Sepulveda Palma, Francisco Hernan/0000-0002-1930-3859; da Mata, Adriana/0000-0002-9076-456X</t>
  </si>
  <si>
    <t>1548-0992</t>
  </si>
  <si>
    <t>10.1109/TLA.2022.9662183</t>
  </si>
  <si>
    <t>WOS:000733944300018</t>
  </si>
  <si>
    <t>Vidal, JEV; Campos, DA; Muñoz, DA; Bauer, DD</t>
  </si>
  <si>
    <t>Vidal, Jorge Eduardo Vergara; Campos, Daniela alvarez; Munoz, Diego Asenjo; Bauer, Denisse Dintrans</t>
  </si>
  <si>
    <t>Practicality and technical communication in CORVI housing typologies</t>
  </si>
  <si>
    <t>In December 1972, the Sub Department of Design of the Corporacion de la Vivienda (CORVI) published a document with eighteen housing prototypes developed by its teams between 1966 and 1971. This document was the result of the previous experience of those teams in developing a large part of the social housing built in Chile, of the work of systematization and standardization of that set of works, and of the design indications given by the managers of these teams. Drawing on the document itself, secondary sources that report on CORVI's decisions, and interviews with Orlando Sepulveda Mellado, an architect member of CORVI's design teams, this paper analyzes the practical meaning of Tipologia de viviendas racionalizadas 1966-1972 and suggests that it performs a non-canonical mode of the notion of typology, articulates a standardization of project ideas, and responds to the contingencies of the sociomaterial environment. This helps to conclude that the inaccuracies observed in the document are part of an objectual strategy of communication of the technical aspect that aims at its practicality, that is, to efficiently narrate the complexity of architectonic rationalization as a political and socio-technical program.</t>
  </si>
  <si>
    <t>Vergara Vidal, Jorge Eduardo/LZE-7585-2025</t>
  </si>
  <si>
    <t>10.4067/S0718-83582021000300323</t>
  </si>
  <si>
    <t>WOS:000744248400001</t>
  </si>
  <si>
    <t>El Youssfi, N; El Bachtiri, R; Zoulagh, T; El Aiss, H</t>
  </si>
  <si>
    <t>El Youssfi, Naoufal; El Bachtiri, Rachid; Zoulagh, Taha; El Aiss, Hicham</t>
  </si>
  <si>
    <t>Unknown input observer design for vehicle lateral dynamics described by Takagi-Sugeno fuzzy systems</t>
  </si>
  <si>
    <t>OPTIMAL CONTROL APPLICATIONS &amp; METHODS</t>
  </si>
  <si>
    <t>This article discusses the problem of an unknown input observer for nonlinear lateral dynamic systems. Takagi-Sugeno fuzzy models have been used to represent the vehicle lateral system with parameters uncertain. The observer used is well suited to estimate the vehicle state and actuator/sensor faults, simultaneously. By using Finsler's lemma, the conditions obtained are expressed through linear matrix inequality constraints. Finally, the results of the simulation clearly show the importance and effectiveness of the proposed approaches.</t>
  </si>
  <si>
    <t>El Aiss, Hicham/AAD-6510-2022; Zoulagh, Taha/AAT-5521-2020; EL YOUSSFI, Naoufal/T-4610-2018</t>
  </si>
  <si>
    <t>Zoulagh, Taha/0000-0003-4796-2744; EL YOUSSFI, Naoufal/0000-0003-0430-1743; EL AISS, hicham/0000-0003-1098-275X</t>
  </si>
  <si>
    <t>0143-2087</t>
  </si>
  <si>
    <t>1099-1514</t>
  </si>
  <si>
    <t>10.1002/oca.2808</t>
  </si>
  <si>
    <t>OCT 2021</t>
  </si>
  <si>
    <t>WOS:000706834800001</t>
  </si>
  <si>
    <t>Corona, RM; Castillo-Sepúlveda, S; Altbir, D; Escrig, J</t>
  </si>
  <si>
    <t>Corona, R. M.; Castillo-Sepulveda, S.; Altbir, D.; Escrig, J.</t>
  </si>
  <si>
    <t>Controlling domain wall chirality by combining hard and soft magnetic materials in planar nanostructures with wire-ring morphology</t>
  </si>
  <si>
    <t>Vortex domain walls (DWs) are characterized by their chirality, an important property that needs to be controlled for the use of such walls in potential technological applications. In this work we explore a wire-ring structure in which we have alternate hard and soft magnetic materials. Our results evidence that, depending on the materials, it is possible to control the DW chirality when it goes through the ring section. Therefore, this system can be used as a device that controls domain wall chirality.</t>
  </si>
  <si>
    <t>Altbir, Dora/R-6781-2018; Escrig, Juan/N-4304-2015</t>
  </si>
  <si>
    <t>Corona, Rosa/0000-0001-6054-5019; Escrig, Juan/0000-0002-3958-8185; Castillo, Sebastian/0000-0001-7730-8773</t>
  </si>
  <si>
    <t>10.1016/j.cap.2020.09.018</t>
  </si>
  <si>
    <t>WOS:000598139600002</t>
  </si>
  <si>
    <t>Ayub, MS; Adasme, P; Soto, I; Rodriguez, DZ</t>
  </si>
  <si>
    <t>Shoaib Ayub, Muhammad; Adasme, Pablo; Soto, Ismael; Rodriguez, Demostenes Zegarra</t>
  </si>
  <si>
    <t>Reconfigurable Intelligent Surfaces Enabling Future Wireless Communication</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</si>
  <si>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</si>
  <si>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</si>
  <si>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</si>
  <si>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</si>
  <si>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</si>
  <si>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Reconfigurable Intelligent Surface (RIS) has been considered as a promising technology that provides ultra-high speed for 5G beyond (5GB) and future 6G wireless communication systems. An RIS has boosted the concept of Smart Radio Environment (SRE) to enable Massive Connectivity with Massive MIMO System. RIS and Massive MIMO are both key enablers at the infrastructural level while millimeter wave (mm-Wave) and Tera Hertz (THz) communication are the key enablers at spectrum level for 5G and 6G. In this article, we discuss some potential candidate technologies and applications using mm-Wave Massive MIMO that can be well equipped with RIS in order to play a vital role in future wireless communication. The applications include Unnamed Aerial Vehicle and Visible Light Communications (VLC). In particular, we discuss and provide insights for VLC technology using RIS. As far as we know, these novel technologies have not been discussed and analyzed in a joint manner so far.</t>
  </si>
  <si>
    <t>Adasme, Pablo/U-1735-2019; Zegarra Rodriguez, Demostenes/L-8322-2013</t>
  </si>
  <si>
    <t>Zegarra Rodriguez, Demostenes/0000-0001-5401-7551; Ayub, Muhammad Shoaib/0000-0002-6566-8832</t>
  </si>
  <si>
    <t>978-1-6654-4225-1</t>
  </si>
  <si>
    <t>10.1109/SACVLC53127.2021.9652346</t>
  </si>
  <si>
    <t>WOS:000760247000016</t>
  </si>
  <si>
    <t>Sequeida, A; Castillo, A; Cordero, N; Wong, V; Montero, R; Vergara, C; Valenzuela, B; Vargas, D; Valdés, N; Morales, J; Tello, M; Sandino, AM; Maisey, K; Imarai, M</t>
  </si>
  <si>
    <t>Sequeida, Alvaro; Castillo, Andres; Cordero, Natalia; Wong, Valentina; Montero, Ruth; Vergara, Claudio; Valenzuela, Beatriz; Vargas, Deborah; Valdes, Natalia; Morales, Jonathan; Tello, Mario; Maria Sandino, Ana; Maisey, Kevin; Imarai, Monica</t>
  </si>
  <si>
    <t>The Atlantic salmon interleukin 4/13 receptor family: Structure, tissue distribution and modulation of gene expression</t>
  </si>
  <si>
    <t>FISH &amp; SHELLFISH IMMUNOLOGY</t>
  </si>
  <si>
    <t>Interleukin (IL)-4 and IL-13 play a central role in T helper 2 immune response in mammals. The cell signalling is mediated by the type I heterodimeric receptor containing the IL-4R alpha and gamma C chains, and the type II receptors formed by IL-4R alpha and IL-13R alpha 1. In salmonid species, three paralogues of the IL-4 and IL-13 cytokines have been reported, il-4/13a, il-4/13b1 and il-4/13b2. In regard to receptors, two paralogues of each IL-4/13 receptor chains have been identified in rainbow trout while five genes named gamma c1, il-4r alpha, il-13r alpha 1a, il-13r alpha 1b, and il-13r alpha 2 have identified in Atlantic salmon. Since Atlantic salmon is an important farmed fish species, the aim of this work was to get new insights into distribution, structure and expression regulation of the IL-4/13 receptors in salmon. By using qRT-PCR, it was shown that all gamma c1, il-4r alpha, il-13r alpha 1a, il-13r alpha 1b, and il-13r alpha 2 receptor chains were expressed in lymphoid and non-lymphoid tissues of healthy salmon, nonetheless gamma C expression was higher in lymphoid than non-lymphoid tissues. The in silica structural analysis and homology modelling of the predicted receptor proteins showed that domains and most motifs present in the superior vertebrate chains are conserved in salmon suggesting a conserved role for these receptor chains. Only IL-13R alpha 1B is a receptor chain with a unique structure that seem not to be present in higher vertebrates but in fish species. In order to determine the regulatory role of IL-4/13 on the expression of receptor chains, Atlantic salmon il-4/13A gene was synthetized and cloned in pET15b. The recombinant IL-4/13A was produced in E. coli and the activity of the purified cytokine was confirmed in vitro. The regulatory role of IL-4/13A on the expression of their potential receptors was tested in salmon receiving the recombinant cytokine and effects were compared with those of the control group. The results showed that IL-4/13A induced the expression of its own gene and GATA-3, in the head kidney of fish but not in the spleen, while IL-10 increased in both lymphoid organs indicating a regulatory role of this cytokine on the induction of Th2 responses in salmon. IFNI and MHC class II were also later induced in head kidney. In regard to the expression of the receptor chains, IL-4/13A upregulated the expression of gamma C, IL-13R alpha 1A and IL-13R alpha 2A in the spleen but not in the head kidney of salmon, indicating a role on the modulation of cell signalling for the Th2 response. Furthermore, Piscirickettsia salmonis infection of Atlantic salmon occurred with an increase of gamma C and IL-13R alpha 1A suggesting a potential role of the IL-4/13 system in bacterial immunity or pathogenesis. This study contributes to a better understanding of the IL-4/13A system in salmon, which as a key axis for Th2 response may be involved not only in pathogen elimination but also in adaptive immune repair that seems critical tolerance to infectious diseases.</t>
  </si>
  <si>
    <t>Tello, Mario/N-4198-2019; Maisey, Kevin/AAP-2886-2021; Valdes, Natalia/AAI-8151-2021</t>
  </si>
  <si>
    <t>valdes parra, Natalia/0000-0002-6884-7799; Maisey, Kevin/0000-0002-7423-6329; Castillo, Andres E./0000-0001-9644-3719; Tello, Mario/0000-0003-4573-6460; Montero, Ruth Tamara/0000-0002-3019-1800</t>
  </si>
  <si>
    <t>1050-4648</t>
  </si>
  <si>
    <t>1095-9947</t>
  </si>
  <si>
    <t>10.1016/j.fsi.2019.11.030</t>
  </si>
  <si>
    <t>WOS:000516880900082</t>
  </si>
  <si>
    <t>SAAVEDRA LAMAS DOCTRINE</t>
  </si>
  <si>
    <t>WOS:000608865900061</t>
  </si>
  <si>
    <t>Marquez, P; Amici, J; Aguirre, MJ; Herrera, F; Francia, C; Bodoardo, S</t>
  </si>
  <si>
    <t>Marquez, Paulina; Amici, Julia; Aguirre, Maria Jesus; Herrera, Francisco; Francia, Carlotta; Bodoardo, Silvia</t>
  </si>
  <si>
    <t>Synergic Effect of catalyst/binder in passivation side-products of Li-Oxygen cells (vol 74, pg 20, 2018)</t>
  </si>
  <si>
    <t>JOURNAL OF SOLID STATE ELECTROCHEMISTRY</t>
  </si>
  <si>
    <t>The Authors regret that, in the published version, Figure 2 was substituted by Figure 1.</t>
  </si>
  <si>
    <t>Aguirre, Maria/A-3935-2013</t>
  </si>
  <si>
    <t>Herrera, Francisco/0000-0001-7783-2970; AMICI, JULIA GINETTE NICOLE/0000-0003-4369-317X</t>
  </si>
  <si>
    <t>1432-8488</t>
  </si>
  <si>
    <t>1433-0768</t>
  </si>
  <si>
    <t>10.1007/s10008-019-04466-4</t>
  </si>
  <si>
    <t>WOS:000511923600025</t>
  </si>
  <si>
    <t>Marinao-Artigas, E; Valenzuela-Fernández, L; Barajas-Portas, K</t>
  </si>
  <si>
    <t>Marinao-Artigas, Enrique; Valenzuela-Fernandez, Leslier; Barajas-Portas, Karla</t>
  </si>
  <si>
    <t>Understanding affective evaluation in retail: consumers perspective</t>
  </si>
  <si>
    <t>Purpose The purpose of this paper is to analyze the effect of the consumer's emotional shopping experience on the perception of benefits and on the corporate reputation of a department store. Design/methodology/approach This study was applied to a non-probabilistic sample survey proportionally distributed among the main department stores in Chile and Mexico. Findings The findings show for both countries that the functional and symbolic benefit perceived by consumers significantly influences the reputation of department stores. However, the hedonic benefit perceived by the consumer had a negative effect on the reputation of the store. Originality/value This research contributes with the proposal of an explanatory model for decision making, using structural equations that suggest that the affective evaluation of the shopping experience is a key antecedent of the functional, hedonic and symbolic benefits perceived by the consumer. Moreover, the emotional experience plays a key role as an antecedent for the corporate reputation of a company.</t>
  </si>
  <si>
    <t>Marinao-Artigas, Enrique/CAF-2031-2022; Valenzuela-Fernández, Leslier/B-5486-2014; Barajas-Portas, Karla/ABB-6896-2021; Barajas-Portas, Karla/F-7336-2016</t>
  </si>
  <si>
    <t>Barajas-Portas, Karla/0000-0002-4498-3462; Marinao-Artigas, Enrique/0000-0002-1588-5011</t>
  </si>
  <si>
    <t>NOV 4</t>
  </si>
  <si>
    <t>10.1108/ARLA-02-2019-0050</t>
  </si>
  <si>
    <t>WOS:000499266600008</t>
  </si>
  <si>
    <t>Somogyi, MV</t>
  </si>
  <si>
    <t>Valenzuela Somogyi, Mariana</t>
  </si>
  <si>
    <t>The Figure of the Mother in the Cases of the Latin American Presidents Michelle Bachelet (Chile), Cristina Fernandez (Argentina) and Dilma Rousseff (Brazil)</t>
  </si>
  <si>
    <t>REVISTA DE ESTUDIOS SOCIALES</t>
  </si>
  <si>
    <t>Women's political action in Latin America has been predominantly represented by the figure of the mother. However, comparative research that focuses on contemporary feminine political leaderships is scarce. Using a qualitative content analysis of speeches and interviews of three Latin American presidents during their terms -Cristina Fernandez (Argentina), Dilma Rousseff (Brazil) and Michelle Bachelet (Chile)-, we propose three key figures, related to the maternal image, that are used to think about the manners in which each president is positioned within contemporary strategic frameworks: I) the instrumental mother, 2) the super-mother and 3) the contemporary mother.</t>
  </si>
  <si>
    <t>0123-885X</t>
  </si>
  <si>
    <t>10.7440/res69.2019.06</t>
  </si>
  <si>
    <t>WOS:000473284300006</t>
  </si>
  <si>
    <t>Keyantuo, V; Lizama, C; Rueda, S; Warma, M</t>
  </si>
  <si>
    <t>Keyantuo, Valentin; Lizama, Carlos; Rueda, Silvia; Warma, Mahamadi</t>
  </si>
  <si>
    <t>Asymptotic behavior of mild solutions for a class of abstract nonlinear difference equations of convolution type</t>
  </si>
  <si>
    <t>ADVANCES IN DIFFERENCE EQUATIONS</t>
  </si>
  <si>
    <t>We prove the existence and uniqueness of a weighted pseudo asymptotically mild solution to the following class of abstract semilinear difference equations: where A is the generator of a resolvent sequence {S(n)}nN0 of bounded and linear operators defined in a Banach space X, the sequences a,b are complex-valued, and fl1(ZxX,X).</t>
  </si>
  <si>
    <t>; Lizama, Carlos/E-5909-2011</t>
  </si>
  <si>
    <t>Rueda, Silvia/0000-0001-7031-1718; Lizama, Carlos/0000-0002-9807-1100</t>
  </si>
  <si>
    <t>1687-1847</t>
  </si>
  <si>
    <t>JUN 27</t>
  </si>
  <si>
    <t>10.1186/s13662-019-2189-y</t>
  </si>
  <si>
    <t>WOS:000473128600001</t>
  </si>
  <si>
    <t>Otero, C; Carreño, A; Polanco, R; Llancalahuen, FM; Arratia-Pérez, R; Gacitúa, M; Fuentes, JA</t>
  </si>
  <si>
    <t>Otero, Carolina; Carreno, Alexander; Polanco, Ruben; Llancalahuen, Felipe M.; Arratia-Perez, Ramiro; Gacitua, Manuel; Fuentes, Juan A.</t>
  </si>
  <si>
    <t>Rhenium (I) Complexes as Probes for Prokaryotic and Fungal Cells by Fluorescence Microscopy: Do Ligands Matter?</t>
  </si>
  <si>
    <t>Re(I) complexes have exposed highly suitable properties for cellular imaging (especially for fluorescent microscopy) such as low cytotoxicity, good cellular uptake, and differential staining. These features can be modulated or tuned by modifying the ligands surrounding the metal core. However, most of Re(I)-based complexes have been tested for non-walled cells, such as epithelial cells. In this context, it has been proposed that Re(I) complexes are inefficient to stain walled cells (i.e., cells protected by a rigid cell wall, such as bacteria and fungi), presumably due to this physical barrier hampering cellular uptake. More recently, a series of studies have been published showing that a suitable combination of ligands is useful for obtaining Re(I)-based complexes able to stain walled cells. This review summarizes the main characteristics of different fluorophores used in bioimage, remarking the advantages of d(6)-based complexes, and focusing on Re(I) complexes. In addition, we explored different structural features of these complexes that allow for obtaining fluorophores especially designed for walled cells (bacteria and fungi), with especial emphasis on the ligand choice. Since many pathogens correspond to bacteria and fungi (yeasts and molds), and considering that these organisms have been increasingly used in several biotechnological applications, development of new tools for their study, such as the design of new fluorophores, is fundamental and attractive.</t>
  </si>
  <si>
    <t>Carreno, Alexander/I-6374-2019; Gacitua, Manuel/R-8868-2019; Arratia-Perez, Ramiro/AAG-2648-2019; Marchant Llancalahuen, Felipe/Q-2149-2017</t>
  </si>
  <si>
    <t>Fuentes, Juan A./0000-0002-9374-0707; Gacitua, Manuel/0000-0003-0807-2677; Marchant Llancalahuen, Felipe/0000-0003-4014-4474; Carreno, Alexander/0000-0001-9733-8224</t>
  </si>
  <si>
    <t>JUN 26</t>
  </si>
  <si>
    <t>10.3389/fchem.2019.00454</t>
  </si>
  <si>
    <t>WOS:000473052600002</t>
  </si>
  <si>
    <t>D'Elia, C; Mallol, J; Solé, D</t>
  </si>
  <si>
    <t>D'Elia, Claudio; Mallol, Javier; Sole, Dirceu</t>
  </si>
  <si>
    <t>Prevalence of recurrent wheezing during the first year of life in Setubal district, Portugal</t>
  </si>
  <si>
    <t>ALLERGOLOGIA ET IMMUNOPATHOLOGIA</t>
  </si>
  <si>
    <t>Background: Recurrent wheezing during the first year of life is a major cause of respiratory morbidity worldwide, yet there are no studies on its prevalence in Portugal. Objective: Determine the prevalence and severity of recurrent wheezing, treatments employed and other related aspects, in infants during their first year of life in Setubal, Portugal. Methods: This is a cross-sectional study of a random sample of infants aged 12-15 months living in Setubal district. It uses a validated questionnaire answered by parents/caregivers at local healthcare facilities where infants attend for growth/development monitoring and/or vaccine administration. Results: Among the 202 infants surveyed, 44.6% (95% CI 37.7-51.4) had at least one episode of wheezing; and 18.3% (95% CI 12.9-23.6) had recurrent wheezing. There was significant morbidity associated to recurrent wheezing in terms of severe episodes (17.3%-95% CI 12-22.5), visits to the emergency department (26.2%-95% CI 20.1-32.2) and hospital admissions (5.4%-95% CI 2.2-8.5); 10.4% (95% CI 6.1-14.6) used inhaled corticosteroids and 7.9% (95% CI 4.1-11.6) used a leukotriene receptor antagonist. Conclusions: The prevalence of recurrent wheezing in infants during the first year of life is high and is associated with significant morbidity, presenting as a relevant public health problem. An important proportion of infants' progress with a more severe condition, resulting in high use of health resources (visits to emergency department and hospitalisations). The prevalence of recurrent wheezing in this district of Portugal stays between those related in other European and Latin American Centres, suggesting that maybe some of the well-known risk factors are shared with affluent countries. (C) 2018 SEICAP. Published by Elsevier Espana, S.L.U. All rights reserved.</t>
  </si>
  <si>
    <t>Solé, Dirceu/JAO-0340-2023</t>
  </si>
  <si>
    <t>Mallol, Javier/0000-0003-2528-8672; D Elia, Claudio/0000-0002-4190-8416</t>
  </si>
  <si>
    <t>0301-0546</t>
  </si>
  <si>
    <t>1578-1267</t>
  </si>
  <si>
    <t>10.1016/j.aller.2018.04.006</t>
  </si>
  <si>
    <t>WOS:000459947900003</t>
  </si>
  <si>
    <t>The Salvadoran Crucible: The Failure of US Counterinsurgency in El Salvador, 1979-1992</t>
  </si>
  <si>
    <t>AMERICAN HISTORICAL REVIEW</t>
  </si>
  <si>
    <t>0002-8762</t>
  </si>
  <si>
    <t>1937-5239</t>
  </si>
  <si>
    <t>10.1093/ahr/rhy486</t>
  </si>
  <si>
    <t>WOS:000462553800101</t>
  </si>
  <si>
    <t>Chacón-Fuentes, M; Mutis, A; Bardehle, L; Seguel, I; Urzúa, A; Quiroz, A</t>
  </si>
  <si>
    <t>Chacon-Fuentes, Manuel; Mutis, Ana; Bardehle, Leonardo; Seguel, Ivette; Urzua, Alejandro; Quiroz, Andres</t>
  </si>
  <si>
    <t>Decrease of flavonol synthase enzymatic activity in Ugni molinae Turcz due to the domestication process</t>
  </si>
  <si>
    <t>Flavonoid biosynthesis may be affected by plant domestication, with flavonoid production being reduced in proportion to the degree of domestication. In this context, kaempferol (3,4',5,7-tetrahydroxyflavone) has been identified in the leaves of wild and cultivated Ugni molinae, a berry endemic to Chile. The biosynthetic pathway of kaempferol production begins with naringenin (4', 5,7-trihydroxyflavanone), which is converted to dihydrokaempferol (3,4', 5,7-tetrahydroxyflavanone), catalyzed by flavanone 3 beta-hydroxylase (FHT) and then converted to kaempferol by a bifunctional enzyme called flavonol synthase (FLS). Therefore, our study aims to evaluate how FLS activity is affected in murtilla plants that are subjected to the domestication process. Kaempferol was quantified from methanolic extracts of leaf samples collected from both cultivated and wild U. molinae plants using high-performance liquid chromatography, and enzyme extraction was performed to determine FLS activity. The results showed that kaempferol concentration in wild plants from the Soloyo (0.14 mu g g(-1)), Mehuin (0.18 mu g g(-1)) and Queule (0.25 mu g g(-1)) sampling areas was higher than in their cultivated counterparts. Our data are consistent with the FLS activity detected in samples obtained from Manzanal Alto (134.79 pKatal, Soloyo (96.48 pKatal), and Mehuin (119.97 pKatal). These samples also exhibited higher enzymatic activity than their cultivated counterparts. Together, these data suggest that FLS activity is negatively affected by the domestication process.</t>
  </si>
  <si>
    <t>Bardehle, Leonardo/ABB-3573-2021; Chacón Fuentes, Manuel/AAG-3165-2019; Quiroz, Andres/I-2748-2018</t>
  </si>
  <si>
    <t>Chacon-Fuentes, Manuel Alejandro/0000-0003-1237-0060</t>
  </si>
  <si>
    <t>10.7764/rcia.v46i1.1955</t>
  </si>
  <si>
    <t>WOS:000469244500004</t>
  </si>
  <si>
    <t>Propiedades mecanicas y caracteristicas morfologicas de ARALL reforzado con TRGO dopando su resina epoxica</t>
  </si>
  <si>
    <t>Palza, Humberto/H-2782-2014</t>
  </si>
  <si>
    <t>Palza, Humberto/0000-0001-5246-6791</t>
  </si>
  <si>
    <t>e-12228</t>
  </si>
  <si>
    <t>10.1590/S1517-707620180004.0562</t>
  </si>
  <si>
    <t>WOS:000452418700019</t>
  </si>
  <si>
    <t>Chacón-Fuentes, M; Parra, L; Lizama, M; Seguel, I; Urzúa, A; Quiroz, A</t>
  </si>
  <si>
    <t>Chacon-Fuentes, Manuel; Parra, Leonardo; Lizama, Marcelo; Seguel, Ivette; Urzua, Alejandro; Quiroz, Andres</t>
  </si>
  <si>
    <t>Plant Flavonoid Content Modified by Domestication</t>
  </si>
  <si>
    <t>ENVIRONMENTAL ENTOMOLOGY</t>
  </si>
  <si>
    <t>Plant domestication can modify and weaken defensive chemical traits, reducing chemical defenses in plants and consequently their resistance against pests. We characterized and quantified the major defensive flavonols and isoflavonoids present in both wild and cultivated murtilla plants (Ugni molinae Turcz), established in a common garden. We examined their effects on the larvae of Chilesia rudis (Butler) (Lepidoptera: Arctiidae). Insect community and diversity indices were also evaluated. We hypothesized that domestication reduces flavonoid contents and modifies C. rudis preference, the insect community, and diversity. Methanolic extracts were obtained from leaves of U. molinae plants and analyzed by high performance liquid chromatography. Results showed higher insect numbers (86.48%) and damage index (1.72 +/- 0.16) in cultivated plants. Four new first records of insects were found associated with U. molinae. Diversity indices, such as Simpson, Shannon, and Margalef, were higher in cultivated plants than in wild plants. Furthermore, eight isoflavonoids were identified in U. molinae leaves for the first time. The five flavonols showed higher concentrations in wild U. molinae leaves (89.8 mu g/g) than in cultivated plants (75.2 mu g/g); however, no differences were found in isoflavonoids between wild and cultivated plants. The larvae of C. rudis consumed more leaf material of cultivated plants than wild plants in choice (3.8 vs. 0.8 mm(2)) and no-choice (7.5 vs. 3.0 mm(2)) assays. Our study demonstrates that domestication in U. molinae reduces the amount of flavonoids in leaves, increasing the preference of C. rudis and the insect community.</t>
  </si>
  <si>
    <t>Chacón Fuentes, Manuel/AAG-3165-2019; Quiroz, Andres/I-2748-2018</t>
  </si>
  <si>
    <t>Chacon-Fuentes, Manuel Alejandro/0000-0003-1237-0060; Urzua, Alejandro/0000-0003-2638-0921</t>
  </si>
  <si>
    <t>0046-225X</t>
  </si>
  <si>
    <t>1938-2936</t>
  </si>
  <si>
    <t>10.1093/ee/nvx126</t>
  </si>
  <si>
    <t>WOS:000412480400005</t>
  </si>
  <si>
    <t>Skurtys, O; Andrade, R; Osorio, F</t>
  </si>
  <si>
    <t>Skurtys, O.; Andrade, R.; Osorio, F.</t>
  </si>
  <si>
    <t>Rheological characterization of Poly(ethylene oxide) and carboxymethyl cellulose suspensions with added solids</t>
  </si>
  <si>
    <t>LWT-FOOD SCIENCE AND TECHNOLOGY</t>
  </si>
  <si>
    <t>Many foods are suspensions of solid particles randomly distributed in a non-Newtonian polymeric fluid. The rheological properties of high molecular weight poly(ethylene oxide) (PEO) and carboxymethyl cellulose (CMC) suspensions by adding micro-metric solid particles such as fibres or spheres were studied. The particle volume fraction, Phi, was varied between 0 and 0.4. Their theological properties were obtained after fitting a Cross model. Rheological behaviour of the solutions was compared with rheological behaviour of food reported in the literature. For PEO and CMC solutions with spherical particle, the behaviour of the normalized steady shear viscosity, mu/mu(0), as function of the fraction volume was compared with a Thomas model. However, for PEO the multibody interactions were not well represented and for CMC suspensions, mu/mu(0) seems to be lineal with Phi. To observe and explain more the influence of the particle concentrations on the rheological behaviour, dynamic rheological measurements (upon verification of the linearity limit) were also performed. A transition from a dominantly viscous fluid to a dominantly elastic material was observed when Phi was increased. (C) 2015 Elsevier Ltd. All rights reserved.</t>
  </si>
  <si>
    <t>skurtys, olivier/HNS-4835-2023; osorio, fernando/AAY-7304-2021; Andrade-Pizarro, Ricardo/H-4016-2017</t>
  </si>
  <si>
    <t>skurtys, olivier/0000-0003-1432-7242; osorio, fernando/0000-0001-7206-0924; Andrade-Pizarro, Ricardo/0000-0002-1673-0361</t>
  </si>
  <si>
    <t>0023-6438</t>
  </si>
  <si>
    <t>1096-1127</t>
  </si>
  <si>
    <t>10.1016/j.lwt.2015.05.047</t>
  </si>
  <si>
    <t>WOS:000358392000020</t>
  </si>
  <si>
    <t>Riquelme, N; Díaz-Calderón, P; Enrione, J; Matiacevich, S</t>
  </si>
  <si>
    <t>Riquelme, N.; Diaz-Calderon, P.; Enrione, J.; Matiacevich, S.</t>
  </si>
  <si>
    <t>Effect of physical state of gelatin-plasticizer based films on to the occurrence of Maillard reactions</t>
  </si>
  <si>
    <t>The aim of this study was to evaluate the occurrence of the Maillard reaction on gelatin-based films (bovine and salmon) in the glassy state, in mixtures with low molecular weight plasticizers (e.g. glycerol, glucose and trehalose) at different storage times. For testing, the gelatin-plasticizer films were stored under glassy conditions (Tg-10 degrees C), previously determined by calorimetric tests. Studies under accelerated conditions (T &gt;&gt; Tg) were also developed. Color, opacity and browning index (Br) were evaluated by computer vision at all storage times. Results showed in samples stored under glassy conditions that the Maillard reaction did not occur, independent of gelatin origin and type of plasticizer. Changes in color stated by opacity and Br were only significant (p &lt; 0.05) in gelatin-glucose systems under accelerated storage conditions. The inhibition of reaction in gelatin films in the glassy state was related to the well-known conditions of low molecular mobility of glassy matrices, but also with the non-Maillard reactive characteristics of glycerol and trehalose. (C) 2014 Elsevier Ltd. All rights reserved.</t>
  </si>
  <si>
    <t>Enrione, Javier/I-9225-2014</t>
  </si>
  <si>
    <t>Diaz-Calderon, Paulo/0000-0002-8375-2210; Enrione, Javier/0000-0002-3916-6775; Riquelme Hinojosa, Natalia Andrea/0000-0003-3490-1045</t>
  </si>
  <si>
    <t>10.1016/j.foodchem.2014.12.008</t>
  </si>
  <si>
    <t>WOS:000348878500067</t>
  </si>
  <si>
    <t>Ahumada, M; Calderon, C; Alvarez, C; Lanio, ME; Lissi, EA</t>
  </si>
  <si>
    <t>Ahumada, M.; Calderon, C.; Alvarez, C.; Lanio, M. E.; Lissi, E. A.</t>
  </si>
  <si>
    <t>Response of unilamellar DPPC and DPPC:SM vesicles to hypo and hyper osmotic shocks: A comparison</t>
  </si>
  <si>
    <t>CHEMISTRY AND PHYSICS OF LIPIDS</t>
  </si>
  <si>
    <t>DPPC and DPPC:SM large unilamellar vesicles (LUVs), prepared by extrusion, readily respond to osmotic shocks (hypo- and hyper-osmotic) by water influx/efflux (evaluated by changes in turbidity) and by entrapped calcein liberation (measured by an increase in dye fluorescence intensity). On the other hand, small unilamellar vesicles (SUVs) prepared by sonication are almost osmotically insensitive. LUVs water transport, both in hypo- and hyper-osmotic conditions, takes place faster than calcein ejection towards the external solvent. Similarly, response to a hypotonic imbalance is faster than that associated to a hypertonic stress. This difference is particularly noticeable for the increase in calcein fluorescence intensity and can be related to the large reorganization of the bilayer needed to form pores and/or to adsorb the dye to the inner leaflet of the vesicle after water efflux. Conversely, addition of SM to the vesicles barely modify the rate of calcein permeation across the bilayer. (C) 2015 Elsevier Ireland Ltd. All rights reserved.</t>
  </si>
  <si>
    <t>Calderon, cristian/GQA-7422-2022; Ahumada, Manuel/L-2401-2018</t>
  </si>
  <si>
    <t>Ahumada, Manuel/0000-0002-0589-3296</t>
  </si>
  <si>
    <t>0009-3084</t>
  </si>
  <si>
    <t>1873-2941</t>
  </si>
  <si>
    <t>10.1016/j.chemphyslip.2015.05.001</t>
  </si>
  <si>
    <t>WOS:000356743700006</t>
  </si>
  <si>
    <t>Romanova, NV; Pilipenko, VA; Stepanova, MV</t>
  </si>
  <si>
    <t>Romanova, N. V.; Pilipenko, V. A.; Stepanova, M. V.</t>
  </si>
  <si>
    <t>On the magnetic precursor of the Chilean earthquake of February 27, 2010</t>
  </si>
  <si>
    <t>GEOMAGNETISM AND AERONOMY</t>
  </si>
  <si>
    <t>Some recent publications reported on an anomalous geomagnetic disturbance that was observed three days before the strongest Chilean earthquake on February 27, 2010. The present paper analyzes in detail the data from magnetic station, photometers, and riometers in Canada, Chile, and Antarctica. The analysis unambiguously shows that the supposedly anomalous geomagnetic disturbance was not related to seismic activity and was caused by a standard isolated substorm.</t>
  </si>
  <si>
    <t>Romanova, Natalia/O-5195-2014; Stepanova, Marina/D-6329-2011</t>
  </si>
  <si>
    <t>Romanova, Natalia/0000-0003-2956-3299; Stepanova, Marina/0000-0002-1053-3375</t>
  </si>
  <si>
    <t>0016-7932</t>
  </si>
  <si>
    <t>1555-645X</t>
  </si>
  <si>
    <t>10.1134/S0016793215010107</t>
  </si>
  <si>
    <t>WOS:000352651700010</t>
  </si>
  <si>
    <t>Matiacevich, S; Riquelme, N; Herrera, ML</t>
  </si>
  <si>
    <t>Matiacevich, Silvia; Riquelme, Natalia; Lidia Herrera, Maria</t>
  </si>
  <si>
    <t>Conditions to Prolonged Release of Microencapsulated Carvacrol on Alginate Films as Affected by Emulsifier Type and PH</t>
  </si>
  <si>
    <t>INTERNATIONAL JOURNAL OF POLYMER SCIENCE</t>
  </si>
  <si>
    <t>Alginate from algal biomass is used as edible film and the incorporation of antimicrobial agents improves its performance to increase the shelf-life of fresh foods. However, environmental conditions and intrinsic properties of films influence their release. The aim of this study was to investigate the effect of the concentration and type of encapsulating agent and pH of emulsions on the physical and antimicrobial properties of alginate-carvacrol films. Films containing alginate, carvacrol as antimicrobial agent, and Tween 20 or trehalose (0.25 and 0.75% w/w) as encapsulating agents were obtained from suspensions at pH 4 and pH 8. Physical characterization of emulsions and films and antimicrobial properties (E. coli and B. cinerea) was evaluated. Results showed that droplets size depended on trehalose concentration, but emulsion stability depended on pH and type of encapsulating agent, being more stable samples with trehalose at pH 4. Although films with Tween 20 presented the highest opacity, they showed the best antimicrobial properties at initial time; however, during storage time, they lost their activity before samples with trehalose and relative humidity (RH) was the principal factor to influence their release. Therefore, sample formulated with 0.25% trehalose at pH 4 and stored at 75% RH had the best potential as edible film for fresh fruits.</t>
  </si>
  <si>
    <t>1687-9422</t>
  </si>
  <si>
    <t>1687-9430</t>
  </si>
  <si>
    <t>10.1155/2015/173193</t>
  </si>
  <si>
    <t>WOS:000366427700001</t>
  </si>
  <si>
    <t>Moya, SA; López, R; Pérez-Zúñiga, C; Yáñez, M; Aguirre, P</t>
  </si>
  <si>
    <t>Moya, S. A.; Lopez, R.; Perez-Zuniga, C.; Yanez, M.; Aguirre, P.</t>
  </si>
  <si>
    <t>Synthesis and characterization of ruthenium(II) complexes incorporating 4-phenyl-terpyridine and triphenylphosphine</t>
  </si>
  <si>
    <t>JOURNAL OF COORDINATION CHEMISTRY</t>
  </si>
  <si>
    <t>The syntheses of two new series of ruthenium(II) complexes incorporating substituted 4-phenyl-terpyridine, triphenylphosphine, and chloride (A Series) or hydride (B Series) are reported. In both series 4-phenyl-terpyridine incorporated substituents of varying electronic character at the 4-position: 4-(4-chlorophenyl)-2,2:6,2-terpyridine (ClPh-tpy); 4-(4-nitrophenyl)-2,2:6,2-terpyridine (NO2Ph-tpy) and 4-(4-methoxyphenyl)-2,2:6,2-terpyridine (OMePh-tpy). The complexes have been characterized by elemental analysis and UV-vis, IR, and NMR spectroscopy and their electrochemical properties studied. The substituents on the 4-phenyl-terpyridine ligand influence the properties of the metal center. For all complexes prepared, (max) of a characteristic low energy band in the UV-vis spectrum was found to move to shorter wavelengths as the solvent polarity increased (a hypsochromic shift). For the B series complexes, the low energy band was broader and undergoes a small shift to lower frequencies as a result of the substitution of chloride by a hydride. The H-1 and P-31 NMR spectra clearly indicate that the geometry of the 4-phenyl-terpyridine ligand is meridional in the complexes, with the two triphenylphosphines trans to each other. Upon optimization of the experimental procedures the yields increased to 70% for the B series complexes.</t>
  </si>
  <si>
    <t>Tec-López, René/JJF-2309-2023</t>
  </si>
  <si>
    <t>0095-8972</t>
  </si>
  <si>
    <t>1029-0389</t>
  </si>
  <si>
    <t>10.1080/00958972.2015.1047357</t>
  </si>
  <si>
    <t>WOS:000357867600004</t>
  </si>
  <si>
    <t>Pereda, J; Sulz, L; San Martin, S; Godoy-Guzmán, C</t>
  </si>
  <si>
    <t>Pereda, J.; Sulz, L.; San Martin, S.; Godoy-Guzman, C.</t>
  </si>
  <si>
    <t>The human lung during the embryonic period: vasculogenesis and primitive erythroblasts circulation</t>
  </si>
  <si>
    <t>JOURNAL OF ANATOMY</t>
  </si>
  <si>
    <t>Vascularization and blood cell circulation are crucial steps during lung development. However, how blood vessels are generated and when lung circulation is initiated is still a matter of debate. A morpho-functional analysis of pulmonary vasculature was done using human lung samples between 31 and 56days post-fertilization (pf). The immunolocalization and expression of CD31, CD34, FLT-1, KDR and the vascular growth factor (VEGF) were investigated. The results showed that at day 31pf, a capillary plexus is already installed, and a few primitive erythroblasts were seen for the first time within the lumen of some blood vessels. Around day 45pf, an increase in the amount of primitive erythroblasts was detected in the parenchyma surrounding the distal segment of the bronchial tree. The expression of FLT-1, KDR, CD31 and CD34 was observed in endothelial cells of the capillary plexus and the VEGF was detected in the endodermal epithelium. Our results support the hypothesis that the initial formation of the capillary plexus around the tip of the growing airway bud occurs by vasculogenesis, probably regulated by VEGF and KDR. We also showed a very early onset of blood circulation, starting from day 34pf, concomitant with the generation of new lung buds. In addition, the increasing number of primitive erythroblasts from week 6 onward, associated with a change in the shape of the blood vessels, suggests a remodeling process and that the generation of new distal vessels at the tip of the lung bud occurs mainly by a process of angiogenesis.</t>
  </si>
  <si>
    <t>Godoy-Guzman, Carlos Ignacio/IUO-1065-2023; San Martin, Sebastian/S-5268-2019</t>
  </si>
  <si>
    <t>Godoy-Guzman, Carlos/0000-0001-8451-7047; San Martin, Sebastian/0000-0002-2569-1114</t>
  </si>
  <si>
    <t>0021-8782</t>
  </si>
  <si>
    <t>1469-7580</t>
  </si>
  <si>
    <t>10.1111/joa.12042</t>
  </si>
  <si>
    <t>WOS:000317905900001</t>
  </si>
  <si>
    <t>Betancur, C; Carrillo, J; Vargas, C</t>
  </si>
  <si>
    <t>Betancur, C.; Carrillo, J.; Vargas, C.</t>
  </si>
  <si>
    <t>Sleep-disordered breathing and its association with depressive syndrome</t>
  </si>
  <si>
    <t>JOURNAL OF SLEEP RESEARCH</t>
  </si>
  <si>
    <t>21st Congress of the European-Sleep-Research-Society</t>
  </si>
  <si>
    <t>SEP 04-08, 2012</t>
  </si>
  <si>
    <t>Paris, FRANCE</t>
  </si>
  <si>
    <t>European Sleep Res Soc</t>
  </si>
  <si>
    <t>Vargas, Claudio/AAX-6076-2020</t>
  </si>
  <si>
    <t>0962-1105</t>
  </si>
  <si>
    <t>WOS:000307963201272</t>
  </si>
  <si>
    <t>Flores, EIS; DiazDelaO, FA; Friswell, MI; Sienz, J</t>
  </si>
  <si>
    <t>Saavedra Flores, E. I.; DiazDelaO, F. A.; Friswell, M. I.; Sienz, J.</t>
  </si>
  <si>
    <t>A computational multi-scale approach for the stochastic mechanical response of foam-filled honeycomb cores</t>
  </si>
  <si>
    <t>This paper investigates the uncertainty in the mechanical response of foam-filled honeycomb cores by means of a computational multi-scale approach. A finite element procedure is adopted within a purely kinematical multi-scale constitutive modelling framework to determine the response of a periodic arrangement of aluminium honeycomb core filled with PVC foam. By considering uncertainty in the geometric properties of the microstructure, a significant computational cost is added to the solution of a large set of microscopic equilibrium problems. In order to tackle this high cost, we combine two strategies. Firstly, we make use of symmetry conditions present in a representative volume element of material. Secondly, we build a statistical approximation to the output of the computer model, known as a Gaussian process emulator. Following this double approach, we are able to reduce the cost of performing uncertainty analysis of the mechanical response. In particular, we are able to estimate the 5th, 50th, and 95th percentile of the mechanical response without resorting to more computationally expensive methods such as Monte Carlo simulation. We validate our results by applying a statistical adequacy test to the emulator. (C) 2012 Published by Elsevier Ltd.</t>
  </si>
  <si>
    <t>Flores, Erick/I-7646-2012; Sienz, Johann/A-9597-2008; Friswell, Michael/B-5581-2009</t>
  </si>
  <si>
    <t>10.1016/j.compstruct.2011.11.001</t>
  </si>
  <si>
    <t>WOS:000302980400037</t>
  </si>
  <si>
    <t>Irarrazaval, P; Lizama, C; Parot, V; Sing-Long, C; Tejos, C</t>
  </si>
  <si>
    <t>Irarrazaval, Pablo; Lizama, Carlos; Parot, Vicente; Sing-Long, Carlos; Tejos, Cristian</t>
  </si>
  <si>
    <t>The fractional Fourier transform and quadratic field magnetic resonance imaging</t>
  </si>
  <si>
    <t>COMPUTERS &amp; MATHEMATICS WITH APPLICATIONS</t>
  </si>
  <si>
    <t>The fractional Fourier transform (FrFT) is revisited in the framework of strongly continuous periodic semigroups to restate known results and to explore new properties of the FrFT. We then show how the FrFT can be used to reconstruct Magnetic Resonance (MR) images acquired under the presence of quadratic field inhomogeneity. Particularly, we prove that the order of the FrFT is a measure of the distortion in the reconstructed signal. Moreover, we give a dynamic interpretation to the order as time evolution of a function. We also introduce the notion of p-a space as an extension of the Fourier or k-space in MR, and we use it to study the distortions introduced in two common MR acquisition strategies. We formulate the reconstruction problem in the context of the FrFT and show how the semigroup theory allows us to find new reconstruction formulas for discrete sampled signals. Finally, the results are supplemented with numerical examples that show how it performs in a standard 10 MR signal reconstruction. (C) 2011 Elsevier Ltd. All rights reserved.</t>
  </si>
  <si>
    <t>Irarrazaval, Pablo/F-8232-2013; Parot, Vicente/AAA-1289-2020; Tejos, Cristian/F-8270-2013; Lizama, Carlos/E-5909-2011; Sing-Long Collao, Carlos Alberto/C-5086-2019</t>
  </si>
  <si>
    <t>Tejos, Cristian/0000-0002-8367-155X; Lizama, Carlos/0000-0002-9807-1100; Parot, Vicente/0000-0002-9261-6667; Irarrazaval, Pablo/0000-0002-5186-2642; Sing-Long Collao, Carlos Alberto/0000-0002-2533-2509</t>
  </si>
  <si>
    <t>0898-1221</t>
  </si>
  <si>
    <t>1873-7668</t>
  </si>
  <si>
    <t>10.1016/j.camwa.2011.03.027</t>
  </si>
  <si>
    <t>WOS:000294083500074</t>
  </si>
  <si>
    <t>Almodóvar, I; Ramírez-Rodríguez, O; Barriga, A; Rezende, MC; Araya-Maturana, R</t>
  </si>
  <si>
    <t>Almodovar, Iriux; Ramirez-Rodriguez, Oney; Barriga, Andres; Caroli Rezende, Marcos; Araya-Maturana, Ramiro</t>
  </si>
  <si>
    <t>Electrospray ionization mass spectrometric fragmentation of hydroquinone derivatives</t>
  </si>
  <si>
    <t>RAPID COMMUNICATIONS IN MASS SPECTROMETRY</t>
  </si>
  <si>
    <t>The fragmentation patterns of nine di-, tri- and tetracyclic hydroquinones with potential antitumor activity were rationalized by invoking competing mechanisms that included sterically accelerated homolytic cleavage, Meerwein-type rearrangements and dehydrations through elimination or intramolecular nucleophilic substitution. Copyright (C) 2010 John Wiley &amp; Sons, Ltd.</t>
  </si>
  <si>
    <t>Ramírez-Rodríguez, Oney/N-2053-2016; Caroli, Marcos/H-3570-2019; Araya-Maturana, Ramiro/N-8747-2015</t>
  </si>
  <si>
    <t>Ramirez-Rodriguez, Oney/0000-0002-2752-3966; Araya-Maturana, Ramiro/0000-0002-5082-9146; Almodovar, Iriux/0000-0002-0692-0196; Rezende, Marcos/0000-0003-2040-9009; Barriga, Andres/0000-0003-4375-4155</t>
  </si>
  <si>
    <t>0951-4198</t>
  </si>
  <si>
    <t>JAN 30</t>
  </si>
  <si>
    <t>10.1002/rcm.4868</t>
  </si>
  <si>
    <t>WOS:000285848800013</t>
  </si>
  <si>
    <t>Corsini, G; Karahanian, E; Tello, M; Fernandez, K; Rivero, D; Saavedra, JM; Ferrer, A</t>
  </si>
  <si>
    <t>Corsini, Gino; Karahanian, Eduardo; Tello, Mario; Fernandez, Katia; Rivero, Daniel; Saavedra, Jose Miguel; Ferrer, Alonso</t>
  </si>
  <si>
    <t>Purification and characterization of the antimicrobial peptide microcin N</t>
  </si>
  <si>
    <t>Microcins are low-molecular-weight proteins secreted by certain bacteria that act by limiting the growth of other bacteria that share the same ecological niche. In the present work, the previous microcin 24 system was resequenced. We detected three nucleotide differences in the microcin-coding gene that partially change the amino acid sequence. According to the present microcin nomenclature, we renamed the five genes constituting this microcin system (mcnRINAB), which are arranged in an operon-like structure: mcnR codes for a putative histone-like nucleoid protein regulator; mcnI codes for the immunity protein; mcnN encodes microcin N; and mcnA and mcnB correspond to an ATP-binding cassette transporter system. Purified microcin N has a molecular weight of 7274.23 Da, as determined by MS. This peptide was stable up to 100 degrees C, resistant to treatment with lipase, lysozyme, trypsin, and chymotrypsin, and susceptible to degradation by proteinase K.</t>
  </si>
  <si>
    <t>Tello, Mario/N-4198-2019</t>
  </si>
  <si>
    <t>Corsini, Gino/0000-0002-0418-8616; Tello, Mario/0000-0003-4573-6460; Karahanian, Eduardo/0000-0002-1444-9285</t>
  </si>
  <si>
    <t>10.1111/j.1574-6968.2010.02106.x</t>
  </si>
  <si>
    <t>WOS:000283158700003</t>
  </si>
  <si>
    <t>Berríos, C; Marco, JF; Gutiérrez, C; Ureta-Zañartu, MS</t>
  </si>
  <si>
    <t>Berrios, Cristhian; Marco, Jose F.; Gutierrez, Claudio; Soledad Ureta-Zanartu, Maria</t>
  </si>
  <si>
    <t>Electro-oxidation of chlorophenols at glassy carbon electrodes modified with polyNi(II)complexes</t>
  </si>
  <si>
    <t>The effect of the ligand macrocycle (phenylporphyrin (PP) or phthalocyanine (Pc)) and of the ligand substituent (-NH2 or -SO3-) on the catalytic activity for the electro-oxidation in a pH 11 buffer electrolyte of 2- and 4-chlorophenol (2-CP and 4-CP), 2,4- and 2,6-dichlorophenol (2,4-DCP and 2,6-DCP), 2,4,6-trichlorophenol (2,4,6-TCP), and pentachlorophenol (PCP) at glassy carbon electrodes modified with electropolymerized Ni(II) macrocycles was studied. The polyphenolic residue deposited at the electrode surface was characterized by cyclic voltammetry, impedance measurements, ex situ Fourier transform infrared spectroscopy (FT-IR) and X-ray Photoelectron Spectroscopy (XPS). A band of aliphatic C=O stretching in the IR spectrum of the fouling film produced by potential cycling in 2,4,6-TCP indicated that the aromatic ring had been broken, yielding ketones, aldehydes and/or carboxylic acids. The sulphonated Ni(II) polymers, which showed the Ni(III)/Ni(II) process in the CV, had XP spectra typical of paramagnetic Ni(II), indicating that they contained Ni(OH)(2) clusters. On the contrary, the CVs of the amino Ni(II) did not show the Ni(III)/Ni(II) process at all, this process appearing only after previous activation by potential cycling, and only to a small extent. As was to be expected, the XP spectra of activated amino films corresponded to diamagnetic Ni(II), showing that the concentration of Ni(OH)(2) clusters was very small. The amino films were less active than the sulpho films for the oxidation of chlorophenols, in agreement with the lower concentration of Ni(OH)(2) Clusters in the former films. For all electrodes the highest activity was observed for 2,4,6-TCP, since its oxidation yields a phenolic residue which is much more porous than those produced by the other CPs. (c) 2009 Elsevier Ltd. All rights reserved.</t>
  </si>
  <si>
    <t>Ureta-Zañartu, Maria/G-5239-2019; Marco, JF/N-3176-2014</t>
  </si>
  <si>
    <t>Marco, JF/0000-0002-5147-1449</t>
  </si>
  <si>
    <t>10.1016/j.electacta.2009.06.017</t>
  </si>
  <si>
    <t>WOS:000270646600042</t>
  </si>
  <si>
    <t>Hernández, E; Henríquez, HR; McKibben, MA</t>
  </si>
  <si>
    <t>Hernandez M, Eduardo; Henriquez, Hernan R.; McKibben, Mark A.</t>
  </si>
  <si>
    <t>Existence results for abstract impulsive second-order neutral functional differential equations</t>
  </si>
  <si>
    <t>We establish the existence of mild solutions for a class of impulsive second-order partial neutral functional differential equations with infinite delay in a Banach space. (C) 2009 Published by Elsevier Ltd</t>
  </si>
  <si>
    <t>Hernández, Eduardo/N-4531-2013</t>
  </si>
  <si>
    <t>Hernandez, Eduardo/0000-0002-4279-8570</t>
  </si>
  <si>
    <t>10.1016/j.na.2008.03.062</t>
  </si>
  <si>
    <t>WOS:000264253700028</t>
  </si>
  <si>
    <t>Castro, ME; Molina, R; Díaz, W; Pichuantes, SE; Vásquez, CC</t>
  </si>
  <si>
    <t>Castro, Miguel E.; Molina, Roberto; Diaz, Waldo; Pichuantes, Sergio E.; Vasquez, Claudio C.</t>
  </si>
  <si>
    <t>The dihydrolipoamide dehydrogenase of Aeromonas caviae ST exhibits NADH-dependent tellurite reductase activity</t>
  </si>
  <si>
    <t>BIOCHEMICAL AND BIOPHYSICAL RESEARCH COMMUNICATIONS</t>
  </si>
  <si>
    <t>Potassium tellurite(K2TeO3) is extremely toxic for most forms of life and only a limited number of organisms are naturally resistant to the toxic effects of this compound. Crude extracts prepared from the environmental isolate Aeromonas caviae ST catalize the in vitro reduction of TeO32- in a NADH-dependent reaction Upon. fractionation by ionic exchange column chromatography three major polypeptides identified as the E1, E2, and E3 components of the pyruvate dehydrogenase (PDH) complex were identified in fractions exhibiting tellurite-reducing activity. Tellurite reductase and pyruvate dehydrogenase activities co-eluted from a Sephadex gel filtration column. To determine which component(s) of the PDH complex has tellurite reductase activity, the A. caviae ST structural genes encoding for E1 (aceE), E2 (aceF), and E3 (IpdA) were independently cloned and expressed in Escherichia coli and their gene products purified. Results indicated that tellurite reductase activity lies almost exclusively in the E3 component, dihydrolipoamide dehydrogenase. The E3 component of the PDH complex from E. coli, Zymomonas mobilis, Streptococcus pneumoniae, and Geobacillus stearothermophilus also showed NADH-dependent tellurite reductase in vitro suggesting that this enzymatic activity is widely distributed among microorganisms. (C) 2008 Elsevier Inc. All rights reserved.</t>
  </si>
  <si>
    <t>Molina-Quiroz, Roberto/H-4696-2019</t>
  </si>
  <si>
    <t>0006-291X</t>
  </si>
  <si>
    <t>1090-2104</t>
  </si>
  <si>
    <t>OCT 10</t>
  </si>
  <si>
    <t>10.1016/j.bbrc.2008.07.119</t>
  </si>
  <si>
    <t>WOS:000259253800018</t>
  </si>
  <si>
    <t>Aguilar, C; Ordóñez, S; Marín, J; Castro, F; Martínez, V</t>
  </si>
  <si>
    <t>Aguilar, C.; Ordonez, S.; Marin, J.; Castro, F.; Martinez, V.</t>
  </si>
  <si>
    <t>Study and methods of analysis of mechanically alloyed Cu-Mo powders</t>
  </si>
  <si>
    <t>MATERIALS SCIENCE AND ENGINEERING A-STRUCTURAL MATERIALS PROPERTIES MICROSTRUCTURE AND PROCESSING</t>
  </si>
  <si>
    <t>The microstructural evolution during mechanical alloying of Cu and Mo was studied. The aim of this work is to study the effect of the milling time on the formation of the solid solution of molybdenum in copper, employing variable amounts of Mo (I and 8 at.%). The milling was performed under an inert argon atmosphere in a SPEX 80001) mill. Milling times of 4, 8, 25, 50, 75 and 100 h were used keeping a constant ball to powder ratio of 10-1. The effects of milling parameters such as milling time and composition on the synthesis and structure of Cu-Mo powders were investigated using XRD, nanohardness, differential scanning calorimetry (DSC) and TEM. The results show that the grain size and particle size of powders decrease with increasing milling time. Grain size in samples with 8 at.% Mo approached a minimum value of 20 nm after 50 h, and in samples with 1 at.% Mo, 30 nm after 75 h of milling. Nanohardness shows a maximum about 4 GPa for the alloy with 8 at.% of Mo and 100 h of milling. The measured crystallite size by TEM is in good agreement with the value calculated by XRD. Thermal analyses (DSC) showed the temperature intervals where the dynamic recrystallization would take place. According to these results this phenomenon would happen near 350 degrees C. (c) 2007 Elsevier B.V. All rights reserved.</t>
  </si>
  <si>
    <t>Castro, Fernando/H-6642-2015; Aguilar, Claudio/B-6774-2011</t>
  </si>
  <si>
    <t>0921-5093</t>
  </si>
  <si>
    <t>AUG 25</t>
  </si>
  <si>
    <t>10.1016/j.msea.2007.02.017</t>
  </si>
  <si>
    <t>WOS:000247323100040</t>
  </si>
  <si>
    <t>Bocquet, S; Romero, J; Sanchez, J; Rios, GM</t>
  </si>
  <si>
    <t>Bocquet, S.; Romero, J.; Sanchez, J.; Rios, G. M.</t>
  </si>
  <si>
    <t>Membrane contactors for the extraction process with subcritical carbon dioxide or propane: Simulation of the influence of operating parameters</t>
  </si>
  <si>
    <t>JOURNAL OF SUPERCRITICAL FLUIDS</t>
  </si>
  <si>
    <t>This work focuses on the modelling of solvent extraction processes carried out in a hollow fiber membrane contactor (HFC). A mass transfer model with resistances in series has been adapted to deal with a solvent in subcritical conditions. Three kinds of applications have been chosen to test its validity: extraction of acetone from an aqueous solution by subcritical carbon dioxide or propane in a single fiber module, and extraction of caffeine by subcritical carbon dioxide in a three-fiber module. Modifications in membrane characteristics and operating parameters have been investigated in order to estimate optima conditions. Simulations were carried out considering a partition coefficient between the aqueous and extracting solvents greater or smaller than one. In the first case the predominant transfer resistance is placed in the aqueous boundary layer. Simulations show that membrane parameters do not greatly affect the extraction efficiency in this case (only 2% of increase of the extraction efficiency for an increase of inner diameter of the fiber from 250 to 800 [Lm). In the second case, like for acetone/propane and caffeine/carbon dioxide cases, the resistances in the membrane and in the solvent boundary layer cannot be neglected. In this case, membrane properties have a great effect upon the extraction efficiency (multiplied by 2.7 and 5.5, respectively for acetone/propane and caffeine/carbon dioxide while the porosity to tortuosity ratio ranges from 0.05 to 0.4). (C) 2006 Elsevier B.V. All rights reserved.</t>
  </si>
  <si>
    <t>Romero, Julio/I-6705-2013; Sanchez-Marcano, Jose/E-1445-2012</t>
  </si>
  <si>
    <t>Romero, Julio/0000-0002-1229-1592; Sanchez-Marcano, Jose/0000-0003-1783-2092</t>
  </si>
  <si>
    <t>0896-8446</t>
  </si>
  <si>
    <t>10.1016/j.supflu.2006.10.004</t>
  </si>
  <si>
    <t>WOS:000246468600008</t>
  </si>
  <si>
    <t>Berríos, C; Cárdenas-Jirón, GI; Marco, JF; Gutiérrez, C; Ureta-Zañartu, MS</t>
  </si>
  <si>
    <t>Berrios, Cristhian; Cardenas-Jiron, Gloria I.; Marco, Jose F.; Gutierrez, Claudio; Ureta-Zanartu, Maria Soledad</t>
  </si>
  <si>
    <t>Theoretical and spectroscopic study of nickel(II) porphyrin derivatives</t>
  </si>
  <si>
    <t>A set of substituted (sulfonate, amino) nickel porphyrin derivatives such as phthalocyanine and phenylporphyrin was studied by spectroscopic (UV-vis, FTIR, XPS) and quantum-chemical methods. The Q and Soret bands were identified in the UV-vis spectra of aquo solutions of the tetrasulfo-substituted complexes and in DMF and ACN solutions of the amino-substituted phenylporphyrin and phthalocyanine Ni(II) complexes, respectively. In all the complexes the frontier molecular orbitals predict that the oxidation and reduction sites are localized on the ligand rather than in the metal atom. A natural bonding orbital (NBO) analysis of all the complexes showed that a two-center bond NBO between the pyrrolic nitrogens (N-pyrr) and the nickel atom does not exist, the N-pyrr center dot center dot center dot Ni interaction occurring instead by a delocalization from one lone pair of each N-pyrr toward one lone pair of the nickel atom, as estimated by second-order perturbation theory. The calculated values of electronic transitions between the frontier molecular orbitals are in good agreeement with the UV-vis data. At the theoretical level, we found that while the ligand effect is more important in the Q-band (similar to 16 kcal/mol), the substituent effect is more significant in the Soret band (similar to 9 kcal/mol). A good agreement was also found between the experimental and calculated infrared spectra, which allowed the assignment of many experimental bands. The XPS results indicate that the Ni(II) present in the phenylporphyrin structure is not affected by a change of the substituent (sulfonate or amino).</t>
  </si>
  <si>
    <t>Ureta-Zañartu, Maria/G-5239-2019; Marco, JF/N-3176-2014; Cardenas-Jiron, Gloria/H-9508-2012</t>
  </si>
  <si>
    <t>Marco, JF/0000-0002-5147-1449; Cardenas-Jiron, Gloria/0000-0003-4305-8088</t>
  </si>
  <si>
    <t>APR 12</t>
  </si>
  <si>
    <t>10.1021/jp0653961</t>
  </si>
  <si>
    <t>WOS:000245438600008</t>
  </si>
  <si>
    <t>Pavez, P; Toro-Labbé, A; Encinas, MV</t>
  </si>
  <si>
    <t>Photophysics and photochemistry of nalidixic acid</t>
  </si>
  <si>
    <t>The photophysics and photochemistry of nalidixic acid (NA) were studied as function of pH and solvent properties. The ground state of NA exhibits different protonated forms in the range of pH 1.8-10.0. Fluorescence studies showed that the same species exist at the lowest singlet excited state. Absorption experiments were carried out with NA and with the methylated analog of nalidixic acid (MNE) in different organic solvents and water pH 3, where the main species corresponds to that protonated at the carboxylic group. These studies and the DFT calculation of torsional potential energy profiles suggest that the most stable conformation of the NA in nonprotic solvents corresponds to a closed structure caused by the existence of intramolecular hydrogen bond. Absorption and fluorescence spectra were studied in sulfuric acid solution. The pK value (H-o -1.0) found in these conditions was attributed to the protonation of the 4' keto oxygen atom of the heterocyclic ring. Theoretical calculations (DFT/B3LYP/6-311G*) of the energies of the different monoprotonated forms of the NA and Fukui indexes (f(x)(-)) showed that the species with the proton attached to 4' keto oxygen atom is the most stable of all the cationic forms. MNE and enoxacin also showed the protonation of the 4' keto oxygen atom with similar pK values. The photodecomposition of NA is dependent on the medium properties. Faster decomposition rates were obtained in strong acid solution. In nonprotic solvents, a very slow decomposition rate was observed.</t>
  </si>
  <si>
    <t>Encinas, Maria/L-9686-2014; Toro-Labbe, Alejandro/J-5026-2013; Pavez, Paulina/O-4122-2015</t>
  </si>
  <si>
    <t>Toro-Labbe, Alejandro/0000-0001-9906-2153; Pavez, Paulina/0000-0002-8891-3802</t>
  </si>
  <si>
    <t>10.1562/2005-04-11-RA-488</t>
  </si>
  <si>
    <t>WOS:000235752800037</t>
  </si>
  <si>
    <t>Gonzalez-Quintela, A; Gude, F; Boquete, O; Aguilera, A; Rey, J; Meijide, LM; Fernandez-Merino, MC; Vidal, C</t>
  </si>
  <si>
    <t>Association of hepatitis A virus infection with allergic sensitization in a population with high prevalence of hepatitis A virus exposure</t>
  </si>
  <si>
    <t>ALLERGY</t>
  </si>
  <si>
    <t>Background: An inverse association between allergic sensitization and markers of exposure to food-borne and orofecal infections (particularly hepatitis A virus, HAV) has been reported. The prevalence of HAV exposure and allergic sensitization vary widely in different areas, and vary along with age within a given area. Aim: To investigate the association between HAV exposure and allergic sensitization in adults from a mostly rural area of Spain. Methods: An age-stratified random sample of 720 subjects was drawn from the population older than 18 years of A-Estrada, Spain. From 697 eligible subjects, 469 (67.2%, median age 54 years, range: 18-92) participated in the study. Positive skin prick tests to a panel of aeroallergens defined allergic sensitization. Positive serum HAV antibodies (assayed in 465 subjects) defined HAV exposure. Results: The prevalence of HAV exposure was 83.6% (95% CI: 80.7-86.5). The prevalence of allergic sensitization was lower in subjects with HAV exposure than in patients without it (25.0%vs 40.0%, OR 0.44, 95% CI: 0.25-0.77, P = 0.004), but this association became substantially altered after adjusting for age, which was closely linked to both allergic sensitization and HAV exposure (adjusted OR 1.15, 95% CI: 0.60-2.19, P = 0.66). Conclusions: In a population with high prevalence of HAV exposure, no significant association between HAV exposure and allergic sensitization is observed after controlling for the confounding effect of age.</t>
  </si>
  <si>
    <t>Antela, Antonio/JZT-8628-2024; Aguilera, Antonio/L-6586-2018</t>
  </si>
  <si>
    <t>Gonzalez-Quintela, Arturo/0000-0002-6909-1807; Aguilera, Antonio/0000-0001-6940-241X</t>
  </si>
  <si>
    <t>0105-4538</t>
  </si>
  <si>
    <t>1398-9995</t>
  </si>
  <si>
    <t>10.1111/j.1398-9995.2005.00682.x</t>
  </si>
  <si>
    <t>WOS:000225535900016</t>
  </si>
  <si>
    <t>Alguacil, FJ; Alonso, M; López-Delgado, A; Navarro, P</t>
  </si>
  <si>
    <t>Modelling copper (II) liquid-liquid extraction:: the system Acorga M5640-Exxsol D100-CuSO4-H2SO4</t>
  </si>
  <si>
    <t>JOURNAL OF CHEMICAL RESEARCH</t>
  </si>
  <si>
    <t>A predictive model, which consists in a set of non-linear mass action and mass balance equations solved by using a taylor-made equation-solving program, is used as a basis to predict experimentally measured distribution coefficients for the Acorga M5640-Exxsol D100-CuSO4-H2SO4 liquid-liquid extraction system at 20degreesC and aqueous copper concentrations in the range 0.0016-0.0032 mol l(-1). The model is also used to obtain the copper loading isotherm at various equilibrium aqueous pH values.</t>
  </si>
  <si>
    <t>Lopez-Delgado, Aurora/D-3785-2012</t>
  </si>
  <si>
    <t>Lopez-Delgado, Aurora/0000-0002-0121-9501; alguacil, francisco jose/0000-0002-0247-3384</t>
  </si>
  <si>
    <t>1747-5198</t>
  </si>
  <si>
    <t>2047-6507</t>
  </si>
  <si>
    <t>WOS:000221766800011</t>
  </si>
  <si>
    <t>Pardey, AJ; Brito, J; Rivas, AB; Ortega, MC; Longo, C; Baricelli, P; Lujano, E; Yañez, M; Zuñiga, C; Lopez, R; Moya, SA</t>
  </si>
  <si>
    <t>Hydroformylation and isomerization of alkenes catalyzed by [Rh(COD)(Amine)2]PF6 complexes immobilized on poly(4-vinylpyridine) under CO/H2O conditions</t>
  </si>
  <si>
    <t>Reported here is the catalytic studies of the hydroformylation and the isomerization of 1-hexene to aldehydes (heptanal and 2-methyl-hexanal) and 2-hexene, respectively by [Rh(COD)(amine)(2)]PF6 complexes (COD = 1,5-cyclooctadiene, amine = 4-picoline, 2-picoline or 2,6-lutidine) immobilized on poly(4-vinylpyridine) in contact with 10 mL of 80% aqueous 2-ethoxyethanol, under CO atmosphere (0.9 atm at 100 degreesC). The results of these studies show the following reactivity order defined as Turnover Frequencies for aldehydes production: 2-picoline {2.9} &gt; 4-picoline {2.6} &gt; 2,6-lutidine {2.4}. The electronics and steric effects induced by the amine ligands apparently influence on the observed catalytic activities. The [Rh(COD)(2-picoline)(2)]PF6/poly(4-vinylpyridine) system also catalyzed the hydroformylation and isomerization of 1-octene.</t>
  </si>
  <si>
    <t>Brito, Jose Angel/0009-0001-9114-0572; Zuniga, Cesar/0009-0004-8736-6861</t>
  </si>
  <si>
    <t>0717-9324</t>
  </si>
  <si>
    <t>WOS:000183467400010</t>
  </si>
  <si>
    <t>Vargas, P; Muñoz, E; Flores, M; Altbir, D</t>
  </si>
  <si>
    <t>Effect of size distribution on magetization in a two-dimensional system of magnetic granules with uniaxial anistropy</t>
  </si>
  <si>
    <t>REVISTA MEXICANA DE FISICA</t>
  </si>
  <si>
    <t>12th Chilean Symposium of Physics</t>
  </si>
  <si>
    <t>NOV 22-24, 2000</t>
  </si>
  <si>
    <t>SANTIAGO, CHILE</t>
  </si>
  <si>
    <t>We characterize the magnetic blocking in a two dimensional sample (2D) containing nanometei- size magnets with, in plane, random distribution of uniaxial anisotropy axis. We show Zero Field Cooled (ZFC) and Field Cooled (FC) Curves for different size distributions. The effect of the random distribution of anisotropy axis is to determine the minimum width of the ZFC curve. The asymmetry of the size distribution also contributes to the broadening of the ZFC curve and to the shift of blocking temperature (T-B).</t>
  </si>
  <si>
    <t>Altbir, Dora/R-6781-2018; Vargas, Patricio/AAL-2633-2020; Munoz, Enrique/D-7237-2013; Flores Carrasco, Marcos/E-8058-2012</t>
  </si>
  <si>
    <t>Munoz, Enrique/0000-0003-4457-0817; Flores Carrasco, Marcos/0000-0002-9766-2830</t>
  </si>
  <si>
    <t>0035-001X</t>
  </si>
  <si>
    <t>WOS:000180065500009</t>
  </si>
  <si>
    <t>Gumucio, CP; Bamat, T</t>
  </si>
  <si>
    <t>Globalization and popular Catholicism - Introduction</t>
  </si>
  <si>
    <t>10.1177/003776898045004001</t>
  </si>
  <si>
    <t>WOS:000077857800001</t>
  </si>
  <si>
    <t>Labbe, R; Pinton, JF; Fauve, S</t>
  </si>
  <si>
    <t>Power fluctuations in turbulent swirling flows</t>
  </si>
  <si>
    <t>JOURNAL DE PHYSIQUE II</t>
  </si>
  <si>
    <t>We report an experimental study of the temporal fluctuations of the total power injected in a swirling flow generated in the gap between two coaxial disks, counter-rotating at a fixed velocity. We use either a free geometry in air or a shrouded one, i.e. with the disks enclosed in a cylindrical vessel. We show that the fluctuations of the power injection are large in both cases (rms amplitude up to 10% of the mean value), but that their statistical properties are qualitatively different. When the flow is confined in a cylindrical vessel, we find that the PDF of the power fluctuations is strongly non-Gaussian and we study the correlations between the power fluctuations and the pressure field at the boundary.</t>
  </si>
  <si>
    <t>Labbe, Raul/C-4581-2008</t>
  </si>
  <si>
    <t>Labbe, Raul/0000-0003-4233-8387</t>
  </si>
  <si>
    <t>1155-4312</t>
  </si>
  <si>
    <t>10.1051/jp2:1996118</t>
  </si>
  <si>
    <t>WOS:A1996UV08000011</t>
  </si>
  <si>
    <t>Bastías, C; Pérez, Y; Kessi-Pérez, EI; Guillamón, JM; Martínez, C</t>
  </si>
  <si>
    <t>Bastias, Camila; Perez, Yosbany; Kessi-Perez, Eduardo I.; Guillamon, Jose Manuel; Martinez, Claudio</t>
  </si>
  <si>
    <t>Specific Point Mutations in the RRT5 Gene Modulate Fermentative Phenotypes of an Industrial Wine Yeast</t>
  </si>
  <si>
    <t>FERMENTATION-BASEL</t>
  </si>
  <si>
    <t>Saccharomyces cerevisiae is a yeast species of industrial importance due to its role in the production of several alcoholic beverages, including wine. During wine fermentation, S. cerevisiae must be able to cope with several stresses, such as limited nitrogen availability; nitrogen deficiencies in grape must could lead to stuck or sluggish fermentations, generating for the wine industry significant economic losses. A microbiological alternative to this problem is the generation of yeast strains with low nitrogen requirements for fermentation. In this context, it is important to study the natural diversity regarding adaptation to low nitrogen conditions, especially in terms of searching for beneficial alleles with potential industrial applications. In the present work, we validated the impact of specific SNPs present in the RRT5 gene in an industrial genetic background (T73 strain), analyzing both growth kinetics under microculture conditions and fermentative phenotypes in a larger volume. In this way, we were able to validate that these SNPs do indeed have an impact on the growth kinetics and fermentative capabilities of this strain, although the particular effect depends on the type of must used (synthetic or natural) and the nitrogen content (limiting or non-limiting). In particular, one mutation (601A&gt;C) caused slower fermentation kinetics in the nitrogen-limited natural must but did not affect the ethanol produced or the amount of sugars consumed, in addition to producing more glycerol and consuming less phenylalanine, which could have a positive impact on the organoleptic properties of the wine produced and therefore an industrial potential. To our knowledge, this is the first work linking RRT5 to fermentative phenotypes, and the genetic variants validated could have industrial potential for the wine industry.</t>
  </si>
  <si>
    <t>Kessi, Eduardo/AAI-2566-2019; Guillamon, Jose/AAB-4251-2019; bastias, camila/LIG-8607-2024; Martinez, Claudio/MGS-9961-2025; Guillamon, Jose/I-2040-2015</t>
  </si>
  <si>
    <t>Guillamon, Jose/0000-0001-5414-0787; Kessi, Eduardo/0000-0003-4225-9486</t>
  </si>
  <si>
    <t>2311-5637</t>
  </si>
  <si>
    <t>10.3390/fermentation11020088</t>
  </si>
  <si>
    <t>WOS:001431156600001</t>
  </si>
  <si>
    <t>Ojeda, AH; Jofré-Saldía, E; Barahona-Fuentes, G; Yeomans-Cabrera, MM; Bravo, M</t>
  </si>
  <si>
    <t>Ojeda, Alvaro Huerta; Jofre-Saldia, Emilio; Barahona-Fuentes, Guillermo; Yeomans-Cabrera, Maria-Mercedes; Bravo, Maximiliano</t>
  </si>
  <si>
    <t>Environmental pollution and health in Chilean older adults: Impact on quality of life and functional autonomy</t>
  </si>
  <si>
    <t>HEALTH SCIENCE REPORTS</t>
  </si>
  <si>
    <t>Background and Aims: Due to increased urbanization and industry, environmental pollution is a serious public health concern. Globally, the quality of life is particularly lowered by exposure to high amounts of particulate matter (PM). Chile has five industrial zones with high pollution levels, called sacrifice zones. However, the effect of polluted air on the quality of life and functional autonomy (FA) of older people living in industrial zones with high pollution levels is unknown. Therefore, this study aimed to determine the quality of life and FA differences between Chilean older women (OW) living in areas with lower and higher PM levels. Materials and Methods: Seventy-two OW volunteered for this study. The sample was divided into Zone 1 (PM2.5 &lt;= 15 mu g/m(3), n = 36) and Zone 2 (PM2.5 &gt; 15 mu g/m(3), n = 36). The variables were quality of life-assessed through the SF-36v2.0 questionnaire, and FA-assessed through the GDLAM protocols. Differences between zones were tested by Student's t-test and Mann-Whitney test, both for independent samples (p &lt; 0.05). Results: All eight dimensions of quality of life were lower in Zone 2, of which the role emotional (RE) showed significant differences between zones (p &lt; 0.05). Performance on the GDLAM protocols and the FA index were lower in Zone 2 (p &gt; 0.05). Conclusion: OW in Zone 2 showed lower quality of life and FA. PM could affect the older population's physical and mental health and, therefore, the quality of life.</t>
  </si>
  <si>
    <t>Barahona-Fuentes, Guillermo/ADS-1163-2022; Yeomans-Cabera, Maria-Mercedes/AAT-2280-2021; Huerta Ojeda, Alvaro/AAE-7104-2021</t>
  </si>
  <si>
    <t>Yeomans-Cabera, Maria-Mercedes/0000-0003-2138-3007; Yapur, Maximiliano/0000-0002-4703-9178; Huerta Ojeda, Alvaro/0000-0001-6871-098X; Jofre-Saldia, Emilio/0000-0002-6726-9798; Barahona-Fuentes, Guillermo Daniel Felipe/0000-0003-4913-9321</t>
  </si>
  <si>
    <t>2398-8835</t>
  </si>
  <si>
    <t>e1890</t>
  </si>
  <si>
    <t>10.1002/hsr2.1890</t>
  </si>
  <si>
    <t>WOS:001167326800001</t>
  </si>
  <si>
    <t>McSherry, J. Patrice</t>
  </si>
  <si>
    <t>Memory and History in Argentine Popular Music</t>
  </si>
  <si>
    <t>10.1017/tam.2023.117</t>
  </si>
  <si>
    <t>WOS:001194085300020</t>
  </si>
  <si>
    <t>Dintrans, PV; Gazmuri, J; Velasco, C</t>
  </si>
  <si>
    <t>Dintrans, Pablo Villalobos; Gazmuri, Javiera; Velasco, Carolina</t>
  </si>
  <si>
    <t>The Economic Value of Caregiving in Chile</t>
  </si>
  <si>
    <t>Population aging will increase the demand for long-term care services. Many countries, including Chile, have not implemented comprehensive responses to address these demands, relying on informal care. This article aims to estimate the economic value of caregiving in Chile, contributing to filling a gap in the literature and the policy debate. Economic value is estimated using replacement and opportunity cost approaches using two nationally representative databases: one survey on time use (to estimate hours of caregiving) and one on socioeconomic characterization (to identify caregivers and wages). Regressions for the determinants of caregiving effort and wages in the formal labor market are used to calculate the market value of caregiving time. Results show that the yearly value of caregiving ranges between US$266 million (when assuming a wage equal to the minimum wage for all caregivers) and US$4,946 million (when replacing all caregivers with nurses), i.e. between 0.11% and 1.95% of the country's gross domestic product. The analysis provides several estimations of the economic value of caregivers in Chile and, even considering these calculations can be underestimated, the results show the need to highlight and value the contribution of caregivers and implement policies to address the increase in long-term care needs in the country.</t>
  </si>
  <si>
    <t>Dintrans, Pablo/AAM-6248-2020</t>
  </si>
  <si>
    <t>Gazmuri, Javiera/0009-0000-8791-999X; Villalobos Dintrans, Pablo/0000-0002-2236-6447</t>
  </si>
  <si>
    <t>JUL 3</t>
  </si>
  <si>
    <t>10.1080/08959420.2023.2284576</t>
  </si>
  <si>
    <t>WOS:001119162200001</t>
  </si>
  <si>
    <t>Castro, JI; Araujo-Rodríguez, DG; Valencia-Llano, CH; Tenorio, DL; Saavedra, M; Zapata, PA; Grande-Tovar, CD</t>
  </si>
  <si>
    <t>Castro, Jorge Ivan; Araujo-Rodriguez, Daniela G.; Valencia-Llano, Carlos Humberto; Tenorio, Diego Lopez; Saavedra, Marcela; Zapata, Paula A.; Grande-Tovar, Carlos David</t>
  </si>
  <si>
    <t>Biocompatibility Assessment of Polycaprolactone/Polylactic Acid/Zinc Oxide Nanoparticle Composites under In Vivo Conditions for Biomedical Applications</t>
  </si>
  <si>
    <t>PHARMACEUTICS</t>
  </si>
  <si>
    <t>The increasing demand for non-invasive biocompatible materials in biomedical applications, driven by accidents and diseases like cancer, has led to the development of sustainable biomaterials. Here, we report the synthesis of four block formulations using polycaprolactone (PCL), polylactic acid (PLA), and zinc oxide nanoparticles (ZnO-NPs) for subdermal tissue regeneration. Characterization by Fourier transform infrared spectroscopy (FT-IR) and X-ray diffraction (XRD) confirmed the composition of the composites. Additionally, the interaction of ZnO-NPs mainly occurred with the C=O groups of PCL occurring at 1724 cm-1, which disappears for F4, as evidenced in the FT-IR analysis. Likewise, this interaction evidenced the decrease in the crystallinity of the composites as they act as crosslinking points between the polymer backbones, inducing gaps between them and weakening the strength of the intermolecular bonds. Thermogravimetric (TGA) and differential scanning calorimetry (DSC) analyses confirmed that the ZnO-NPs bind to the carbonyl groups of the polymer, acting as weak points in the polymer backbone from where the different fragmentations occur. Scanning electron microscopy (SEM) showed that the increase in ZnO-NPs facilitated a more compact surface due to the excellent dispersion and homogeneous accumulation between the polymeric chains, facilitating this morphology. The in vivo studies using the nanocomposites demonstrated the degradation/resorption of the blocks in a ZnO-NP-dependant mode. After degradation, collagen fibers (Type I), blood vessels, and inflammatory cells continue the resorption of the implanted material. The results reported here demonstrate the relevance and potential impact of the ZnO-NP-based scaffolds in soft tissue regeneration.</t>
  </si>
  <si>
    <t>Tovar, Carlos/J-9638-2019; Valencia Llano, Carlos Humberto/KZU-6023-2024</t>
  </si>
  <si>
    <t>Lopez Tenorio, Diego/0009-0002-5855-0497; Zapata, Paula Andrea/0000-0003-3361-6226; Valencia Llano, Carlos Humberto/0000-0003-4892-9786; castro castro, jorge ivan/0000-0003-1930-6598; Grande Tovar, Carlos David/0000-0002-6243-4571</t>
  </si>
  <si>
    <t>1999-4923</t>
  </si>
  <si>
    <t>10.3390/pharmaceutics15092196</t>
  </si>
  <si>
    <t>WOS:001075271700001</t>
  </si>
  <si>
    <t>Gamboa, J; Méndez, F; López-Sarrion, J</t>
  </si>
  <si>
    <t>Gamboa, J.; Mendez, F.; Lopez-Sarrion, Justo</t>
  </si>
  <si>
    <t>Bose-Einstein condensation theory for any integer spin: Approach based in noncommutative quantum mechanics</t>
  </si>
  <si>
    <t>A Bose-Einstein condensation theory for any integer spin using noncommutative quantum mechanics methods is considered. The effective potential is derived as a multipolar expansion in the non-commutativity parameter (??) and, at second order in ??, our procedure yields to the standard dipole-dipole interaction with ??(2) playing the role of the strength interaction parameter. The generalized Gross-Pitaevskii equation containing nonlocal dipolar contributions is found. For 52Cr isotopes ?? = Cdd/4 pi becomes &amp; SIM;10-11cm and, thus for this value of ?? one cannot distinguish interactions coming from non-commutativity or those of dynamical origin.</t>
  </si>
  <si>
    <t>35-36</t>
  </si>
  <si>
    <t>10.1142/S0217732322502376</t>
  </si>
  <si>
    <t>WOS:000938319300002</t>
  </si>
  <si>
    <t>Borrero-de Acuña, JMB; Poblete-Castro, I</t>
  </si>
  <si>
    <t>Borrero-de Acuna, Jose Manuel; Poblete-Castro, Ignacio</t>
  </si>
  <si>
    <t>Rational engineering of natural polyhydroxyalkanoates producing microorganisms for improved synthesis and recovery</t>
  </si>
  <si>
    <t>MICROBIAL BIOTECHNOLOGY</t>
  </si>
  <si>
    <t>Microbial production of biopolymers derived from renewable substrates and waste streams reduces our heavy reliance on petrochemical plastics. One of the most important biodegradable polymers is the family of polyhydroxyalkanoates (PHAs), naturally occurring intracellular polyoxoesters produced for decades by bacterial fermentation of sugars and fatty acids at the industrial scale. Despite the advances, PHA production still suffers from heavy costs associated with carbon substrates and downstream processing to recover the intracellular product, thus restricting market positioning. In recent years, model-aided metabolic engineering and novel synthetic biology approaches have spurred our understanding of carbon flux partitioning through competing pathways and cellular resource allocation during PHA synthesis, enabling the rational design of superior biopolymer producers and programmable cellular lytic systems. This review describes these attempts to rationally engineering the cellular operation of several microbes to elevate PHA production on specific substrates and waste products. We also delve into genome reduction, morphology, and redox cofactor engineering to boost PHA biosynthesis. Besides, we critically evaluate engineered bacterial strains in various fermentation modes in terms of PHA productivity and the period required for product recovery.</t>
  </si>
  <si>
    <t>Poblete-Castro, Ignacio/J-2755-2019; Borrero de Acuna, Jose Manuel/AAT-7277-2020</t>
  </si>
  <si>
    <t>Poblete-Castro, Ignacio/0000-0001-6649-0389; Borrero de Acuna, Jose Manuel/0000-0002-6409-8110</t>
  </si>
  <si>
    <t>1751-7915</t>
  </si>
  <si>
    <t>10.1111/1751-7915.14109</t>
  </si>
  <si>
    <t>JUL 2022</t>
  </si>
  <si>
    <t>WOS:000821151400001</t>
  </si>
  <si>
    <t>Aguayo, T; Contreras-Salinas, S; Giebeler, C</t>
  </si>
  <si>
    <t>Aguayo, Tatiana; Contreras-Salinas, Sylvia; Giebeler, Cornelia</t>
  </si>
  <si>
    <t>Bilingual Intercultural Education in Chile: The Challenge of a Traditional Educator</t>
  </si>
  <si>
    <t>REVISTA EDUCACION</t>
  </si>
  <si>
    <t>The acknowledgement of indigenous people within the politics of intercultural education continues to be rooted in a functional and assimilationist approach, in which intercultural education is developed without touching the structures of power-knowledge, generating a hegemony of school learning. In this context, an ethnographic research is carried out, which was carried out in a school located in the commune of Alto Biobio, in Chile. Individual and group interviews, participant observation, audio and image records were used, with the aim to understand the experience of a traditional educator in an educational establishment, within the framework of the Intercultural Bilingual Education Program. The educator's accounts were analyzed from the phenomenological perspective of inhabiting, identifying those categories that show how she promotes the recognition and self-creation of her own, that is, of the Pehuenche. Among the findings, it is established that the main processes that the educator mobilizes to inhabit the school are translation-articulation. However, these processes are not exempt from the epistemological challenges originating from the school structure. It is concluded that intercultural education depends on the pedagogical practice of going to the community's own places, trying to rescue the meaning that the community has given to the various experiences. Among the recommendations, it is suggested to consider in the pedagogical reflections the translation and articulation processes that make up the practices proposed by the traditional educator, in addition to making these processes explicit and problematizing, since they arc not only important in intercultural education initiatives, but in all practices pedagogical that tries to be appropriate and culturally sustainable.</t>
  </si>
  <si>
    <t>0379-7082</t>
  </si>
  <si>
    <t>2215-2644</t>
  </si>
  <si>
    <t>JUL-DEC</t>
  </si>
  <si>
    <t>10.15517/revedu.v46i2.47915</t>
  </si>
  <si>
    <t>WOS:000822501500033</t>
  </si>
  <si>
    <t>Seguin, AK; Cruz, C; Venegas-Yazigi, D; Paredes-García, V</t>
  </si>
  <si>
    <t>Seguin, A. K.; Cruz, C.; Venegas-Yazigi, D.; Paredes-Garcia, V.</t>
  </si>
  <si>
    <t>One-dimensional coordination polymers based on cobalt(II) and nickel(II))</t>
  </si>
  <si>
    <t>ACTA CRYSTALLOGRAPHICA A-FOUNDATION AND ADVANCES</t>
  </si>
  <si>
    <t>Cruz, Carlos/KIG-8993-2024; Venegas-Yazigi, Diego/C-5022-2009; Paredes-Garcia, Veronica/C-4415-2011</t>
  </si>
  <si>
    <t>2053-2733</t>
  </si>
  <si>
    <t>PS-27-11</t>
  </si>
  <si>
    <t>C967</t>
  </si>
  <si>
    <t>WOS:000761714401068</t>
  </si>
  <si>
    <t>Moreira-Arce, D; Vergara, PM; Fierro, A; Pincheira, E; Crespin, SJ; Alaniz, A; Carvajal, MA</t>
  </si>
  <si>
    <t>Moreira-Arce, Dario; Vergara, Pablo M.; Fierro, Andres; Pincheira, Erick; Crespin, Silvio J.; Alaniz, Alberto; Carvajal, Mario A.</t>
  </si>
  <si>
    <t>Standing dead trees as indicators of vertebrate diversity: Bringing continuity to the ecological role of senescent trees in austral temperate forests</t>
  </si>
  <si>
    <t>ECOLOGICAL INDICATORS</t>
  </si>
  <si>
    <t>Standing dead trees are known to house diverse assemblages of vertebrates in temperate forests worldwide. In temperate austral forests of South America, however, the functional role of dead trees has been mostly focused on cavity provision, but other functions remain poorly understood. Thus, we conducted a preliminary study examining the effect of dead trees on the taxonomic diversity of vertebrates in South American temperate forests. Diversity metrics estimated from rarefaction curves and community data augmentation showed that taxonomic diversity of vertebrate species was equal between dead and living trees. Habitat variables equally affected species diversity of vertebrates in dead and living trees. Tree height and elevation had a positive effect while forest cover negatively affected species diversity. The similar diversity and composition of vertebrates found in living and dead trees suggests dead trees are equally valuable for conservation. In austral forests dominated by long-living tree species, the death of a tree is a long process involving the retention of several microhabitats once the tree dies and the enrichment of deadwood structures attracting saproxylic organisms. These findings highlight the need of establishing minimum stocks of dying and senescent trees for achieving ecosystem integrity.</t>
  </si>
  <si>
    <t>Alaniz, Alberto/J-3104-2019; Moreira-Arce, Dario/ABG-2898-2021; Carvajal, Mario/GYU-2659-2022; Vergara, Pablo/F-2519-2010; Crespin, Silvio/AAT-7564-2021</t>
  </si>
  <si>
    <t>Vergara, Pablo/0000-0002-0024-1678; Crespin, Silvio/0000-0002-2724-1117; Alaniz, Alberto J./0000-0003-4878-8848; Moreira Arce, Dario/0000-0002-1188-496X</t>
  </si>
  <si>
    <t>1470-160X</t>
  </si>
  <si>
    <t>1872-7034</t>
  </si>
  <si>
    <t>10.1016/j.ecolind.2021.107878</t>
  </si>
  <si>
    <t>JUN 2021</t>
  </si>
  <si>
    <t>WOS:000681695300005</t>
  </si>
  <si>
    <t>Delgado, GE; Marín, G; Wasim, S; Rincón, C; Singh, DP</t>
  </si>
  <si>
    <t>Delgado, Gerzon E.; Marin, Giovanni; Wasim, Syed; Rincon, Carlos; Singh, Dinesh P.</t>
  </si>
  <si>
    <t>Synthesis and Crystal Structure of the Ordered Vacancy Compound Cu3In5□Se9</t>
  </si>
  <si>
    <t>ORBITAL-THE ELECTRONIC JOURNAL OF CHEMISTRY</t>
  </si>
  <si>
    <t>This work focuses on the preparation and structural characterization of the semiconductor Cu3In5 square Se-9, an important member of ordered vacancy compounds family, belonging to the semiconductor system I-3-III5-square-VI9, where denotes the cation vacancy which is included in the formula to maintain the same number of cations and anions sites. This material was synthesized by the Bridgman-Stockbarger technique, and its structure was refined from powder X-ray diffraction data using the Rietveld method. Cu3In5 square Se-9 crystallizes with tetragonal symmetry in the space group P (4) over bar 2c (N degrees 112), with a = 5.7657(1) angstrom, c = 11.5353(4) angstrom, V = 383.47(2) angstrom(3). This ternary compound consists of a three-dimensional arrangement of distorted CuSe4 and InSe4 tetrahedral connected by common faces. In this structure, each Se atom is coordinated by four cations located at the corners of a slightly distorted tetrahedron, and each cation is tetrahedrally bonded to four anions. Cu3In5 square Se-9 is related to the p-type CuInSe2 and n-type CuIn3Se5 semiconductor compounds, which are being used in the preparation of high-efficiency solar cells.</t>
  </si>
  <si>
    <t>Delgado, Gerzon/AAS-3024-2021; SINGH, DINESH/A-2509-2011</t>
  </si>
  <si>
    <t>SINGH, DINESH/0000-0002-2893-7749</t>
  </si>
  <si>
    <t>1984-6428</t>
  </si>
  <si>
    <t>10.17807/orbital.v13i3.1560</t>
  </si>
  <si>
    <t>WOS:000670667600009</t>
  </si>
  <si>
    <t>Malafaia da Mata, Adriana Machado; de Moura, Bruno Furtado; Martins, Marcio Ferreira; Sepulveda Palma, Francisco Hernan; Ramos, Rogerio</t>
  </si>
  <si>
    <t>Parasitic capacitances estimation of an Electrical Impedance Tomography data acquisition system by Bayesian inference</t>
  </si>
  <si>
    <t>Electrical Impedance Tomography (EIT) is a technique that produces an image from a current injection inside the vessel. Since the problem is severely ill-posed, errors and noise can lead to instabilities in the image. One of these errors? primary sources is the parasitic capacitances that shunt the signal to the ground. These non-idealities are present in integrated circuits, cables, printed circuit boards, and others. Thus, it is crucial to determine the quantity of these parasitic capacitances present in the circuit to design methods to avoid these problems. Given these reasons, this work aims to estimate the output impedance and parasitic capacitances from the data acquisition system. For that, the Maximum a Posteriori (MAP) Estimate, and the Monte Carlo Markov Chain (MCMC) is used. The method is validated and utilized to estimate the unknown quantities? input impedance from a developed system.</t>
  </si>
  <si>
    <t>de Moura, Bruno Furtado/0000-0003-1912-3732; Ferreia Martins, Marcio/0000-0002-3023-222X; Sepulveda Palma, Francisco Hernan/0000-0002-1930-3859; da Mata, Adriana/0000-0002-9076-456X; Ramos, Rogerio/0000-0003-4493-2435</t>
  </si>
  <si>
    <t>10.1016/j.measurement.2021.108992</t>
  </si>
  <si>
    <t>JAN 2021</t>
  </si>
  <si>
    <t>WOS:000634796100004</t>
  </si>
  <si>
    <t>Rebolledo, V; Otero, MC; Delgado, JM; Torres, F; Herrera, M; Ríos, M; Cabañas, M; Martinez, JL; Rodríguez-Díaz, M</t>
  </si>
  <si>
    <t>Rebolledo, Vania; Carolina Otero, Maria; Manuel Delgado, Jose; Torres, Fernando; Herrera, Michelle; Rios, Miguel; Cabanas, Mauricio; Martinez, Jose L.; Rodriguez-Diaz, Maite</t>
  </si>
  <si>
    <t>Phytochemical profile and antioxidant activity of extracts of the peruvian peppertree Schinus areira L. from Chile</t>
  </si>
  <si>
    <t>SAUDI JOURNAL OF BIOLOGICAL SCIENCES</t>
  </si>
  <si>
    <t>The Andean tree Schinus areira L. has multiple traditional uses, from the treatment of bronchitis and rheumatic diseases to menstrual cycle regulation and wound healing. With reported hypotensive, analgesic, antitumoral and anti-inflammatory properties, it acts predominantly against diseases related to oxidative stress. This study focuses on the antioxidant activity and phytochemical profile of the extracts of Schinus areira L. Serial extraction of the fruits was performed both by maceration and by Soxhlet. Total phenols and flavonoids were measured using the Folin-Ciocalteu method and AlCl3, respectively. In vitro antioxidant activity was determined by FRAP and DPPH. Results were similar for both extraction methods. Primary metabolites detected included carbohydrates, proteins and amino acids; secondary metabolites included tannins, flavonoids, saponins, steroids and triterpenes. Antioxidant activity was confirmed for ethyl acetate, methanolic and aqueous extracts. The methanolic extract had both the highest polyphenol content (&gt;195 mg GAE/ g dry weight) and the highest antioxidant activity [EC50 &gt; 476 mu g/mL; &gt;273 mg AA/g dry weight (DPPH); &gt;301 mg AA/ g dry weight (FRAP)]. The extract does not produce macrophage cytotoxicity in RAW 264.7, which is indicated by an average cytotoxicity of 2% over 24 h. Our study serves as a starting point for future research on the pharmacological properties of Schinus areira L. (C) 2020 The Authors. Published by Elsevier B.V. on behalf of King Saud University.</t>
  </si>
  <si>
    <t>Rodríguez-Díaz, Maité/M-4213-2016</t>
  </si>
  <si>
    <t>Cabana Brunod, Mauricio/0000-0003-3551-4880; Herrera Corvalan, Michelle/0000-0003-1895-0082; Rodriguez-Diaz, Maite/0000-0002-4165-8461</t>
  </si>
  <si>
    <t>1319-562X</t>
  </si>
  <si>
    <t>2213-7106</t>
  </si>
  <si>
    <t>10.1016/j.sjbs.2020.10.043</t>
  </si>
  <si>
    <t>WOS:000604731100021</t>
  </si>
  <si>
    <t>Rowe, PM; Fergoda, M; Neshyba, S</t>
  </si>
  <si>
    <t>Rowe, P. M.; Fergoda, M.; Neshyba, S.</t>
  </si>
  <si>
    <t>Temperature-Dependent Optical Properties of Liquid Water From 240 to 298 K</t>
  </si>
  <si>
    <t>JOURNAL OF GEOPHYSICAL RESEARCH-ATMOSPHERES</t>
  </si>
  <si>
    <t>Clouds play a key role in Earth's radiative balance. Radiative transfer through liquid clouds depends on the optical properties of liquid water. Although these optical properties are known to be temperature dependent, radiative transfer simulations typically use properties based on measurements made at 298 K, even for supercooled liquid clouds at temperatures as low as 240 K. Here we report temperature-dependent complex refractive indices (CRIs) of liquid water at 240, 253, 263, and 273 K from 1 to 15,000 cm(-1)(0.7 to 10,000 mu m). Imaginary parts of the CRI (k) are inferred from values reported in the literature for temperatures of 238 to 298 K and the real parts are obtained via Kramers-Kronig transformation. Mie theory is used to calculate single scattering albedos and Legendre moments from the CRI, producing a set of optical constants suitable for radiative transfer calculations through supercooled liquid cloud at temperatures as low as 240 K. Ignoring the temperature dependence of complex refractive indices of liquid water is thereby found to result in biased-high supercooled liquid-cloud fluxes from 250 to 580 cm(-1)and biased-low fluxes from 710 to 940 cm(-1).</t>
  </si>
  <si>
    <t>Rowe, Penny/0000-0002-7594-0553</t>
  </si>
  <si>
    <t>2169-897X</t>
  </si>
  <si>
    <t>2169-8996</t>
  </si>
  <si>
    <t>e2020JD032624</t>
  </si>
  <si>
    <t>10.1029/2020JD032624</t>
  </si>
  <si>
    <t>WOS:000571890800024</t>
  </si>
  <si>
    <t>Arrué, L; Pino-Rios, R</t>
  </si>
  <si>
    <t>Arrue, Lily; Pino-Rios, Ricardo</t>
  </si>
  <si>
    <t>Revisiting (anti)aromaticity and chemical bond in planar BXNXclusters (x=2-11)</t>
  </si>
  <si>
    <t>INTERNATIONAL JOURNAL OF QUANTUM CHEMISTRY</t>
  </si>
  <si>
    <t>As Nucleus-Independent Chemical Shift (NICS) measurements have shown inconsistent results with other traditional methodologies in the assignment of aromaticity for inorganic compounds, leading to a possible erroneous interpretation, a complete analysis of the (anti)aromatic character of some BxNx (x = 2-11) according to the magnetic criteria of aromaticity has been performed in order to evaluate the response of these indices in the assignment of this property. Vector mapping of the magnetically induced current density; ring current strength analysis; one- (FiPC and scans), two- (isolines), and three-dimensional (isosurfaces) NICSzz-based descriptors; and adaptive natural density partitioning analysis were performed at the PBE0/def2-TZVP level of theory. The values obtained determined the weak aromatic character for B(3)N(3)and B5N5, antiaromatic character for B4N4, doubly antiaromatic character for B2N2, and nonaromatic character for the remaining clusters. The results show some discrepancies with the ones based on the classical NICS, which can be attributed to in-plane and core electron contributions. Finally, the presented results reveal the importance of being careful regarding the interpretations given by this index and the need to use one-, two-, or three-dimensional derived methodologies for a complete and correct analysis of (anti)aromaticity.</t>
  </si>
  <si>
    <t>Arrue, Lily/AAJ-8465-2021</t>
  </si>
  <si>
    <t>Pino Rios, Ricardo/0000-0003-4756-1115; Arrue, Lily/0000-0003-0916-6077</t>
  </si>
  <si>
    <t>0020-7608</t>
  </si>
  <si>
    <t>1097-461X</t>
  </si>
  <si>
    <t>e26403</t>
  </si>
  <si>
    <t>10.1002/qua.26403</t>
  </si>
  <si>
    <t>AUG 2020</t>
  </si>
  <si>
    <t>WOS:000554671900001</t>
  </si>
  <si>
    <t>Mancilla-Almonacid, D; Castro, MA; Fonseca, JM; Altbir, D; Allende, S; Carvalho-Santos, VL</t>
  </si>
  <si>
    <t>Mancilla-Almonacid, D.; Castro, M. A.; Fonseca, J. M.; Altbir, D.; Allende, S.; Carvalho-Santos, V. L.</t>
  </si>
  <si>
    <t>Magnetic ground states for bent nanotubes</t>
  </si>
  <si>
    <t>Magnetic nanotubes have been widely studied because they are promising candidates to be part of devices based on spintronic and magnonic technologies. However, the experimental techniques used to prepare such structures cannot guarantee the generation of perfect elements, and some geometric imperfections can appear. In this direction, the existence of a bent in a nanotube could change the magnetic properties of a device. In this work, we analyze the influence of curvature on the magnetic properties of a bent nanotube. Our results show a strong dependence of the magnetization ground state on the curvature, the thickness, and the length of the bent nanotubes. Also, we obtained the critical thickness where the transition from the so-called in-surface to the vortex state occurs. For thick tubes, we observe the in-surface state, and for thin structures, the vortex configuration is the lowest energy state. These results could be useful for the development of magnetic devices with bent nanotubes.</t>
  </si>
  <si>
    <t>Mancilla Almonacid, Daniela/JEP-6778-2023; Altbir, Dora/R-6781-2018; Castro, Mario/ABD-7776-2021; Carvalho-Santos, Vagson/E-8806-2013; Fonseca, Jakson/N-7354-2013</t>
  </si>
  <si>
    <t>Carvalho-Santos, Vagson/0000-0002-2759-2152; Mancilla Almonacid, Daniela/0000-0003-4356-5119; Fonseca, Jakson/0000-0001-9441-026X</t>
  </si>
  <si>
    <t>AUG 1</t>
  </si>
  <si>
    <t>10.1016/j.jmmm.2020.166754</t>
  </si>
  <si>
    <t>WOS:000531564800008</t>
  </si>
  <si>
    <t>Palominos, F; Cordova, F; Duran, C; Nunez, B</t>
  </si>
  <si>
    <t>Palominos, F.; Cordova, F.; Duran, C.; Nunez, B.</t>
  </si>
  <si>
    <t>A Simpler and Semantic Multidimensional Database Query Language to Facilitate Access to Information in Decision-making</t>
  </si>
  <si>
    <t>INTERNATIONAL JOURNAL OF COMPUTERS COMMUNICATIONS &amp; CONTROL</t>
  </si>
  <si>
    <t>OLAP and multidimensional database technology have contributed significantly to speed up and build confidence in the effectiveness of methodologies based on the use of management indicators in decision-making, industry, production, and services. Although there are a wide variety of tools related to the OLAP approach, many implementations are performed in relational database systems (R-OLAP). So, all interrogation actions are performed through queries that must be reinterpreted in the SQL language. This translation has several consequences because SQL language is based on a mixture of relational algebra and tuple relational calculus, which conceptually responds to the logic of the relational data model, very different from the needs of the multidimensional databases. This paper presents a multidimensional query language that allows expressing multidimensional queries directly over ROLAP databases. The implementation of the multidimensional query language will be done through a middle ware that is responsible for mapping the queries, hiding the translation to a layer of software not noticeable to the end-user. Currently, progress has been made in the definition of a language where through a key statement, called aggregate, it is possible to execute the typical multidimensional operators which represent an important part of the most frequent operations in this type of database.</t>
  </si>
  <si>
    <t>Palominos, Fredi/U-4690-2019; Duran, Claudia/S-1175-2019; Córdova, Felisa/AAK-4280-2020</t>
  </si>
  <si>
    <t>Palominos, Fredi/0000-0002-6119-4991; Duran, Claudia/0000-0002-0903-4333; CORDOVA, FELISA/0000-0002-5557-8569</t>
  </si>
  <si>
    <t>1841-9836</t>
  </si>
  <si>
    <t>1841-9844</t>
  </si>
  <si>
    <t>10.15837/ijccc.2020.4.3900</t>
  </si>
  <si>
    <t>WOS:000540296700007</t>
  </si>
  <si>
    <t>Almodovar, I; Perez, E; Madrid, M</t>
  </si>
  <si>
    <t>Almodovar, Iriux; Perez, Edwin; Madrid, Matias</t>
  </si>
  <si>
    <t>Synthesis of new β-heteroarylmethoxy-N-phenethylamines as possible monoamine neurotransmitter transporter blockers</t>
  </si>
  <si>
    <t>ABSTRACTS OF PAPERS OF THE AMERICAN CHEMICAL SOCIETY</t>
  </si>
  <si>
    <t>257th National Meeting of the American-Chemical-Society (ACS)</t>
  </si>
  <si>
    <t>MAR 31-APR 04, 2019</t>
  </si>
  <si>
    <t>Amer Chem Soc</t>
  </si>
  <si>
    <t>Perez, Edwin/KVY-5791-2024</t>
  </si>
  <si>
    <t>0065-7727</t>
  </si>
  <si>
    <t>MAR 31</t>
  </si>
  <si>
    <t>WOS:000478861203008</t>
  </si>
  <si>
    <t>Arza, A; Gamboa, J</t>
  </si>
  <si>
    <t>Arza, Ariel; Gamboa, J.</t>
  </si>
  <si>
    <t>Birefringence and hidden photons</t>
  </si>
  <si>
    <t>We study a model where photons interact with hidden photons and millicharged particles through a kinetic mixing term. Particularly, we focus on vacuum birefringence effects and we find a bound for the millicharged parameter assuming that hidden photons are a piece of the local dark matter density.</t>
  </si>
  <si>
    <t>Gamboa, Jorge/R-8744-2019</t>
  </si>
  <si>
    <t>Arza, Ariel/0000-0002-2254-7408; Gamboa, Jorge/0000-0001-7992-7199</t>
  </si>
  <si>
    <t>MAY 20</t>
  </si>
  <si>
    <t>10.1142/S0217732318500827</t>
  </si>
  <si>
    <t>WOS:000432838600003</t>
  </si>
  <si>
    <t>Almodovar, I; Rezende, MC; Cassels, BK; García-Arriagada, M</t>
  </si>
  <si>
    <t>Almodovar, Iriux; Caroli Rezende, Marcos; Cassels, Bruce K.; Garcia-Arriagada, Macarena</t>
  </si>
  <si>
    <t>Theoretical insights into the regioselectivity of a Pictet-Spengler reaction: Transition state structures leading to salsolinol and isosalsolinol</t>
  </si>
  <si>
    <t>The mechanism of the cyclization step of the Pictet-Spengler reaction between acetaldehyde and dopamine to give salsolinol and isosalsolinol was studied computationally, using density functional theory. The preferential formation in acidic media of salsolinol, the product of para-cyclization, and the requirement of a neutral pH for the formation of the ortho-cyclized isosalsolinol are explained in terms of 2 different mechanistic routes with an iminium ion or a phenolate-iminium zwitterion as starting reactants.</t>
  </si>
  <si>
    <t>Caroli, Marcos/H-3570-2019; Cassels, Bruce/H-6937-2013</t>
  </si>
  <si>
    <t>Rezende, Marcos/0000-0003-2040-9009; Almodovar, Iriux/0000-0002-0692-0196</t>
  </si>
  <si>
    <t>1099-1395</t>
  </si>
  <si>
    <t>e3666</t>
  </si>
  <si>
    <t>10.1002/poc.3666</t>
  </si>
  <si>
    <t>WOS:000406979900005</t>
  </si>
  <si>
    <t>Carvallo, GO; Castro, SA</t>
  </si>
  <si>
    <t>Carvallo, Gaston O.; Castro, Sergio A.</t>
  </si>
  <si>
    <t>Invasions but not extinctions change phylogenetic diversity of angiosperm assemblage on southeastern Pacific Oceanic islands</t>
  </si>
  <si>
    <t>We assessed changes in phylogenetic diversity of angiosperm flora on six oceanic islands located in the southeastern Pacific Ocean, by comparing flora from two periods: the pre-European colonization of islands and current times. We hypothesize that, in the time between these periods, extinction of local plant species and addition of exotic plants modified phylogenetic-alpha-diversity at different levels (deeper and terminal phylogeny) and increased phylo-beta-diversity among islands. Based on floristic studies, we assembled a phylogenetic tree from occurrence data that includes 921 species, of which 165 and 756 were native or exotic in origin, respectively. Then, we studied change in the phylo-alpha-diversity and phylo-beta-diversity (1-Phylosor) by comparing pre-European and current times. Despite extinction of 18 native angiosperm species, an increase in species richness and phylo-adiversity was observed for all islands studied, attributed to introduction of exotic plants (between 6 to 477 species per island). We did not observe significant variation of mean phylogenetic distance (MPD), a measure of the 'deeper' phylogenetic diversity of assemblages (e.g., orders, families), suggesting that neither extinctions nor introductions altered phylogenetic structure of the angiosperms of these islands. In regard to phylo-beta-diversity, we detected temporal turnover (variation in phylogenetic composition) between periods to flora (0.38 +/- 0.11). However, when analyses were performed only considering native plants, we did not observe significant temporal turnover between periods (0.07 +/- 0.06). These results indicate that introduction of exotic angiosperms has contributed more notably than extinctions to the configuration of plant assemblages and phylogenetic diversity on the studied islands. Because phylogenetic diversity is closely related to functional diversity (species trait variations and roles performed by organisms), our results suggests that the introduction of exotic plants to these islands could have detrimental impacts for ecosystem functions and ecosystem services that islands provide (e.g. productivity).</t>
  </si>
  <si>
    <t>Carvallo, Gaston O./0000-0001-5825-0983</t>
  </si>
  <si>
    <t>e0182105</t>
  </si>
  <si>
    <t>10.1371/journal.pone.0182105</t>
  </si>
  <si>
    <t>WOS:000406766500043</t>
  </si>
  <si>
    <t>Quiroga, F; Guerrero, N; Schuster, S</t>
  </si>
  <si>
    <t>Quiroga, Francisca; Guerrero, Nestor; Schuster, Sofia</t>
  </si>
  <si>
    <t>Public Discourse and Institutionalization of Political Conflict in Chile: The Case of Wage Adjustment in Public Sector (1990-2014)</t>
  </si>
  <si>
    <t>GESTION Y POLITICA PUBLICA</t>
  </si>
  <si>
    <t>This paper analyzes public discourses of actors who participate in an institutionalized political conflict: the case of wage adjustment in Chilean public sector. Taking the historical and political trajectory of this conflict as framework, the evidence of 2010 (first year that negotiations were administrated by a center-right government rather than the center-left political coalition) and the year 2014 (when government declares evaluate the institutionalization of collective negotiation for public sector) is specially illustrative because the diffusion of discourses and its expression in practices, institutions and administrative logics reflect a routinized mode of conflict management. The theoretical and methodological framework comes from critical discourse analysis. The selected case study is justified by the institutionalized nature of the conflict, the participation of actors from diverse fields (union, governmental, parliamentary) and relatively predictable political behavior, allowing to identify, organize and evaluate recurrent political strategies that serve as inputs for setting up stable political discourses over time. For this purpose, was made a systematization and analysis of press, complemented by a review of relevant documentation and interviews with union leaders who have participated in the public sector negotiation table.</t>
  </si>
  <si>
    <t>Guerrero-Rodriguez, Nestor/AAE-2730-2020</t>
  </si>
  <si>
    <t>1405-1079</t>
  </si>
  <si>
    <t>WOS:000368380500004</t>
  </si>
  <si>
    <t>Gallardo, RS; Bonacic, C; Marin, M</t>
  </si>
  <si>
    <t>Cotronis, Y; Daneshtalab, M; Papadopoulos, GA</t>
  </si>
  <si>
    <t>Soto Gallardo, Rafael; Bonacic, Carolina; Marin, Mauricio</t>
  </si>
  <si>
    <t>S4 applications simulator for performance evaluation</t>
  </si>
  <si>
    <t>2016 24TH EUROMICRO INTERNATIONAL CONFERENCE ON PARALLEL, DISTRIBUTED, AND NETWORK-BASED PROCESSING (PDP)</t>
  </si>
  <si>
    <t>Euromicro Conference on Parallel Distributed and Network-Based Processing</t>
  </si>
  <si>
    <t>24th Euromicro International Conference on Parallel, Distributed, and Network-Based Processing (PDP)</t>
  </si>
  <si>
    <t>FEB 17-19, 2016</t>
  </si>
  <si>
    <t>Heraklion, GREECE</t>
  </si>
  <si>
    <t>Natl Kapodistrian Univ Athens,KTH Vetenskap Och Konst</t>
  </si>
  <si>
    <t>Big Data is now a widely studied concept in the field of massive processing of information, but testing systems and applications in this field is a difficult task, because the real environments to be used are of a large scale and many times impossible to reproduce. Usually, for this task executions in virtual settings, called simulations, are used. The present article presents a simulator for applications developed to be executed on the Apache 54 distributed computing platform for multiple hardware and software scenarios. A version in which mobile devices as well as processing units are used is proposed. The results show that the simulator without mobile devices gets good prediction performance results considering the processing and communication times between the elements of the S4 applications, and the other version with mobile systems shows a decrease in performance in different simulation configurations. However, adding replication in the elements that are communicated with the cellphones has shown substantial improvements in the application's performance.</t>
  </si>
  <si>
    <t>Marin, Mauricio/GLR-7700-2022</t>
  </si>
  <si>
    <t>Marin, Mauricio/0000-0003-0662-7149</t>
  </si>
  <si>
    <t>1066-6192</t>
  </si>
  <si>
    <t>978-1-4673-8776-7</t>
  </si>
  <si>
    <t>WOS:000381810900060</t>
  </si>
  <si>
    <t>Oróstica, ML; Lopez, J; Rojas, I; Rocco, J; Díaz, P; Reuquén, P; Cardenas, H; Parada-Bustamante, A; Orihuela, PA</t>
  </si>
  <si>
    <t>Orostica, Maria L.; Lopez, John; Rojas, Israel; Rocco, Jocelyn; Diaz, Patricia; Reuquen, Patricia; Cardenas, Hugo; Parada-Bustamante, Alexis; Orihuela, Pedro A.</t>
  </si>
  <si>
    <t>Estradiol increases cAMP in the oviductal secretory cells through a nongenomic mechanism</t>
  </si>
  <si>
    <t>In the rat oviduct, estradiol (E-2) accelerates egg transport by a nongenomic action that requires previous conversion of E-2 to methoxyestrogens via catechol-O-methyltranferase (COMT) and activation of estrogen receptor (ER) with subsequent production of cAMP and inositol triphosphate (IP3). However, the role of the different oviductal cellular phenotypes on this E-2 nongenomic pathway remains undetermined. The aim of this study was to investigate the effect of E-2 on the levels of cAMP and IP3 in primary cultures of secretory and smooth muscle cells from rat oviducts and determine the mechanism by which E-2 increases cAMP in the secretory cells. In the secretory cells, E-2 increased cAMP but not IP3, while in the smooth muscle cells E-2 decreased cAMP and increased IP3. Suppression of protein synthesis by actinomycin D did not prevent the E-2-induced cAMP increase, but this was blocked by the ER antagonist ICI 182 780 and the inhibitors of COMT OR 486, G protein-alpha inhibitory (G alpha(i)) protein pertussis toxin and adenylyl cyclase (AC) SQ 22536. Expression of the mRNA for the enzymes that metabolizes estrogens, Comt, Cyp1a1, and Cyp1b1 was found in the secretory cells, but this was not affected by E-2. Finally, confocal immunofluorescence analysis showed that E-2 induced colocalization between ESR1 (ER alpha) and G alpha(i) in extranuclear regions of the secretory cells. We conclude that E-2 differentially regulates cAMP and IP3 in the secretory and smooth muscle cells of the rat oviduct. In the secretory cells, E-2 increases cAMP via a nongenomic action that requires activation of COMT and ER, coupling between ESR1 and G alpha(i), and stimulation of AC.</t>
  </si>
  <si>
    <t>Díaz, Patricia/GOV-2972-2022; Parada-Bustamante, Alexis/I-1127-2013</t>
  </si>
  <si>
    <t>10.1530/REP-14-0128</t>
  </si>
  <si>
    <t>WOS:000343330900005</t>
  </si>
  <si>
    <t>Constandil, L; Aguilera, R; Goich, M; Hernández, A; Alvarez, P; Infante, C; Pelissier, T</t>
  </si>
  <si>
    <t>Constandil, Luis; Aguilera, Rodrigo; Goich, Mariela; Hernandez, Alejandro; Alvarez, Pedro; Infante, Claudio; Pelissier, Teresa</t>
  </si>
  <si>
    <t>Involvement of spinal cord BDNF in the generation and maintenance of chronic neuropathic pain in rats</t>
  </si>
  <si>
    <t>BRAIN RESEARCH BULLETIN</t>
  </si>
  <si>
    <t>Brain-derived neurotrophic factor (BDNF) is involved in neuronal survival and synaptic plasticity of the central and peripheral nervous system. In chronic pain, plastic changes in dorsal horn neurons contribute to a phenomenon of hypersensitivity to pain sensation that is maintained over time, known as central sensitization. This process is accompanied by BDNF overexpression, but the role of BDNF in the generation and maintenance of the hyperalgesic phenomenon is still unclear. The present study was aimed to investigate if exogenous BDNF administered to the rat spinal cord, in addition to trigger pain, participates in the maintenance of the central sensitization process (i.e., pain persistence) and to determine if the pain generated is comparable to that observed in a neuropathic pain model. Results showed that a single intrathecal injection of 0.003 ng of BDNF was able to decrease the nociceptive threshold (Randall-Selitto test) in normal rats, for at least a 42-day period. Furthermore, the hyperalgesia generated was comparable to that observed in rats with a 42-day history of mononeuropathy. Increasing the dose or administering additional doses of BDNF resulted neither in additional effectiveness in reducing the pain threshold nor in the prolongation of the hyperalgesic effect, thus showing that central sensitization induced by BDNF is a dose-independent, all-or-none process. It is concluded that BDNF alone is sufficient for generating a long-lasting neural excitability change in the spinal cord via tyrosine kinase B receptor signaling, similar to that observed in chronic pain models such as neuropathy. (C) 2011 Elsevier Inc. All rights reserved.</t>
  </si>
  <si>
    <t>Hernandez, Alejandro/0000-0001-9222-6522; Constandil, Luis/0000-0002-2504-0119</t>
  </si>
  <si>
    <t>0361-9230</t>
  </si>
  <si>
    <t>1873-2747</t>
  </si>
  <si>
    <t>NOV 25</t>
  </si>
  <si>
    <t>5-6</t>
  </si>
  <si>
    <t>10.1016/j.brainresbull.2011.08.008</t>
  </si>
  <si>
    <t>WOS:000298711300024</t>
  </si>
  <si>
    <t>Vera, J; Castro, J; González, A; Barrientos, H; Matsuhiro, B; Arce, P; Zuñiga, G; Moenne, A</t>
  </si>
  <si>
    <t>Vera, Jeannette; Castro, Jorge; Gonzalez, Alberto; Barrientos, Herna; Matsuhiro, Betty; Arce, Patricio; Zuniga, Gustavo; Moenne, Alejandra</t>
  </si>
  <si>
    <t>Long-term protection against tobacco mosaic virus induced by the marine alga oligo-sulphated-galactan Poly-Ga in tobacco plants</t>
  </si>
  <si>
    <t>MOLECULAR PLANT PATHOLOGY</t>
  </si>
  <si>
    <t>P&gt;In order to study the antiviral effect of the oligo-sulphated galactan Poly-Ga, the leaves of tobacco plants XhantiNN were sprayed with water (control), with increasing concentrations of Poly-Ga, for increasing numbers of treatments or cultivated for increasing times after treatment. Control and treated plants were infected with tobacco mosaic virus (TMV) and the numbers of necrotic lesions were measured in infected leaves. The number of necrotic lesions decreased with increasing concentrations of Poly-Ga, with increasing numbers of treatments and with increasing time after treatment, indicating a long-term protection against TMV that mimicks vaccination. In addition, control Xhantinn plants and plants treated with Poly-Ga and cultivated for increasing times after treatment were infected with TMV in the middle part of the plant, and the levels of TMV-capsid protein (CP) transcripts were measured in apical leaves. TMV-CP transcripts decreased in distant leaves, indicating that Poly-Ga induces systemic protection against TMV. The activities of the defence enzymes phenylalanine ammonia lyase (PAL) and lipoxygenase (LOX) and the amounts of several phenylpropanoid compounds (PPCs) were measured in control and treated plants without infection. A progressive increase in PAL activity was observed with increasing time after treatment, together with the accumulation of free and conjugated PPCs. In contrast, LOX activity remained unchanged. Interestingly, the increase in PAL activity showed a linear correlation with the decrease in necrotic lesions and the decrease in TMV-CP transcript level. Thus, Poly-Ga induced systemic and long-term protection against TMV in tobacco plants that is determined, at least in part, by a sustained activation of PAL and the accumulation of PPCs with potential antiviral activity.</t>
  </si>
  <si>
    <t>Arce-Johnson, Patricio/JUV-7099-2023; González, Alberto/IYJ-8593-2023; Zuñiga, Gustavo/P-8306-2015</t>
  </si>
  <si>
    <t>Arce-Johnson, Patricio/0000-0003-3854-1286; Gonzalez Figueroa, Alberto/0000-0002-5777-9022; Zuniga, Gustavo/0000-0002-8286-9468</t>
  </si>
  <si>
    <t>1464-6722</t>
  </si>
  <si>
    <t>1364-3703</t>
  </si>
  <si>
    <t>10.1111/j.1364-3703.2010.00685.x</t>
  </si>
  <si>
    <t>WOS:000290169900003</t>
  </si>
  <si>
    <t>Martínez, GM; De Bernardi, RG; Novoa, J</t>
  </si>
  <si>
    <t>Molina Martinez, Gloria; Gamboa De Bernardi, Ruben; Novoa, Jocelyn</t>
  </si>
  <si>
    <t>Dr. Hugo Behm Rosas: a pioneer in social medicine (Santiago 1913-San Jose 2011)</t>
  </si>
  <si>
    <t>SALUD COLECTIVA</t>
  </si>
  <si>
    <t>1669-2381</t>
  </si>
  <si>
    <t>WOS:000295204700015</t>
  </si>
  <si>
    <t>García, V; Vásquez, H; Fonseca, F; Manzanares, P; Viana, F; Martínez, C; Ganga, MA</t>
  </si>
  <si>
    <t>Garcia, V.; Vasquez, H.; Fonseca, F.; Manzanares, P.; Viana, F.; Martinez, C.; Ganga, M. A.</t>
  </si>
  <si>
    <t>Effects of using mixed wine yeast cultures in the production of Chardonnay wines</t>
  </si>
  <si>
    <t>REVISTA ARGENTINA DE MICROBIOLOGIA</t>
  </si>
  <si>
    <t>The effect of using mixed cultures of non-Saccharomyces and Saccharomyces cerevisiae yeasts in the physicochemical and sensory qualities of the wines were analyzed in this study. Based on growth curves, sugar consumption and glycerol production in synthetic must, Candida membranifaciens L1805 was selected from a group of four Candidas spp. isolates from Chile and Argentina. This yeast was subsequently used in combination with S. cerevisiae in Chardonnay must. A monoculture of S. cerevisiae was used as control. The wines fermented with mixed cultures had lower volatile acidity and ethanol concentration than the control. Furthermore, the chromatographic analysis showed that the wines from mixed cultures presented differences in the concentration of esters and propanol. These characteristics positively influenced the sensory qualities of the wines produced with mixed cultures, which was reflected in the preference for these wines by a panel of enologists. This study shows that the use of non-Saccharomyces yeasts could be a strategy to obtain distinctive wines using the native microorganisms from each winemaking area.</t>
  </si>
  <si>
    <t>Martinez, Claudio/MGS-9961-2025; Ganga, Maria/S-8176-2019; García, Verónica/AAM-1175-2021; Manzanares, Paloma/H-2873-2012</t>
  </si>
  <si>
    <t>Martinez, Claudio/0000-0001-8564-9287; Manzanares, Paloma/0000-0001-5036-9787</t>
  </si>
  <si>
    <t>0325-7541</t>
  </si>
  <si>
    <t>WOS:000282164900015</t>
  </si>
  <si>
    <t>Knyazeva, A; Bubnovich, V; Rosas, C; Moraga, N</t>
  </si>
  <si>
    <t>Knyazeva, A.; Bubnovich, V.; Rosas, C.; Moraga, N.</t>
  </si>
  <si>
    <t>Theoretical analysis of premixed low-velocity filtration combustion for Lewis number different from one</t>
  </si>
  <si>
    <t>INTERNATIONAL JOURNAL OF HEAT AND MASS TRANSFER</t>
  </si>
  <si>
    <t>An exact analytical solution for the stationary reaction front propagation in an inert porous media is obtained in the approximation of the narrow reaction zone. It is assumed that the similarity of the temperature and concentration fields does not take a place. The applicability of the solution found for gas and solid disequilibrium temperature distributions in the reactants region and behind the reaction front approximate evaluations is illustrated with the help of one special example. (C) 2009 Published by Elsevier Ltd.</t>
  </si>
  <si>
    <t>Knyazeva, Anna/A-5091-2014</t>
  </si>
  <si>
    <t>0017-9310</t>
  </si>
  <si>
    <t>1879-2189</t>
  </si>
  <si>
    <t>21-22</t>
  </si>
  <si>
    <t>10.1016/j.ijheatmasstransfer.2009.04.015</t>
  </si>
  <si>
    <t>WOS:000270164200030</t>
  </si>
  <si>
    <t>Martín, MCS; Villanueva, RA; Jashés, M; Sandino, AM</t>
  </si>
  <si>
    <t>Cortez-San Martin, Marcelo; Villanueva, Rodrigo A.; Jashes, Matilde; Maria Sandino, Ana</t>
  </si>
  <si>
    <t>Molecular characterization of IPNV RNA replication intermediates during the viral infective cycle</t>
  </si>
  <si>
    <t>VIRUS RESEARCH</t>
  </si>
  <si>
    <t>Infectious Pancreatic Necrosis Virus (IPNV) is a bisegmented, double-stranded RNA virus, which belongs to the Birnaviridae family. In the current study, we have analyzed the RNA replication intermediates (RI) purified throughout the viral replication cycle in cultured cells. Equilibrium ultracentrifugation of infected cellular lysates resulted in two major peaks of viral components. The first peak, at a buoyant density of 1.33 g/cm(3), contained assembled IPNV viral particles A and B, whereas the second peak, located at buoyant densities &gt;1.4 g/cm(3), contained a higher molecular weight viral ribonucleoprotein complex composed of, at least, VPg/VP1 and a heterogeneous population of single- and double-stranded viral RNA species. Interestingly, analyses of these dsRNA RI indicated that they contain single-stranded segments of incompletely synthesized positive-strands of RNA. Northern blot experiments of total RNA isolated from infected cells confirmed our proposed configuration of the RNA RI, where the full-length negative-strand of RNA is used as the template for the synthesis of several 3'-truncated forms of the positive-strand of the viral RNA. Together, our results indicate that IPNV utilizes the negative-strand of RNA as template for genome replication. (C) 2009 Elsevier B.V. All rights reserved.</t>
  </si>
  <si>
    <t>SANDINO, ANA MARIA/0000-0002-3862-3743; Villanueva, PhD., Rodrigo A/0000-0001-5611-0354</t>
  </si>
  <si>
    <t>0168-1702</t>
  </si>
  <si>
    <t>1872-7492</t>
  </si>
  <si>
    <t>10.1016/j.virusres.2009.05.007</t>
  </si>
  <si>
    <t>WOS:000270248000046</t>
  </si>
  <si>
    <t>Mattiello, R; Sarria, EE; Stein, R; Fischer, GB; Mocelin, HT; Barreto, SSM; Lima, JAB; Brandenburg, D</t>
  </si>
  <si>
    <t>Mattiello, Rita; Sarria, Edgar E.; Stein, Ricardo; Fischer, Gilberto Bueno; Mocelin, Helena Teresinha; Menna Barreto, Sergio Saldanha; Bonfadini Lima, Joao Antonio; Brandenburg, Diego</t>
  </si>
  <si>
    <t>Functional capacity assessment during exercise in children and adolescents with post-infectious bronchiolitis obliterans</t>
  </si>
  <si>
    <t>JORNAL DE PEDIATRIA</t>
  </si>
  <si>
    <t>Objective: To assess functional capacity during exercise in children and adolescents with post-infectious bronchiolitis obliterans (PIBO). Methods: 20 children with PIBO, aged 8-16 years old, and in follow-up at an outpatient clinic carried out cardiopulmonary exercise testing (CPET), a 6-minute walk test (6MWT) and pulmonary function tests (PFT), according to American Thoracic Society (ATS), European Respiratory Society (ERS) and American College of Chest Physicians (ACCP) guidelines. Results were expressed as percentages of predicted reference values: Armstrong's for CPET, Geiger's for 6MWT, Knudson's for spirometry, and Zapletal's for plethysmography. Results: Mean age (+/- SD) was 11.4 +/- 2.2 years; 70% were boys; mean weight: 36.8 +/- 12.3 kg; mean height: 143.8 +/- 15.2 cm. When compared to reference values, PFT detected lower airflows (spirometry) and higher volumes (plethysmography). Eleven patients had reduced peak VO2 values in CPET (&lt; 84% predicted). The mean distance walked (6MWT) was 77.0 +/- 15.7% of predicted (512 +/- 102 m). Peak VO2 was not correlated with 6MWT, but it was correlated with FVC (L) (r = 0.90/p = 0.00), with FEV1 (L) (r = 0.86/p = 0.00) and with RV/TLC, both in absolute values (r = -0.71/p = 0.02) and as percentages of predicted values (r = -0.63/p = 0.00). Conclusions: The majority of these post-infectious bronchiolitis obliterans patients exhibited reduced functional capacity, exhibited during both CPET and the 6MWT Due to its greater feasibility, 6MWT could be an alternative where CPET is not available.</t>
  </si>
  <si>
    <t>Barreto, Sandhi/A-5140-2012; Stein, Ricardo/W-4387-2019; Mattiello, Rita/B-1748-2012; Mattiello, Rita/K-3344-2015</t>
  </si>
  <si>
    <t>Mattiello, Rita/0000-0002-0548-3342</t>
  </si>
  <si>
    <t>0021-7557</t>
  </si>
  <si>
    <t>1678-4782</t>
  </si>
  <si>
    <t>10.2223/JPED.1807</t>
  </si>
  <si>
    <t>WOS:000259170300009</t>
  </si>
  <si>
    <t>Aguilar, C; Marín, J; Ordóñez, S; Celentano, D; Castro, F; Martínez, V</t>
  </si>
  <si>
    <t>Aguilar, C.; Marin, J.; Ordonez, S.; Celentano, D.; Castro, F.; Martinez, V.</t>
  </si>
  <si>
    <t>Structural study of Cu-Cr mechanical alloying powders</t>
  </si>
  <si>
    <t>The changes of grain size, microstrain, stacking fault probability, stacking fault energy and dislocations density on powder mixtures of copper with 1 and 3 weight % after high energy mechanical milling. The X-ray diffraction profile was analysed by Williamson-Hall (W-H) method. Grain size decreased with the increase of milling time, until values of 106 and 59 nm for 1 and 3 weight % Cr, respectively. As well microstrain increased with milling time. Stacking fault probability increased in function of milling time to value between 1x10(-3)-8x10(-3) for Cu-1 weight % Cr and 3x10(-3)-8x10(-3) for Cu-3 weight % Cr. The stacking fault energy decreased with milling time and amount of chromium. Finally, the dislocations density is between a range between 1X10(14)-1X10(15) m/m(3).</t>
  </si>
  <si>
    <t>Celentano, Diego/JQW-5027-2023; Aguilar, Claudio/B-6774-2011</t>
  </si>
  <si>
    <t>WOS:000242231000002</t>
  </si>
  <si>
    <t>Caro, CA; Bedioui, F; Zagal, JH</t>
  </si>
  <si>
    <t>Electrocatalytic oxidation of nitrite on a vitreous carbon electrode modified with cobalt phthalocyanine</t>
  </si>
  <si>
    <t>The oxidation of nitrite on a vitreous carbon electrode modified with different surface concentrations of cobalt phthalocyanine (CoPc) was investigated using cyclic voltammetry and rotating disk electrode techniques. The voltammetric curves show well-defined anodic peak. which is indicative of the electrocatalytic oxidation of nitrite. The activity of the modified electrodes does not increase with the amount of CoPc adsorbed on the electrode in a wide range of surface coverages and the order of the electro-oxidation reaction is one in nitrite. Tafel plots obtained from rotating disk measurements give two linear regions of slopes of 0.071 and 0.14 V/decade, respectively. This was discussed in terms of a catalytic process and a mechanism is proposed. (C) 2002 Elsevier Science Ltd. All rights reserved.</t>
  </si>
  <si>
    <t>zagal, jose/L-9648-2014; Bedioui, Fethi/N-3507-2014</t>
  </si>
  <si>
    <t>Bedioui, Fethi/0000-0002-0063-4412</t>
  </si>
  <si>
    <t>PII S0013-4686(01)00875-1</t>
  </si>
  <si>
    <t>10.1016/S0013-4686(01)00875-1</t>
  </si>
  <si>
    <t>WOS:000174724100017</t>
  </si>
  <si>
    <t>Villegas, L; Encinas, MV; Rufs, AM; Bueno, C; Bertolotti, S; Previtali, CM</t>
  </si>
  <si>
    <t>Aqueous photopolymerization with visible-light photoinitiators: Acrylamide polymerization photoinitiated with a phenoxazine dye/amine system</t>
  </si>
  <si>
    <t>We studied the photoinduced electron-transfer polymerization of acrylamide with, as a visible-light initiator, the heterocycle-N-oxide resazurin in the presence of triethanolamine. The irradiation of resazurin produces resorufin, which also absorbs in the visible region. Both phenoxazine dyes in the presence of the amine are efficient photoinitiators of acrylamide polymerization in an aqueous medium. The polymerization rates were measured at several amine concentrations. These values increase with the amine concentration, reaching a maximum value; further amine addition slightly decreases the polymerization rate. Time-resolved photolysis studies of the dyes were carried out under the polymerization conditions. The quenching of the dye excited states by the amine was analyzed with static-fluorescence and laser-Rash photolysis. These data were used for fitting curves of the polymerization rate versus the amine concentration, and it was concluded that the interaction of triplet excited dyes with the amine leads to acrylamide polymerization. (C) 2001 John Wiley &amp; Sons, Inc.</t>
  </si>
  <si>
    <t>10.1002/pola.10059</t>
  </si>
  <si>
    <t>WOS:000172155100004</t>
  </si>
  <si>
    <t>On the nature of fermion-monopole supersymmetry</t>
  </si>
  <si>
    <t>It is shown that the generator of the nonstandard fermion-monopole supersymmetry uncovered by De Jonghe, Macfarlane, Peeters and van Holten, and the generator of its standard N = 1/2 supersymmetry have to be supplemented by their product operator to be treated as independent supercharge. As a result, the fermion-monopole system possesses the nonlinear N = 3/2 supersymmetry having the nature of the 3D spin-1/2 free particle's supersymmetry generated by the supercharges represented in a scalar form. Analyzing the supercharges' structure, we trace how under reduction of the fermion-monopole system to the spherical geometry the nonlinear N = 3/2 superalgebra comprising the Hamiltonian and the total angular momentum as even generators is transformed into the standard linear N = 1 superalgebra with the Hamiltonian to be the unique even generator. (C) 2000 Published by Elsevier Science B.V.</t>
  </si>
  <si>
    <t>JUL 13</t>
  </si>
  <si>
    <t>1-3</t>
  </si>
  <si>
    <t>10.1016/S0370-2693(00)00671-7</t>
  </si>
  <si>
    <t>WOS:000088239800025</t>
  </si>
  <si>
    <t>Pardey, AJ; Fernández, M; Longo, C; Lujano, E; Baricelli, P; Guerrero, J; Moya, SA</t>
  </si>
  <si>
    <t>Polymer heterogenized iridium amino complexes.: Catalyzed reduction of nitrobenzene under WGSR conditions</t>
  </si>
  <si>
    <t>The activation studies for catalytic reduction of nitrobenzene to aniline by iridium(I) complexes, [Ir(COD)(amine)(2)]PF6 (COD = 1,5-cyclooctadiene, amine = 4-picoline, 3-picoline, 2-picoline, or pyridine) heterogenized on poly(4-vinylpyridine) in aqueous 2-ethoxyethanol are described. The aniline formation (mmol, based on CO2 formed after 9 h) followed the order: 4-picoline (0.068) &gt; 2-picoline (0.052)&gt; S-picoline (0.046) greater than or equal to pyridine (0.042) for 1.0x10(-4) mol Ir/0.5 g of polymer, 0.26 mL of nitrobenzene, 10 mt of 2-ethoxyethanol/water, 8/2, v/v, P(CO) = 0.9 atm, at 100 degrees C.</t>
  </si>
  <si>
    <t>10.1007/BF02475270</t>
  </si>
  <si>
    <t>WOS:000077523200017</t>
  </si>
  <si>
    <t>Pardo, F; Perich, F; Torres, R</t>
  </si>
  <si>
    <t>A new glycoside with bactericidal activity isolated from Buddleja globosa.</t>
  </si>
  <si>
    <t>Angoroside A 1, [3,4-dihydroxy-beta-phenylethoxy-O-alpha-L-arabinopyransyl-(1--&gt;6)-alpha-L-rhamnopyranosyl-(1--&gt;3)4-O-caffeoyl-beta-D-glucopyranoside], a compound exhibiting antibacterial activity against Staphylococcus aureus, has been isolated from an ethanolic extract of Buddleja globosa leaves. This is the first report of angoroside A 1 in the genus Buddleja and allowed us to correlate the activity of the substance with the therapeutic properties described for B. globosa.</t>
  </si>
  <si>
    <t>WOS:A1997WR46900011</t>
  </si>
  <si>
    <t>URZUA, A; RODRIGUEZ, R; CASSELS, B</t>
  </si>
  <si>
    <t>FATE OF INGESTED ARISTOLOCHIC ACIDS IN BATTUS-ARCHIDAMAS</t>
  </si>
  <si>
    <t>BIOCHEMICAL SYSTEMATICS AND ECOLOGY</t>
  </si>
  <si>
    <t>Battus archidamus larvae reared on Aristolochia chilensis sequester aristolochic acids selectively and independently of lipophilicity. A considerable proportion of the ingested acids can be recovered from the excreta, but the amounts which remain unaccounted for suggest that metabolic detoxification is the principal mean of disposing of these substances by the insects.</t>
  </si>
  <si>
    <t>0305-1978</t>
  </si>
  <si>
    <t>1873-2925</t>
  </si>
  <si>
    <t>10.1016/0305-1978(87)90047-0</t>
  </si>
  <si>
    <t>WOS:A1987L191400014</t>
  </si>
  <si>
    <t>Qobbi, H; Zoulagh, T; Boukili, B; Barbosa, KA; Hmamed, A; Chaibi, N</t>
  </si>
  <si>
    <t>Qobbi, Hicham; Zoulagh, Taha; Boukili, Bensalem; Barbosa, Karina A.; Hmamed, Abdelaziz; Chaibi, Noreddine</t>
  </si>
  <si>
    <t>Further Results on the R-R Protocol Based H∞ Estimator for 2-D FMII Systems with R-O Uncertainties</t>
  </si>
  <si>
    <t>CIRCUITS SYSTEMS AND SIGNAL PROCESSING</t>
  </si>
  <si>
    <t>This paper presents an enhanced study on the design of an H-infinity observer based on the Round-Robin protocol for 2-D FMII systems subjected to Randomly-Occurring uncertainties. The Randomly-Occurring uncertainties, characterized by their stochastic nature and random occurrence, pose significant challenges to the stability and performance of control systems. Moreover, the Round-Robin protocol, known for its efficiency in managing resources and reducing data conflicts in communication systems, is used as the framework for developing this estimator. The main contributions of this research include a precise modeling of Randomly-Occurring uncertainties and their integration into the 2-D FMII system model. A robust H-infinity estimator is designed ensuring optimal performance despite the presence of stochastic uncertainties, and the application of the Round-Robin protocol to synchronize estimation and control processes, thereby enhancing system resilience. On the basis of the Projection Lemma, less conservative results in terms of Linear Matrix Inequalities are provided. The theoretical results are validated and compared through numerical simulations from the literature, demonstrating the effectiveness and robustness of the proposed approach.</t>
  </si>
  <si>
    <t>BOUKILI, Bensalem/AAS-7075-2020; Barbosa, Karina/A-2236-2014; Zoulagh, Taha/AAT-5521-2020</t>
  </si>
  <si>
    <t>Barbosa, Karina A./0000-0001-7183-2662</t>
  </si>
  <si>
    <t>0278-081X</t>
  </si>
  <si>
    <t>1531-5878</t>
  </si>
  <si>
    <t>10.1007/s00034-024-02948-z</t>
  </si>
  <si>
    <t>WOS:001381178600001</t>
  </si>
  <si>
    <t>Lara, K; Pino, M; Reyes, F</t>
  </si>
  <si>
    <t>Lara, Kristiansen; Pino, Miguel; Reyes, Francisco</t>
  </si>
  <si>
    <t>1/c deformations of AdS3 boundary conditions and the Dym hierarchy</t>
  </si>
  <si>
    <t>JOURNAL OF HIGH ENERGY PHYSICS</t>
  </si>
  <si>
    <t>This work introduces a novel family of boundary conditions for AdS3 General Relativity, constructed through a polynomial expansion in negative integer powers of the Brown-Henneaux central charge. The associated dynamics is governed by the Dym hierarchy of integrable equations. It is shown that the infinite set of Dym conserved charges generates an abelian asymptotic symmetry group. Additionally, these boundary conditions encompass black hole solutions, whose thermodynamic properties are examined.</t>
  </si>
  <si>
    <t>Pino, Miguel/G-7510-2015</t>
  </si>
  <si>
    <t>Reyes Zurita, Francisco A./0000-0001-8324-7102</t>
  </si>
  <si>
    <t>1029-8479</t>
  </si>
  <si>
    <t>10.1007/JHEP11(2024)042</t>
  </si>
  <si>
    <t>WOS:001352416300001</t>
  </si>
  <si>
    <t>Inostroza, A; Figueroa, LP; Aragón-Caqueo, D; Muñoz, RL; Fuenzalida, H; Sepúlveda, A</t>
  </si>
  <si>
    <t>Inostroza, Aedo; Figueroa, L. Pincheira; Aragon-Caqueo, D.; Munoz, R. Loubies; Fuenzalida, H.; Sepulveda, A.</t>
  </si>
  <si>
    <t>Reticulate Skin Lesions: Practical Color-Based Algorithm for Initial Clinical Assessment</t>
  </si>
  <si>
    <t>ACTAS DERMO-SIFILIOGRAFICAS</t>
  </si>
  <si>
    <t>Reticular patterns are observed in a great variety of skin diseases. While these morphologic patterns are often highly distinctive, they are seldom discussed or studied in clinical contexts or recognized as a diagnostic category in their own right. Diseases presenting with reticulate skin lesions have multiple etiologies (tumors, infections, vascular disorders, inflammatory conditions, and metabolic or genetic alterations) and can range from relatively benign conditions to life-threatening ones. We review a selection of these diseases and propose a clinical diagnostic algorithm based on predominant coloring and clinical features to aid in their initial assessment. (c) 2023 AEDV. Published by Elsevier Espana, S.L.U. This is an open access article under the CC BY-NC-ND license (http://creativecommons.org/licenses/by-nc-nd/4.0/).</t>
  </si>
  <si>
    <t>0001-7310</t>
  </si>
  <si>
    <t>1578-2190</t>
  </si>
  <si>
    <t>T174</t>
  </si>
  <si>
    <t>T179</t>
  </si>
  <si>
    <t>10.1016/j.ad.2023.11.013</t>
  </si>
  <si>
    <t>WOS:001193865400001</t>
  </si>
  <si>
    <t>Leal, JE; Parada, V</t>
  </si>
  <si>
    <t>Leal, Jose E.; Parada, Victor</t>
  </si>
  <si>
    <t>Predicting modal choice for urban transport using an algebraic equation</t>
  </si>
  <si>
    <t>TRANSPORTATION RESEARCH INTERDISCIPLINARY PERSPECTIVES</t>
  </si>
  <si>
    <t>Demand estimation and forecasting is an essential step in urban passenger transport planning. Relating the factors that influence the modal choice behavior of individuals facilitates demand estimation. In this study, we develop machine learning models that consider individuals' demographic, socioeconomic, and travel charac-teristics to justify their mode choice. Two datasets are used to train and validate the models. We use logistic regression and multilayer perceptron models to classify public or private transportation trips. It was observed that a multilayer perceptron model with a low number of parameters could predict modal selection with an accuracy exceeding 90%. We derive an algebraic equation from this result to perform modal selection prediction. Our results show that the models can effectively predict the mode of transportation of individuals based on their demographic and travel characteristics.</t>
  </si>
  <si>
    <t>Leal, José/AAQ-6788-2021; Parada, Victor/M-5840-2014</t>
  </si>
  <si>
    <t>Parada, Victor/0000-0002-8649-5694</t>
  </si>
  <si>
    <t>2590-1982</t>
  </si>
  <si>
    <t>10.1016/j.trip.2023.100947</t>
  </si>
  <si>
    <t>WOS:001109390700001</t>
  </si>
  <si>
    <t>Vidal, CP; Velásquez, E; Gavara, R; Hernández-Muñoz, P; Muñoz-Shugulí, C; Galotto, MJ; de Dicastillo, CL</t>
  </si>
  <si>
    <t>Vidal, Cristian Patino; Velasquez, Eliezer; Gavara, Rafael; Hernandez-Munoz, Pilar; Munoz-Shuguli, Cristina; Galotto, Maria Jose; de Dicastillo, Carol Lopez</t>
  </si>
  <si>
    <t>Modeling the release of an antimicrobial agent from multilayer film containing coaxial electrospun polylactic acid nanofibers</t>
  </si>
  <si>
    <t>JOURNAL OF FOOD ENGINEERING</t>
  </si>
  <si>
    <t>The research of active biodegradable multilayer materials are of current interest for developing functional and sustainable packages able to guarantee the microbiological safety of food. In this work, an active biodegradable trilayer packaging system composed of (1) an external layer of extruded polylactic acid (PLA) film, (2) an intermediate layer of electrospun PLA loaded with ethyl lauroyl arginate (LAE) and cellulose nanocrystals (CNC), and (3) an inner layer of chitosan processed by coating, was developed. Optical, structural, and thermal properties were evaluated. Furthermore, a mathematical mass transfer model focused on the fibers structure was developed to study the LAE release to aqueous and fatty food simulants. Compared to extruded PLA, the trilayer material was white and opaque with a Delta E = 2.6. Furthermore, the processing of material produced a scarce interaction between their components and its crystallinity was increased by 85%. K coefficients were lower than 100 evidencing the high affinity of LAE for both simulants, while D coefficients approximate to 0.5x10(-17)m(2)s(-1) demonstrated the slow diffusion of LAE through the material.</t>
  </si>
  <si>
    <t>Munoz, Pilar/G-6480-2015; Muñoz-Shugulí, Cristina/AAO-4231-2020; Patiño Vidal, Cristian Javier/JDM-7961-2023; Gavara, Rafael/H-4096-2012; Lopez-de-Dicastillo, Carol/C-6347-2019</t>
  </si>
  <si>
    <t>Munoz Shuguli, Cristina Alejandra/0000-0003-0052-7411; Patino Vidal, Cristian Javier/0000-0002-5633-6908; VELASQUEZ, ELIEZER/0000-0001-8858-8926; Hernandez-Munoz, Pilar/0000-0001-7042-5467; Gavara, Rafael/0000-0001-6376-8939; Lopez-de-Dicastillo, Carol/0000-0003-0067-9765</t>
  </si>
  <si>
    <t>0260-8774</t>
  </si>
  <si>
    <t>1873-5770</t>
  </si>
  <si>
    <t>10.1016/j.jfoodeng.2023.111524</t>
  </si>
  <si>
    <t>APR 2023</t>
  </si>
  <si>
    <t>WOS:000976350700001</t>
  </si>
  <si>
    <t>Triviño, RD; Franco, AA; Ochoa, RL</t>
  </si>
  <si>
    <t>Vaca, C; Riofrio, D; Pincay, J; Teran, L</t>
  </si>
  <si>
    <t>Trivino, Roberto D.; Franco, Antonio A.; Ochoa, Rafael L.</t>
  </si>
  <si>
    <t>Zero Rating Effects in South American Countries</t>
  </si>
  <si>
    <t>2023 NINTH INTERNATIONAL CONFERENCE ON EDEMOCRACY &amp; EGOVERNMENT, ICEDEG</t>
  </si>
  <si>
    <t>International Conference on eDemocracy and eGovernment ICEDEG</t>
  </si>
  <si>
    <t>9th International Conference on eDemocracy and eGovernment, (ICEDEG)</t>
  </si>
  <si>
    <t>APR 03-05, 2023</t>
  </si>
  <si>
    <t>Quito, ECUADOR</t>
  </si>
  <si>
    <t>IEEE,IEEE Region 9,IEEE Comp Soc, E Govt Special Tech Community,Escuela Super Politecnica Litoral,Escuela Politecnica Nacl,Inst Altos Estudios Nacl,Univ Americas,Univ Tecnica Ambato,Univ Fribourg,Univ San Francisco Quito</t>
  </si>
  <si>
    <t>Zero-rating is the practice of mobile network operators in which data traffic generated by specific applications does not count towards a subscriber's Internet data allowance. This practice has received considerable attention in the discussion about net neutrality. Although in South America, some Network Neutrality laws have zero-rating restrictions, those are not absolute and have become increasingly popular among operators. However, some scholars highlight that the practice could violate network neutrality principles, and users' rights, while others argue that it allows users to access the Internet at a lower cost. The present article analyses the zerorating offers in four South American countries using a political-economic and developmental approach to identify the possible effects on access, competition, use, and affordability. The empirical results reveal positive and negative effects, depending on a specific market, where zero-rating could be partially positive for Colombia and Ecuador but not for Chile and Brazil.</t>
  </si>
  <si>
    <t>Ochoa-Urrego, Rafael-Leonardo/AAS-9580-2021</t>
  </si>
  <si>
    <t>Ochoa-Urrego, Rafael-Leonardo/0000-0003-1117-4877</t>
  </si>
  <si>
    <t>2573-2005</t>
  </si>
  <si>
    <t>2573-1998</t>
  </si>
  <si>
    <t>979-8-3503-2450-1</t>
  </si>
  <si>
    <t>10.1109/ICEDEG58167.2023.10121948</t>
  </si>
  <si>
    <t>WOS:001008282100020</t>
  </si>
  <si>
    <t>Navarro, F; Segura, R; Godoy, F; Martí, AA; Mascayano, C; Aguirre, MJ; Flores, E; Pizarro, J</t>
  </si>
  <si>
    <t>Navarro, Freddy; Segura, Rodrigo; Godoy, Fernando; Marti, Angel A.; Mascayano, Carolina; Aguirre, Maria J.; Flores, Erick; Pizarro, Jaime</t>
  </si>
  <si>
    <t>Fast and Simple Preparation of a Sensor Based on Electrochemically Reduced Graphene Oxide (rGO) for the Determination of Zopiclone in Pharmaceutical Dosage by Square Wave Adsorptive Stripping Voltammetry (SWAdSV)</t>
  </si>
  <si>
    <t>ELECTROANALYSIS</t>
  </si>
  <si>
    <t>The interactions of zopiclone with electrochemically reduced graphene oxide (rGO) modified electrode were examined. A comparison of GC/rGO and glassy carbon electrode (GC) by electrochemical impedance spectroscopy and scanning electrochemical microscopy (SECM) shows that the modified surface is much less conductive than GC. The role of rGO is to act as a site of specific adsorption of the analyte. Molecular dynamics showed that the monoanionic form of zopiclone presents more interactions with defects of rGO. The analytical methodology allowed obtaining a linearity of 10-130 mu g L-1, with a limit of detection of 2.14 mu g L-1 using SWAdSV at pH 10.0.</t>
  </si>
  <si>
    <t>Segura, Rodrigo/J-6696-2016; Marti, Angel/C-2762-2008; Aguirre, Maria/A-3935-2013; Flores, Erick/GPK-2155-2022; Navarro, Freddy/KIA-4345-2024</t>
  </si>
  <si>
    <t>Segura, Rodrigo/0000-0001-5747-2357; Mascayano Collado, Carolina Lorena/0000-0002-3488-9309; Flores, Dr. Erick/0000-0002-2573-6650</t>
  </si>
  <si>
    <t>1040-0397</t>
  </si>
  <si>
    <t>1521-4109</t>
  </si>
  <si>
    <t>10.1002/elan.202200357</t>
  </si>
  <si>
    <t>NOV 2022</t>
  </si>
  <si>
    <t>WOS:000884440400001</t>
  </si>
  <si>
    <t>Iturra, S; Contreras-Bolton, C; Parada, V</t>
  </si>
  <si>
    <t>Dorronsoro, B; Yalaoui, F; Talbi, EG; Danoy, G</t>
  </si>
  <si>
    <t>Iturra, Sergio; Contreras-Bolton, Carlos; Parada, Victor</t>
  </si>
  <si>
    <t>Automatic Generation of Metaheuristic Algorithms</t>
  </si>
  <si>
    <t>METAHEURISTICS AND NATURE INSPIRED COMPUTING, META 2021</t>
  </si>
  <si>
    <t>8th International Conference on Metaheuristics and Nature Inspired Computing (META)</t>
  </si>
  <si>
    <t>APR 05-08, 2021</t>
  </si>
  <si>
    <t>Marrakech, MOROCCO</t>
  </si>
  <si>
    <t>Designing a heuristic algorithm to solve an optimization problem can also be seen as an optimization problem. Such a problem seeks to determine the best algorithm contained in the search space. The objective function corresponds to the computational performance of the algorithm measured in terms of computational time, complexity, number of instructions or number of elementary operations. The automatic design of algorithms has been explored for several combinatorial optimization problems. In this work, we extend this exploration towards the automatic design of metaheuristics to find solutions for the traveling salesman problem. The process is carried out by genetic programming. The resulting algorithms are combinations of well-known metaheuristics and, in some cases, present better computational performance than the existing algorithms for the set of selected test instances.</t>
  </si>
  <si>
    <t>Parada, Victor/M-5840-2014; Contreras-Bolton, Carlos/D-9624-2016</t>
  </si>
  <si>
    <t>Parada, Victor/0000-0002-8649-5694; Contreras-Bolton, Carlos/0000-0001-9549-4143</t>
  </si>
  <si>
    <t>978-3-030-94216-8; 978-3-030-94215-1</t>
  </si>
  <si>
    <t>10.1007/978-3-030-94216-8_4</t>
  </si>
  <si>
    <t>WOS:000773472300004</t>
  </si>
  <si>
    <t>Silva, HA; Quezada, LE; Oddershede, AM; Palominos, PI; O'Brien, C</t>
  </si>
  <si>
    <t>Silva, Hernan A.; Quezada, Luis E.; Oddershede, A. M.; Palominos, Pedro I.; O'Brien, Christopher</t>
  </si>
  <si>
    <t>A Method for Estimating Students' Desertion in Educational Institutions Using the Analytic Hierarchy Process</t>
  </si>
  <si>
    <t>JOURNAL OF COLLEGE STUDENT RETENTION-RESEARCH THEORY &amp; PRACTICE</t>
  </si>
  <si>
    <t>The objective of this paper is the design of a predictive model of students' desertion in Educational Institutions based on the Analytic Hierarchy Process (AHP). The proposed model is based on a weighted sum of individual probabilities of desertion associated with various factors (explanatory variables) by experts in the combined use of the AHP and the Ratings technique for the evaluation of the explanatory variables of the model. This proposal was applied in an Institution of Higher Education in Chile. To evaluate the predictive performance of the method, the results were compared with those obtained using Logistic Regression (RL) and with the actual retention of the students in one year. It was found that the proposed method had a 64.6% level of predictability, whereas the model with logistic regression had a 69.9%. It is concluded that it is possible to predict student desertion with a simple model based on the Analytical Hierarchy Process.</t>
  </si>
  <si>
    <t>Quezada, Luis/W-8168-2019</t>
  </si>
  <si>
    <t>Palominos, Pedro/0000-0002-5695-3025</t>
  </si>
  <si>
    <t>1521-0251</t>
  </si>
  <si>
    <t>1541-4167</t>
  </si>
  <si>
    <t>10.1177/1521025120971227</t>
  </si>
  <si>
    <t>WOS:000598416400001</t>
  </si>
  <si>
    <t>Contreras-Bolton, C; Parada, V</t>
  </si>
  <si>
    <t>Contreras-Bolton, Carlos; Parada, Victor</t>
  </si>
  <si>
    <t>An effective two-level solution approach for the prize-collecting generalized minimum spanning tree problem by iterated local search</t>
  </si>
  <si>
    <t>INTERNATIONAL TRANSACTIONS IN OPERATIONAL RESEARCH</t>
  </si>
  <si>
    <t>The prize-collecting generalized minimum spanning tree problem consists of finding a minimum cost spanning tree in an undirected graph, considering that the vertices are divided into clusters, that there is a nonnegative cost associated with each edge, that there is a prize to be collected on each vertex, and that only one vertex of each cluster belongs to the tree. Due to its NP-hardness, this problem remains a computational challenge even for small instances, and the practical applications that arise in telecommunication networks can attain large dimensions. The state-of-the-art algorithm finds good solutions for several instances; however, the quality of solutions and the computing time for large instances remain to be improved. We propose an iterated local search algorithm that works on a two-level solution approach, taking advantage of the structure of the problem. The first-level subproblem aims to select a vertex for each cluster, and the second-level subproblem addresses the determination of the minimum spanning tree covering such vertices. The performance of the resulting algorithm is evaluated with the most challenging instances from the literature, comparing the results with the state-of-the-art algorithm. The computational experiment conducted shows that, both in existing instances and in a new group of instances presented in this paper, the proposed algorithm outperforms the state-of-the-art algorithm.</t>
  </si>
  <si>
    <t>Contreras-Bolton, Carlos/0000-0001-9549-4143; Parada, Victor/0000-0002-8649-5694</t>
  </si>
  <si>
    <t>0969-6016</t>
  </si>
  <si>
    <t>1475-3995</t>
  </si>
  <si>
    <t>10.1111/itor.12880</t>
  </si>
  <si>
    <t>WOS:000574359000001</t>
  </si>
  <si>
    <t>Del Solar, JW; Delgado, C; Torrente, MC; Délano, PH</t>
  </si>
  <si>
    <t>Del Solar, Jonathan Wimmer; Delgado, Carolina; Torrente, Mariela C.; Delano, Paul H.</t>
  </si>
  <si>
    <t>Hearing loss as a risk factor for dementia</t>
  </si>
  <si>
    <t>In the last decades, there has been an increase in life expectancy in the world, with the consequent modification in the proportion of adults over 60 years. This is accompanied by an increase in pathologies for which aging is the main risk factor, such as dementia and hearing loss, which profoundly affect the quality of life of individuals and their family and impact health system costs. Given the lack of disease-modifying treatments for dementia, the study of mechanisms to prevent its occurrence has become a world priority. In the year 2017, the Lancet Commission for dementia prevention, intervention, and care proposed a model, in which hearing loss emerged as a new modifiable risk factor for the development of dementia. This result undoubtedly has important consequences for the understanding the multifactorial nature of dementia, our daily clinical practice and public policies aimed at its prevention and treatment. In this article, we review the current evidence supporting the association between dementia and hearing loss, discussing the available strategies for prevention, detection and treatment of hearing loss and its possible impact on the natural course of dementia. A flow chart for the clinical management of different subgroups of patients is proposed.</t>
  </si>
  <si>
    <t>Torrente, Mariela/AGR-5959-2022; Delano, Paul/I-1030-2013; delgado, carolina/AAS-2383-2021</t>
  </si>
  <si>
    <t>DELGADO DERIO, CAROLINA/0000-0001-5551-0065</t>
  </si>
  <si>
    <t>WOS:000604270200010</t>
  </si>
  <si>
    <t>Magnot, JP; Reyes, EG</t>
  </si>
  <si>
    <t>Magnot, Jean-Pierre; Reyes, Enrique G.</t>
  </si>
  <si>
    <t>Well-Posedness of the Kadomtsev-Petviashvili Hierarchy, Mulase Factorization, and Frolicher Lie Groups</t>
  </si>
  <si>
    <t>ANNALES HENRI POINCARE</t>
  </si>
  <si>
    <t>We recall the notions of Frolicher and diffeological spaces, and we build regular Frolicher Lie groups and Lie algebras of formal pseudo-differential operators in one independent variable. Combining these constructions with a smooth version of Mulase's deep algebraic factorization of infinite-dimensional groups based on formal pseudo-differential operators, we present two proofs of the well-posedness of the Cauchy problem for the Kadomtsev-Petviashvili (KP) hierarchy in a smooth category. We also generalize these results to a KP hierarchy modelled on formal pseudo-differential operators with coefficients which are series in formal parameters, we describe a rigorous derivation of the Hamiltonian interpretation of the KP hierarchy, and we discuss how solutions depending on formal parameters can lead to sequences of functions converging to a class of solutions of the standard KP-II equation.</t>
  </si>
  <si>
    <t>1424-0637</t>
  </si>
  <si>
    <t>1424-0661</t>
  </si>
  <si>
    <t>10.1007/s00023-020-00896-3</t>
  </si>
  <si>
    <t>MAR 2020</t>
  </si>
  <si>
    <t>WOS:000518051400001</t>
  </si>
  <si>
    <t>San Martin, AE; Sepúlveda, M; Guzmán, F; Guzmán, H; Patiño, F; Preiss, Y</t>
  </si>
  <si>
    <t>Esteban San Martin, Andres; Sepulveda, Matias; Guzman, Felipe; Guzman, Hernan; Patino, Felipe; Preiss, Yudith</t>
  </si>
  <si>
    <t>Surgical Morbidity in the Elderly Bariatric Patient: Does Age Matter? (vol 29, pg 2548, 2019)</t>
  </si>
  <si>
    <t>OBESITY SURGERY</t>
  </si>
  <si>
    <t>Preiss, Yudith/JXN-5386-2024</t>
  </si>
  <si>
    <t>SEPULVEDA, MATIAS/0000-0002-9454-7466</t>
  </si>
  <si>
    <t>0960-8923</t>
  </si>
  <si>
    <t>1708-0428</t>
  </si>
  <si>
    <t>10.1007/s11695-019-03949-7</t>
  </si>
  <si>
    <t>WOS:000477590600025</t>
  </si>
  <si>
    <t>Polanco, MM</t>
  </si>
  <si>
    <t>Mella Polanco, Marcelo</t>
  </si>
  <si>
    <t>Theoretical and strategic dilemmas of political representation</t>
  </si>
  <si>
    <t>WOS:000440942900004</t>
  </si>
  <si>
    <t>Santibáñez, NP</t>
  </si>
  <si>
    <t>Vera, HV; Carrizo, JPA</t>
  </si>
  <si>
    <t>Paulus Santibanez, Nelson</t>
  </si>
  <si>
    <t>About what communication does it speak to me? Of the suitable comprehension of the concept of communication of Luhmann in the Modeling Based on Agents</t>
  </si>
  <si>
    <t>DEMOCRACIA, INFORMACION Y CIBERSOCIEDAD: UNA MIRADA DESDE CHILE</t>
  </si>
  <si>
    <t>978-956-8416-70-6</t>
  </si>
  <si>
    <t>WOS:000462868900007</t>
  </si>
  <si>
    <t>Agurto, M; Schlechter, RO; Armijo, G; Solano, E; Serrano, C; Contreras, RA; Zuñiga, GE; Arce-Johnson, P</t>
  </si>
  <si>
    <t>Agurto, Mario; Schlechter, Rudolf O.; Armijo, Grace; Solano, Esteban; Serrano, Carolina; Contreras, Rodrigo A.; Zuniga, Gustavo E.; Arce-Johnson, Patricio</t>
  </si>
  <si>
    <t>RUN1 and REN1 Pyramiding in Grapevine (Vitis vinifera cv. Crimson Seedless) Displays an Improved Defense Response Leading to Enhanced Resistance to Powdery Mildew (Erysiphe necator)</t>
  </si>
  <si>
    <t>FRONTIERS IN PLANT SCIENCE</t>
  </si>
  <si>
    <t>Fungal pathogens are the cause of the most common diseases in grapevine and among them powdery mildew represents a major focus for disease management. Different strategies for introgression of resistance in grapevine are currently undertaken in breeding programs. For example, introgression of several resistance genes (R) from different sources for making it more durable and also strengthening the plant defense response. Taking this into account, we cross-pollinated P09-105/34, a grapevine plant carrying both RUN1 and REN1 pyramided loci of resistance to Erysiphe necator inherited from a pseudo-backcrossing scheme with Muscadinia rotundifolia and Vitis vinifera 'Dzhandzhal Kara,' respectively, with the susceptible commercial table grape cv. 'Crimson Seedless.' We developed RUN1REN1 resistant genotypes through conventional breeding and identified them by marker assisted selection. The characterization of defense response showed a highly effective defense mechanism against powdery mildew in these plants. Our results reveal that RUN1REN1 grapevine plants display a robust defense response against E. necator, leading to unsuccessful fungal establishment with low penetration rate and poor hypha development. This resistance mechanism includes reactive oxygen species production, callose accumulation, programmed cell death induction and mainly VvSTS36 and VvPEN1 gene activation. RUN1REN1 plants have a great potential as new table grape cultivars with durable complete resistance to E. necator, and are valuable germplasm to be included in grape breeding programs to continue pyramiding with other sources of resistance to grapevine diseases.</t>
  </si>
  <si>
    <t>Zuñiga, Gustavo/P-8306-2015; Schlechter, Rudolf/ABB-3225-2021; Contreras, Rodrigo/I-1871-2013; Arce-Johnson, Patricio/JUV-7099-2023</t>
  </si>
  <si>
    <t>Schlechter, Rudolf/0000-0002-5717-2917; Arce-Johnson, Patricio/0000-0003-3854-1286; Armijo, Grace/0009-0009-9021-3213; Contreras, Rodrigo/0000-0001-9970-3125; Zuniga, Gustavo/0000-0002-8286-9468</t>
  </si>
  <si>
    <t>1664-462X</t>
  </si>
  <si>
    <t>MAY 12</t>
  </si>
  <si>
    <t>10.3389/fpls.2017.00758</t>
  </si>
  <si>
    <t>WOS:000401188500001</t>
  </si>
  <si>
    <t>Diaz, MA; Zagal, JC; Falcon, C; Stepanova, M; Valdivia, JA; Martinez-Ledesma, M; Diaz-Peña, J; Jaramillo, FR; Romanova, N; Pacheco, E; Milla, M; Orchard, M; Silva, J; Mena, FP</t>
  </si>
  <si>
    <t>Diaz, M. A.; Zagal, J. C.; Falcon, C.; Stepanova, M.; Valdivia, J. A.; Martinez-Ledesma, M.; Diaz-Pena, J.; Jaramillo, F. R.; Romanova, N.; Pacheco, E.; Milla, M.; Orchard, M.; Silva, J.; Mena, F. P.</t>
  </si>
  <si>
    <t>New opportunities offered by Cubesats for space research in Latin America: The SUCHAI project case</t>
  </si>
  <si>
    <t>ADVANCES IN SPACE RESEARCH</t>
  </si>
  <si>
    <t>During the last decade, a very small-standardized satellite, the Cubesat, emerged as a low-cost fast-development tool for space and technology research. Although its genesis is related to education, the change in paradigm presented by this satellite platform has motivated several countries, institutions, and companies to invest in a variety of technologies, aimed at improving Cubesat capabilities, while lowering costs of space missions. Following that trend, Latin American institutions, mostly universities, has started to develop Cubesat missions. This article describes some of the Latin American projects in this area. In particular, we discuss the achievements and scientific grounds upon which the first Cubesat projects in Chile were based and the implications that those projects have had on pursuing satellite-based research in the country and in collaboration with other countries of the region. (C) 2016 COSPAR. Published by Elsevier Ltd. All rights reserved.</t>
  </si>
  <si>
    <t>Diaz Pena, Joaquin/MTC-0307-2025; Falcon, Claudio/A-7844-2013; Valdivia, Juan/A-3631-2008; Silva, Jorge/M-8750-2013; Zagal, Juan/F-5036-2016; Romanova, Natalia/O-5195-2014; Diaz, Marcos/I-1125-2013; Martinez-Ledesma, Miguel/F-9831-2015; Milla, Marco/L-9345-2013; Orchard, Marcos/H-4418-2013; Mena, Fausto/H-8193-2013; Stepanova, Marina/D-6329-2011</t>
  </si>
  <si>
    <t>Martinez-Ledesma, Miguel/0000-0001-6932-1249; Jaramillo Montoya, Francisco/0000-0002-1087-7311; Milla, Marco/0000-0001-9067-863X; Pacheco, Edgardo/0000-0002-2131-4872; Romanova, Natalia/0000-0003-2956-3299; Orchard, Marcos/0000-0003-4778-2719; Mena, Fausto/0000-0001-8616-0854; Silva, Jorge/0000-0002-0256-282X; Stepanova, Marina/0000-0002-1053-3375; Valdivia, Juan Alejandro/0000-0003-3381-9904; Falcon, Claudio/0000-0002-2730-1319</t>
  </si>
  <si>
    <t>0273-1177</t>
  </si>
  <si>
    <t>1879-1948</t>
  </si>
  <si>
    <t>10.1016/j.asr.2016.06.012</t>
  </si>
  <si>
    <t>WOS:000387521000024</t>
  </si>
  <si>
    <t>Portela, R; García-Sánchez, VE; Villarroel, M; Rasmussen, SB; Avila, P</t>
  </si>
  <si>
    <t>Portela, R.; Garcia-Sanchez, V. E.; Villarroel, M.; Rasmussen, S. B.; Avila, P.</t>
  </si>
  <si>
    <t>Influence of the pore generation method on the metal dispersion and oxidation activity of supported Pt in monolithic catalysts</t>
  </si>
  <si>
    <t>The catalytic oxidation activity of structured macro/mesoporous Pt catalysts obtained by the one-step impregnated carbon procedure (ICP) with different binder/support combinations (sepiolite or mixtures with TiO2 or Al2O3) is compared to that of catalysts with the same composition obtained by conventional impregnation of the previously shaped support, with and without activated carbon as pore-generating agent. The superior results of the former are explained in terms of porosity and metal dispersion, estimated by calculation of the platinum apparent molar surface coverage from electrophoretic migration measurements. The big macropores generated reduce the internal diffusion limitations, facilitating the accessibility of the gaseous compounds to the active phase. However, the main improvement for these sepiolite-based monoliths must be mainly attributed to the good Pt dispersion obtained by this method, with metal particles smaller than 10 nm, confirming the role of the activated carbon template not only as a macroporosity generating agent, but also as a dispersant and stabilizer of the metal particles - preventing agglomeration - and as source of CO for in situ reduction of the precursor. In addition, the ICP method minimizes the calcination steps needed for the preparation of the catalyst. (C) 2015 Elsevier B.V. All rights reserved.</t>
  </si>
  <si>
    <t>Avila, Pedro/JGM-4674-2023; Portela, Raquel/K-5858-2014</t>
  </si>
  <si>
    <t>GARCIA, VICTORIA EUGENIA/0000-0001-8210-5225; Portela, Raquel/0000-0002-1882-4759</t>
  </si>
  <si>
    <t>JAN 25</t>
  </si>
  <si>
    <t>10.1016/j.apcata.2015.10.050</t>
  </si>
  <si>
    <t>WOS:000369214300007</t>
  </si>
  <si>
    <t>Arancibia, C; Bayarri, S; Costell, E</t>
  </si>
  <si>
    <t>Arancibia, Carla; Bayarri, Sara; Costell, Elvira</t>
  </si>
  <si>
    <t>Effect of hydrocolloid on rheology and microstructure of high-protein soy desserts</t>
  </si>
  <si>
    <t>JOURNAL OF FOOD SCIENCE AND TECHNOLOGY-MYSORE</t>
  </si>
  <si>
    <t>Due to the rheological and structural basis of texture perceived in semisolid foods, the aim of this work was to study the effects of two thickening agents, on rheology and microstructure of soy protein desserts. As rheological parameter values may not be enough to explain the possible perceived texture differences, the effect of composition on two instrumental indexes of oral consistency (apparent viscosity at 50 s(-1) and complex dynamic viscosity at 8 Hz) was also studied. Samples were prepared at two soy protein isolate (SPI) concentrations (6 and 8 % w/w), each with four modified starch concentrations (2, 2.5, 3 and 3.5 % w/w) or four Carboxymethyl cellulose (CMC) concentrations (0.3, 0.5, 0.7 and 0.9 % w/w). Two more samples without added thickener were prepared as control samples. The flow curves of all systems showed a typical shear-thinning behaviour and observable hysteresis loops. Control sample flow fitted well with the Ostwald-de Waele model and the flow of samples with thickener to the Herschel-Bulkley model. Viscoelastic properties of samples ranged from fluid-like to weak gel, depending on thickener and SPI concentrations. Starch-based samples exhibited a globular structure with SPI aggregates distributed among starch granules. In CMC-based samples, a coarse stranded structure with SPI aggregates partially embedded was observed. Variation of the two thickness index values with composition showed a similar trend with good correlation between them (R-2 = 0.92). Soy desserts with different composition but with similar rheological behaviour or instrumental thickness index values can be obtained.</t>
  </si>
  <si>
    <t>Arancibia, Carla/AAN-2290-2020</t>
  </si>
  <si>
    <t>0022-1155</t>
  </si>
  <si>
    <t>0975-8402</t>
  </si>
  <si>
    <t>10.1007/s13197-015-1756-9</t>
  </si>
  <si>
    <t>WOS:000361554900031</t>
  </si>
  <si>
    <t>Nardocci, G; Navarro, C; Cortés, PP; Imarai, M; Montoya, M; Valenzuela, B; Jara, P; Acuña-Castillo, C; Fernández, R</t>
  </si>
  <si>
    <t>Nardocci, Gino; Navarro, Cristina; Cortes, Paula P.; Imarai, Monica; Montoya, Margarita; Valenzuela, Beatriz; Jara, Pablo; Acuna-Castillo, Claudio; Fernandez, Ricardo</t>
  </si>
  <si>
    <t>Neuroendocrine mechanisms for immune system regulation during stress in fish</t>
  </si>
  <si>
    <t>In the last years, the aquaculture crops have experienced an explosive and intensive growth, because of the high demand for protein. This growth has increased fish susceptibility to diseases and subsequent death. The constant biotic and abiotic changes experienced by fish species in culture are challenges that induce physiological, endocrine and immunological responses. These changes mitigate stress effects at the cellular level to maintain homeostasis. The effects of stress on the immune system have been studied for many years. While acute stress can have beneficial effects, chronic stress inhibits the immune response in mammals and teleost fish. In response to stress, a signaling cascade is triggered by the activation of neural circuits in the central nervous system because the hypothalamus is the central modulator of stress. This leads to the production of catecholamines, corticosteroid-releasing hormone, adrenocorticotropic hormone and glucocorticoids, which are the essential neuroendocrine mediators for this activation. Because stress situations are energetically demanding, the neuroendocrine signals are involved in metabolic support and will suppress the less important immune function. Understanding the cellular mechanisms of the neuroendocrine regulation of immunity in fish will allow the development of new pharmaceutical strategies and therapeutics for the prevention and treatment of diseases triggered by stress at all stages of fish cultures for commercial production. (C) 2014 Elsevier Ltd. All rights reserved.</t>
  </si>
  <si>
    <t>Acuña-Castillo, Claudio/AAI-7090-2021; Navarro, Cristina/GLQ-9105-2022; Nardocci, Gino/AAE-7793-2019; Fernandez, Ricardo/H-3422-2018</t>
  </si>
  <si>
    <t>Acuna-Castillo, Claudio/0000-0003-3607-6077; Fernandez, Ricardo/0000-0003-4493-9362; Navarro, Cristina/0000-0002-5715-7303; Nardocci, Gino/0000-0002-2342-6480; Imarai, Monica/0000-0001-8767-9180; Montoya, Margarita/0000-0002-6268-1118</t>
  </si>
  <si>
    <t>10.1016/j.fsi.2014.08.001</t>
  </si>
  <si>
    <t>WOS:000343381100023</t>
  </si>
  <si>
    <t>Estay, H; Troncoso, E; Romero, J</t>
  </si>
  <si>
    <t>Estay, Humberto; Troncoso, Elizabeth; Romero, Julio</t>
  </si>
  <si>
    <t>Design and cost estimation of a gas-filled membrane absorption (GFMA) process as alternative for cyanide recovery in gold mining</t>
  </si>
  <si>
    <t>JOURNAL OF MEMBRANE SCIENCE</t>
  </si>
  <si>
    <t>Cyanide recovery processes are currently an attractive technology implemented in gold mining. The reduction of operational costs, along with minimization or avoidance of the use of expensive processes in destroying cyanide, are among the main reasons that might persuade the gold mining industry to adopt these technologies. The SART and AVR processes are the most frequently implemented in the past years, although both technologies have high requirements of footprint area, equipment sizes and reagents consumption. The present work proposes a novel cyanide recovery technology based on membrane absorption to recover cyanide in gold mining. This study reports the design and cost estimation for cyanide recovery by means of the gas-filled membrane absorption (GFMA) process, which was previously characterized by experimental trials using a commercial hollow fiber contactor, and the modeling of its mass transfer was also carried out. Furthermore, preliminary economic studies of the GFMA, AVR and SART processes were done in order to evaluate the feasibility of the GFMA process. Results from this work suggest that the membrane absorption process could reduce the requirements of footprint area and energy consumption, yielding a net present value at least 35% higher than the AVR process and competitive with the SART process. Hence, the membrane absorption process here proposed is a viable and attractive alternative to current cyanide recovery processes, especially under specific operation conditions, such as low copper concentration in solutions or limitations in flow configuration, where the implementation of the SART process becomes difficult. (C) 2014 Elsevier B.V. All rights reserved.</t>
  </si>
  <si>
    <t>Romero, Julio/I-6705-2013; Estay, Humberto/I-3499-2017</t>
  </si>
  <si>
    <t>Estay, Humberto/0000-0001-8518-7131; Troncoso, Elizabeth/0000-0002-6749-774X; Romero, Julio/0000-0002-1229-1592</t>
  </si>
  <si>
    <t>0376-7388</t>
  </si>
  <si>
    <t>1873-3123</t>
  </si>
  <si>
    <t>10.1016/j.memsci.2014.04.045</t>
  </si>
  <si>
    <t>WOS:000338392300027</t>
  </si>
  <si>
    <t>Farrokhseresht, N; Oróstica, HC; Hesamzadeh, MR</t>
  </si>
  <si>
    <t>Farrokhseresht, Nakisa; Chavez Orostica, Hector; Hesamzadeh, Mohammad Reza</t>
  </si>
  <si>
    <t>Determination of Acceptable Inertia Limit for Ensuring Adequacy under High Levels of Wind Integration</t>
  </si>
  <si>
    <t>2014 11TH INTERNATIONAL CONFERENCE ON THE EUROPEAN ENERGY MARKET (EEM)</t>
  </si>
  <si>
    <t>International Conference on the European Energy Market</t>
  </si>
  <si>
    <t>11th International Conference on European Energy Market (EEM)</t>
  </si>
  <si>
    <t>MAY 28-30, 2014</t>
  </si>
  <si>
    <t>Krakow, POLAND</t>
  </si>
  <si>
    <t>IEEE,IEEE Power &amp; Energy Soc,SEP,IEE</t>
  </si>
  <si>
    <t>The significant penetration of wind generation in power grids has raised new challenges in operational and planning decisions of power systems. Wind turbine units almost always include power converters decoupling the frequency dynamics of the wind power generators from that of the grid. This decoupling causes a reduction in total system inertia, affecting the system's ability to overcome frequency disturbances [1]. To study the impact of wind power on system inertia, a system identification approach is followed. This heuristic identification method determines the parameters of governors and prime movers. The instantaneous minimum frequency requirements and the rate of change of frequency are simulated using the identified power system, and via an extrapolation, the maximum wind power penetration in Sweden is found. Finally, a need for market design is introduced in order to ensure adequacy.</t>
  </si>
  <si>
    <t>Farrokhseresht, Nakisa/0000-0002-9968-075X</t>
  </si>
  <si>
    <t>2165-4077</t>
  </si>
  <si>
    <t>978-1-4799-6095-8</t>
  </si>
  <si>
    <t>WOS:000345229900098</t>
  </si>
  <si>
    <t>Verdejo, H; Vargas, L; Kliemann, W</t>
  </si>
  <si>
    <t>Verdejo, H.; Vargas, L.; Kliemann, W.</t>
  </si>
  <si>
    <t>Linear Stability via Lyapunov Exponents in Electrical Power Systems</t>
  </si>
  <si>
    <t>This paper deals with linear systems under sustained random perturbations. The stochastic perturbation model is given by a bounded Markov diffusion process, as it appears, e. g., in the description of load or generation uncertainties of power systems. For such systems, the Lyapunov exponents describe necessary and sufficient conditions for almost sure asymptotic stability. The present article reviews several numerical methods for the computation of Lyapunov exponents and applies this methodology to international test systems: four machines - ten bus and ten machines-thirty nine bus.</t>
  </si>
  <si>
    <t>vargas, luis/A-2109-2011</t>
  </si>
  <si>
    <t>vargas, Luis/0000-0001-6539-1768</t>
  </si>
  <si>
    <t>10.1109/TLA.2013.6710380</t>
  </si>
  <si>
    <t>WOS:000330219400009</t>
  </si>
  <si>
    <t>Escobar, A; Candia, E; Reyes-Cerpa, S; Villegas-Valdes, B; Neira, T; Lopez, M; Maisey, K; Tempio, F; Ríos, M; Acuña-Castillo, C; Imarai, M</t>
  </si>
  <si>
    <t>Escobar, Alejandro; Candia, Enzo; Reyes-Cerpa, Sebastian; Villegas-Valdes, Belgica; Neira, Tanya; Lopez, Mercedes; Maisey, Kevin; Tempio, Fabian; Rios, Miguel; Acuna-Castillo, Claudio; Imarai, Monica</t>
  </si>
  <si>
    <t>Neisseria gonorrhoeae Induces a Tolerogenic Phenotype in Macrophages to Modulate Host Immunity</t>
  </si>
  <si>
    <t>MEDIATORS OF INFLAMMATION</t>
  </si>
  <si>
    <t>Neisseria gonorrhoeae is the etiological agent of gonorrhoea, which is a sexually transmitted disease widespread throughout the world. N. gonorrhoeae does not improve immune response in patients with reinfection, suggesting that gonococcus displays several mechanisms to evade immune response and survive in the host. N. gonorrhoeae is able to suppress the protective immune response at different levels, such as B and T lymphocytes and dendritic cells. In this study, we determined whether N. gonorrhoeae directly conditions the phenotype of RAW 264.7 murine macrophage cell line and its response. We established that gonococcus was effectively phagocytosed by the RAW 264.7 cells and upregulates production of immunoregulatory cytokines (IL-10 and TGF-beta 1) but not the production of proinflammatory cytokine TNF-alpha, indicating that gonococcus induces a shift towards anti-inflammatory cytokine production. Moreover, N. gonorrhoeae did not induce significant upregulation of costimulatory CD86 and MHC class II molecules. We also showed that N. gonorrhoeae infected macrophage cell line fails to elicit proliferative CD4+ response. This implies that macrophage that can phagocytose gonococcus do not display proper antigen-presenting functions. These results indicate that N. gonorrhoeae induces a tolerogenic phenotype in antigen-presenting cells, which seems to be one of the mechanisms to induce evasion of immune response.</t>
  </si>
  <si>
    <t>Acuña-Castillo, Claudio/AAI-7090-2021; Lopez, Mercedes/CAF-4801-2022; Escobar, Alejandro/I-2775-2013; Maisey, Kevin/AAP-2886-2021</t>
  </si>
  <si>
    <t>Imarai, Monica/0000-0001-8767-9180; Lopez, Mercedes/0000-0002-1744-2038; Acuna-Castillo, Claudio/0000-0003-3607-6077; Maisey, Kevin/0000-0002-7423-6329; Reyes, Sebastian/0000-0002-7676-1266; Escobar, Alejandro/0000-0002-1587-4179</t>
  </si>
  <si>
    <t>0962-9351</t>
  </si>
  <si>
    <t>1466-1861</t>
  </si>
  <si>
    <t>10.1155/2013/127017</t>
  </si>
  <si>
    <t>WOS:000325323900001</t>
  </si>
  <si>
    <t>Rezende, MC; Dominguez, M; Aracena, A; Millán, D</t>
  </si>
  <si>
    <t>Caroli Rezende, Marcos; Dominguez, Moises; Aracena, Andres; Millan, Daniela</t>
  </si>
  <si>
    <t>Solvatochromism and electrophilicity</t>
  </si>
  <si>
    <t>CHEMICAL PHYSICS LETTERS</t>
  </si>
  <si>
    <t>Solvatochromic dyes that exhibit a negative or a positive behaviour may be distinguished and their solvatochromism predicted with the aid of DFT-based indices, such as their electrophilicity omega, hardness eta and by the Fukui electrophilic functions f(G)(+) of the donor and acceptor moieties of the molecule, calculated in the gas-phase and in solvents treated as polarised continua. The protocol was successfully applied to 10 examples of phenolate betaines from the literature, five of them exhibiting a negative and five a positive solvatochromism. (C) 2011 Elsevier B.V. All rights reserved.</t>
  </si>
  <si>
    <t>Aracena, Andres/MCK-0713-2025; Caroli, Marcos/H-3570-2019; Domínguez, Moisés/M-3457-2014; Millan, Daniela/ABD-4398-2021</t>
  </si>
  <si>
    <t>Dominguez, Moises/0000-0002-8444-3065; Aracena, Andres/0000-0002-8367-3520; Rezende, Marcos/0000-0003-2040-9009; Millan, Daniela/0000-0002-4264-7967</t>
  </si>
  <si>
    <t>0009-2614</t>
  </si>
  <si>
    <t>OCT 6</t>
  </si>
  <si>
    <t>4-6</t>
  </si>
  <si>
    <t>10.1016/j.cplett.2011.08.070</t>
  </si>
  <si>
    <t>WOS:000295831700015</t>
  </si>
  <si>
    <t>López-Alarcón, C; Ortíz, R; Benavides, J; Mura, E; Lissi, E</t>
  </si>
  <si>
    <t>Lopez-Alarcon, C.; Ortiz, R.; Benavides, J.; Mura, E.; Lissi, E.</t>
  </si>
  <si>
    <t>USE OF THE ORAC-PYROGALLOL RED/ORAC-FLUORESCEIN RATIO TO ASSESS THE QUALITY OF ANTIOXIDANTS IN CHILEAN WINES</t>
  </si>
  <si>
    <t>We have recently proposed that ORAC (Oxygen Radical Absorbance Capacity) methods employing fluorescein (ORAC-FL) and pyrogallol red (ORAC-PGR) as target molecules could be considered as complementary indexes. In particular, the ratio ORAC-PGR/ORAC-FL would reflect the average quality of the antioxidants present in a particular sample. In the present work, we evaluated the antioxidant capacity and the total phenol content of twelve Chilean wines (red, rose, and white) employing ORAC and Folin-Ciocalteau methods, respectively. Red wines showed higher Folin and ORAC values than rose and white wines. However, the ORAC-PGR/ORAC-FL ratio of all tested wines was close to 0.5. The results show that it is important to consider both, the phenol content of the sample (measured by ORAC-FL or Folin indexes) and their average reactivity (measured by the ORAC-PGR/ORAC-FL ratio). Both factors are considered relevant in the evaluation of the antioxidant capacity of wines.</t>
  </si>
  <si>
    <t>10.4067/S0717-97072011000300009</t>
  </si>
  <si>
    <t>WOS:000296753600009</t>
  </si>
  <si>
    <t>Gutiérrez-Frez, L; Pantoja, J; Soto-Andrade, J</t>
  </si>
  <si>
    <t>Milies, CP</t>
  </si>
  <si>
    <t>Gutierrez-Frez, Luis; Pantoja, Jose; Soto-Andrade, Jorge</t>
  </si>
  <si>
    <t>Geometric Weil representations for star-analogues of SL (2, k)</t>
  </si>
  <si>
    <t>GROUPS, ALGEBRAS AND APPLICATIONS</t>
  </si>
  <si>
    <t>Contemporary Mathematics</t>
  </si>
  <si>
    <t>18th Latin American Algebra Colloquium</t>
  </si>
  <si>
    <t>AUG 03-08, 2009</t>
  </si>
  <si>
    <t>Sao Pedro, BRAZIL</t>
  </si>
  <si>
    <t>Univ Sao Paulo, Inst Matemat Estatist,Inst Nacl Ciencia &amp; Tecnologia Matemat,Int Math Union, Commiss Dev &amp; Exchanges,Fundacao Amparo Pesquisa Estado Sao Paulo,Coordenacao Aperfeicoamento Pessoal Nivel Superior,Conselho Nacl Desenvolvimento Cientifico &amp; Tecnologico</t>
  </si>
  <si>
    <t>We present here an elementary geometric approach to the construction of Weil representations of the star-analogues S L-*(2, A), A a ring or algebra with involution *, of the group SL(2, k), k a field, reminiscent of the quantum groups SLq(2, A). We review as well the elementary construction of Weil representations for these groups via generators and relations, which uses the Bruhat presentation available in many cases. We compare the representations obtained by both methods in the non - classical case of the finite truncated polynomial algebra A(m) of degree m with its canonical involution and obtain the analogue of the Maslov Index in this case.</t>
  </si>
  <si>
    <t>0271-4132</t>
  </si>
  <si>
    <t>978-0-8218-5239-2</t>
  </si>
  <si>
    <t>WOS:000289909700015</t>
  </si>
  <si>
    <t>Ebensperger, LA; Ramírez-Otarola, N; León, C; Ortiz, ME; Croxatto, HB</t>
  </si>
  <si>
    <t>Ebensperger, Luis A.; Ramirez-Otarola, Natalia; Leon, Cecilia; Ortiz, Maria E.; Croxatto, Horacio B.</t>
  </si>
  <si>
    <t>Early fitness consequences and hormonal correlates of parental behaviour in the social rodent, Octodon degus</t>
  </si>
  <si>
    <t>PHYSIOLOGY &amp; BEHAVIOR</t>
  </si>
  <si>
    <t>Males are expected to assist their mates whenever this behaviour raises survival of offspring with little expense in terms of mating opportunities At a more proximate level cortisol and testosterone hormones seem involved in the expression of parental care in mammals We examined the consequences to postnatal offspring development and survival of the males presence in the social rodent Octodon degus Offspring quality and quantity and maternal condition of females were contrasted among females rearing their litters in the presence of the sire females breeding in the presence of a non-breeding female and females breeding solitarily We related these differences to variation in parental behaviour and plasma levels of testosterone and cortisol Twenty two females and their litters were studied under constant conditions of adult density nest availability food availability and breeding experience Males huddled over and groomed offspring However neither the number nor the mass of pups from dams that nested with the sire differed from those recorded to breeding females that nested with a non-breeding female and females that nested solitarily Body weight loss and associated levels of plasma cortisol in dams nesting with the sire were similar to those of solitary females but higher than mothers nesting with a non-breeding female Thus male care had no consequences to offspring and seemed detrimental to breeding females Circulating levels of cortisol and total testosterone were either poor (mothers) or no (fathers non-breeding females) predictors of parental care (C) 2010 Elsevier Inc All rights reserved</t>
  </si>
  <si>
    <t>Ebensperger, Luis A./0000-0002-8036-0625</t>
  </si>
  <si>
    <t>0031-9384</t>
  </si>
  <si>
    <t>NOV 2</t>
  </si>
  <si>
    <t>10.1016/j.physbeh.2010.07.017</t>
  </si>
  <si>
    <t>WOS:000283979500014</t>
  </si>
  <si>
    <t>Vasquez-Martinez, Y; Ohri, RV; Kenyon, V; Holman, TR; Sepulveda-Boza, S</t>
  </si>
  <si>
    <t>Vasquez-Martinez, Yesseny; Ohri, Rachana V.; Kenyon, Victor; Holman, Theodore R.; Sepulveda-Boza, Silvia</t>
  </si>
  <si>
    <t>Structure-activity relationship studies of flavonoids as potent inhibitors of human platelet 12-hLO, reticulocyte 15-hLO-1, and prostate epithelial 15-hLO-2</t>
  </si>
  <si>
    <t>BIOORGANIC &amp; MEDICINAL CHEMISTRY</t>
  </si>
  <si>
    <t>Human lipoxygenase (hLO) isozymes have been implicated in a number of disease states and have attracted much attention with respect to their inhibition. One class of inhibitors, the flavonoids, have been shown to be potent lipoxygenase inhibitors but their study has been restricted to those compounds found in nature, which have limited structural variability. We have therefore carried out a comprehensive study to determine the structural requirements for flavonoid potency and selectivity against platelet 12-hLO, reticulocyte 15-hLO-1, and prostate epithelial 15-hLO-2. We conclude from this study that catechols are essential for high potency, that isoflavones and isoflavanones tend to select against 12-hLO, that isoflavans tend to select against 15-hLO-1, but few flavonoids target 15-hLO-2. (C) 2007 Elsevier Ltd. All rights reserved.</t>
  </si>
  <si>
    <t>Kenyon, Victor/0000-0001-8713-9440; Vasquez Martinez, Yesseny Amneris/0000-0002-4184-9815</t>
  </si>
  <si>
    <t>0968-0896</t>
  </si>
  <si>
    <t>10.1016/j.bmc.2007.07.036</t>
  </si>
  <si>
    <t>WOS:000253489100020</t>
  </si>
  <si>
    <t>Serrano, R; Rudnick, H; Araneda, JC</t>
  </si>
  <si>
    <t>Serrano, Rosa; Rudnick, Hugh; Araneda, Juan C.</t>
  </si>
  <si>
    <t>Private planning of transmission expansion through cooperative games</t>
  </si>
  <si>
    <t>2007 IEEE LAUSANNE POWERTECH, VOLS 1-5</t>
  </si>
  <si>
    <t>IEEE Lausanne Powertech</t>
  </si>
  <si>
    <t>JUL 01-05, 2007</t>
  </si>
  <si>
    <t>Lausanne, SWITZERLAND</t>
  </si>
  <si>
    <t>From the social perspective, transmission planning has been broadly studied developing models that minimize expansion costs, subject to technical-economical restrictions that guarantee system security and stability. In a deregulated electric market, planning must allow the optimal development of the network at a minimum cost, based on economic and technical efficiency incentives, with proper reliability and quality of service levels, and adapted to the requirements of generation companies and consumers. This work studies the expansion of transmission systems from the private perspective, developing a static expansion model based on the interaction of market agents using cooperative gain theory. The major results are the expanded transmission system and the agents involved in the expansion. It is illustrated for a small system and applied to the 24-bus system(1).</t>
  </si>
  <si>
    <t>Rudnick, Hugh/F-8281-2013</t>
  </si>
  <si>
    <t>978-1-4244-2189-3</t>
  </si>
  <si>
    <t>10.1109/PCT.2007.4538435</t>
  </si>
  <si>
    <t>WOS:000258730100154</t>
  </si>
  <si>
    <t>Escalona, N; García, R; Lagos, G; Navarrete, C; Baeza, P; Gil-Llambías, FJ</t>
  </si>
  <si>
    <t>Escalona, N.; Garcia, R.; Lagos, G.; Navarrete, C.; Baeza, P.; Gil-Llambias, F. J.</t>
  </si>
  <si>
    <t>Effect of the hydrogen spillover on the selectivity of dibenzothiophene hydrodesulfurization over CoSx/γ-Al2O3, NiSx/γ-Al2O3 and MoS2/γ-Al2O3 catalysts</t>
  </si>
  <si>
    <t>CATALYSIS COMMUNICATIONS</t>
  </si>
  <si>
    <t>Dibenzothiophene (DBT) hydrodesulphurization (HDS) reaction at 3 MPa and 325-375 degrees C on Mo/gamma-Al2O3 single-bed and Me/gamma-Al2O3//SiO2//Mo/gamma-Al2O3 (Me = Co or Ni) double-bed catalysts were investigated. Results indicate that ratio cyclohexylbenzene (CHB)/biphenyl (BP) or selectivity is higher when using double-beds rather than a single-bed. Synergy in dibenzothiophene hydrodesulphurization on Co//Mo and Ni//Mo double-beds is also detected. Changes in selectivity and conversion are attributed to the action of spillover hydrogen (Hso) formed in the first bed that reaches the second bed. (c) 2006 Elsevier B.V. All rights reserved.</t>
  </si>
  <si>
    <t>Escalona, Nestor/F-3593-2016</t>
  </si>
  <si>
    <t>Escalona Burgos, Nestor/0000-0002-2628-4609</t>
  </si>
  <si>
    <t>1566-7367</t>
  </si>
  <si>
    <t>1873-3905</t>
  </si>
  <si>
    <t>10.1016/j.catcom.2006.05.011</t>
  </si>
  <si>
    <t>WOS:000242793800027</t>
  </si>
  <si>
    <t>Ordoñez, S; Carvajal, L; Martínez, V; Agurto, C; Marín, J; Olivares, L; Iturriza, I</t>
  </si>
  <si>
    <t>Salgado, L; Filho, FA</t>
  </si>
  <si>
    <t>Fracture toughness of SiC-Cu based alloys cermets</t>
  </si>
  <si>
    <t>ADVANCED POWDER TECHNOLOGY IV</t>
  </si>
  <si>
    <t>MATERIALS SCIENCE FORUM</t>
  </si>
  <si>
    <t>4th International Latin-American Conference on Power Technology</t>
  </si>
  <si>
    <t>NOV 19-21, 2003</t>
  </si>
  <si>
    <t>Guaruja, BRAZIL</t>
  </si>
  <si>
    <t>Abbott,Basf,Brassinter,Bruker,Dorst,Eckagranules,Engefor,GM,Hoganas,Magneti Marelli,Mahle Miba,Metaldyne,Metalpo,Mextra,Osterwalder,Qmp,Qualisinter,Shimadzu,Uniwidia,Zoz,CNPz,FINEP,CAPES,FAPESP</t>
  </si>
  <si>
    <t>Ceramic materials exhibit very low fracture toughness, which limits their applications. Recently, metal-ceramic composites have been developed to achieve improvements in toughness. In this work, the fracture toughness of SiC-Cu based alloys cermets, obtained by reactive infiltration, was measured at room temperature using the single edge notched beam (SENB) method. Values up to I I MPam(1/2) were obtained; these values were compared with the fracture toughness of commercial materials. The results of fracture toughness were directly related with the amount of the infiltrated metallic phase. The fracture energy was calculated using values of K-IC and Young Modulus obtained from four points bending tests. Differences on toughness values were related with porosity and type of fracture of the several systems. The microstructural analysis of the fracture surfaces was carried out by scanning electron microscopy. The role of different operating toughening mechanisms; such as crack deflection, bridging, branching, and energy dissipation through microcracking and/or microplasticity; has been examined.</t>
  </si>
  <si>
    <t>Iturriza, Inigo/ABK-3882-2022</t>
  </si>
  <si>
    <t>Inigo, Iturriza/0000-0003-1662-4945; Carvajal Ortega, Linton Patricio/0000-0002-5414-2755</t>
  </si>
  <si>
    <t>0255-5476</t>
  </si>
  <si>
    <t>0-87849-984-9</t>
  </si>
  <si>
    <t>498-499</t>
  </si>
  <si>
    <t>10.4028/www.scientific.net/MSF.498-499.350</t>
  </si>
  <si>
    <t>WOS:000233984500056</t>
  </si>
  <si>
    <t>Navarro, P; Vargas, C; Araya, E; Martín, I; Alguacil, FJ</t>
  </si>
  <si>
    <t>Arsenic precipitation from metallurgical effluents</t>
  </si>
  <si>
    <t>In the mining-metallurgical companies different liquid effluents are produced, which can contain a series of dissolved elements that are considered dangerous from an environmental point of view. One of these elements is the arsenic, especially in the state of oxidation +5 that can be precipitated as calcium or iron arsenate. To fulfil the environmental requests it should have in solution a content of arsenic lower than 0,5 mg/l and the obtained solid product should be very stable under the condition in which it will be stored. This work looks for the best conditions of arsenic precipitation, until achieving contents in solution lower than such mentioned concentration. Also, the stability of the precipitates was studied.</t>
  </si>
  <si>
    <t>Martín, María/AAB-3334-2020; Martin, MI/A-1801-2012</t>
  </si>
  <si>
    <t>Vargas, Cristian/0000-0002-7360-6201; alguacil, francisco jose/0000-0002-0247-3384; Martin, MI/0000-0001-5768-1255</t>
  </si>
  <si>
    <t>10.3989/revmetalm.2004.v40.i6.297</t>
  </si>
  <si>
    <t>WOS:000227616500002</t>
  </si>
  <si>
    <t>Cruchaga, MA; Celentano, DJ; Lewis, RW</t>
  </si>
  <si>
    <t>Modelling of twin-roll strip casting processes</t>
  </si>
  <si>
    <t>COMMUNICATIONS IN NUMERICAL METHODS IN ENGINEERING</t>
  </si>
  <si>
    <t>In this work, a twin-roll strip casting industrial process is analysed using a fixed-mesh finite element formulation able to deal with unsteady incompressible thermally coupled flows including phase-change and non-Newtonian effects assumed to account for the flow behaviour during the whole cooling conditions. The weak form of the full Navier-Stokes equations is obtained using a generalized streamline operator in order to stabilize its numerical response while a temperature-based algorithm is applied to describe the latent heat release. This proposed methodology is tested in a two-dimensional analysis of a twin-roll casting problem where an evaluation of different thermal and flow patterns is performed. Copyright (C) 2003 John Wiley Sons, Ltd.</t>
  </si>
  <si>
    <t>Cruchaga, Marcela/0000-0002-8708-2402</t>
  </si>
  <si>
    <t>1069-8299</t>
  </si>
  <si>
    <t>10.1002/cnm.616</t>
  </si>
  <si>
    <t>WOS:000184593800005</t>
  </si>
  <si>
    <t>Plyushchay, M</t>
  </si>
  <si>
    <t>Hidden nonlinear supersymmetries in pure parabosonic systems</t>
  </si>
  <si>
    <t>INTERNATIONAL JOURNAL OF MODERN PHYSICS A</t>
  </si>
  <si>
    <t>The existence of intimate relations between generalized statistics and supersymmetry is established by the observation of hidden supersymmetric structure in pure parabosonic systems. This structure is characterized generally by a nonlinear superalgebra. The nonlinear supersymmetry of parabosonic systems may be realized, in turn, by modifying appropriately the usual supersymmetric quantum mechanics. The relation of nonlinear parabosonic supersymmetry to the Calogero-like models with exchange interaction and to the spin chain models with inverse-square interaction is pointed out.</t>
  </si>
  <si>
    <t>0217-751X</t>
  </si>
  <si>
    <t>1793-656X</t>
  </si>
  <si>
    <t>SEP 20</t>
  </si>
  <si>
    <t>10.1142/S0217751X00001981</t>
  </si>
  <si>
    <t>WOS:000089454000004</t>
  </si>
  <si>
    <t>Pacheco, M; Barticevic, Z</t>
  </si>
  <si>
    <t>Shallow acceptor impurities in a quantum dot</t>
  </si>
  <si>
    <t>14th Latin American Symposiumm on Solid State Physics</t>
  </si>
  <si>
    <t>JAN 11-16, 1998</t>
  </si>
  <si>
    <t>OAXACA, MEXICO</t>
  </si>
  <si>
    <t>We investigate theoretically the influence of an external magnetic field on the energy levels of shallow acceptor impurities in GaAs/Ga1-xAlx As quantum dots. We calculate the impurity states in the effective-mass approximation using a formalism based on a four-band model that includes the coupling of spin to the magnetic field as well as the complicated valence-band structure of the host semiconductor. We discuss the effect on the acceptor binding energies of the different regimes of confinement by illustrating the competing action between the magnetic field confinement and the quantum-size confinement.</t>
  </si>
  <si>
    <t>Pacheco, Monica/AAG-8440-2019; Pacheco, Monica/L-9669-2014</t>
  </si>
  <si>
    <t>Pacheco, Monica/0000-0002-4293-5213</t>
  </si>
  <si>
    <t>WOS:000077675900041</t>
  </si>
  <si>
    <t>Study of the von Karman flow between coaxial corotating disks</t>
  </si>
  <si>
    <t>We report an experimental study of the swirling flow generated in the gap between two coaxial corotating disks. We use a free geometry, i.e., unshrouded disks in air, with moderate to high Reynolds numbers. When the relative rotation rate is varied, transitions in the flow can be observed by global power measurement and are related to the geometry of the external recirculating flow. The mean flow is studied in details with hot-wire measurements using a boxcar-type averaging technique. It involves a single turbulent vortex undergoing a slow precession motion. We show that statistical properties of the turbulent fluctuations are affected by the dynamics of the mean flow, which also displays a correlation with the global power fluctuations. (C) 1996 American Institute of Physics.</t>
  </si>
  <si>
    <t>10.1063/1.868871</t>
  </si>
  <si>
    <t>WOS:A1996UC21800007</t>
  </si>
  <si>
    <t>CABRERA, HM; ARGANDONA, VH; ZUNIGA, GE; CORCUERA, LJ</t>
  </si>
  <si>
    <t>EFFECT OF INFESTATION BY APHIDS ON THE WATER STATUS OF BARLEY AND INSECT DEVELOPMENT</t>
  </si>
  <si>
    <t>PHYTOCHEMISTRY</t>
  </si>
  <si>
    <t>To compare the effects of aphid infestation with some effects of wounding and drought-stress, several physiological parameters and metabolite concentrations were measured in infested, mechanically wounded or water-stressed young barley plants (Hordeum vulgare cv Aramir). Barley plants infested with the greenbug (Schizaphis graminum) had lower water potentials and CO2 assimilation than non-infested plants. Abscisic acid content increased by 55% in leaves after 72 hr of infestation. Water potentials and stomatal resistance of barley plants changed only as a consequence of infestation by the greenbug or by drought-stress. Proline concentration increased in leaves subjected to infestation or drought by 11- and 14-fold, respectively. Leaves with artificial damage showed the same reduction in chlorophyll contents as leaves of drought-stressed plants. Greenbug infestation caused higher chlorosis than other treatments. Contents of soluble carbohydrates and proteins decreased 52 and 38% by infestation, 38 and 28% by drought, and 14 and 8% by artificial leaf damage, respectively. To study the influence of these treatments on the quality of barley plants as a food source for the aphids, developmental rates (1/D) and the mean relative growth rates (MRGR) of nymphs reared on these seedlings were compared. New aphids reared on previously infested seedlings had the lowest MRGR and 1/D (ca 82 and 68%, respectively) compared to aphids on control plants without previous infestation. Aphids reared on plants subjected to drought also had lower MRGR and 1/D (ca 89% and 77%). Greenbugs on wounded leaves had similar MRGR and 1/D rates to nymphs reared on control plants. These results show that greenbug infestation of barley produced changes similar to those observed in plants subjected to drought-stress and that aphids feeding on both groups of seedlings had lower developmental and mean relative growth rates. Water-stress caused in barley by aphid infestation or drought would probably affect greenbug development due to the effects of stress on the chemical composition of the plant.</t>
  </si>
  <si>
    <t>Corcuera, Luis/G-1714-2014; Zuñiga, Gustavo/P-8306-2015</t>
  </si>
  <si>
    <t>0031-9422</t>
  </si>
  <si>
    <t>1873-3700</t>
  </si>
  <si>
    <t>10.1016/0031-9422(95)00325-2</t>
  </si>
  <si>
    <t>WOS:A1995TB78800010</t>
  </si>
  <si>
    <t>Extraction of Mo(VI) solutions in nitric media by Alamine 336 or Aliquat 336</t>
  </si>
  <si>
    <t>The treatment of molybdenite concentrates with nitric acid yields solutions in which copper and iron accompany molybdenum as impurities. The purification of such solutions using the tertiary amine Alamine 336, the quaternary ammonium salt Aliquat 336 or mixtures of both as selective extractants for molybdenum is studied here. Stripping is accomplished with ammonium hydroxide solutions, obtaining ammonium molybdate solutions which can be recirculated to the main circuit for the obtention of ammonium molybdate.</t>
  </si>
  <si>
    <t>10.3989/revmetalm.1995.v31.i6.937</t>
  </si>
  <si>
    <t>WOS:A1995TN87500004</t>
  </si>
  <si>
    <t>FAURE, M; LISSI, E; TORRES, R; VIDELA, LA</t>
  </si>
  <si>
    <t>ANTIOXIDANT ACTIVITIES OF LIGNANS AND FLAVONOIDS</t>
  </si>
  <si>
    <t>The antioxidant activity of lignans and flavonoids was assessed by their effects upon the rate of rat brain homogenate autoxidation. The structurally similar lignans dihydroguayaretic acid, guayacasin and isopregomisin are powerful antioxidants with activities similar to that of propyl gallate. The differences observed between the different lignans (a factor of four between dihydroguataretic acid and isopregomisin) can be explained in terms of the number of methoxyl group of each compound. The flavonoids 3''-methoxycalicopterin and 7''-methylsudachitin are considerably less active than the lignans or quercetin. Differences observed in their antioxidant capacities assessed from luminescence and TBAR determinations, indicate that visible luminescence is not an appropriate method for assessing the antioxidant capacities of flavonoids or additives absorbing at wavelengths close to those of emission of the excited states involved.</t>
  </si>
  <si>
    <t>10.1016/0031-9422(90)85329-E</t>
  </si>
  <si>
    <t>WOS:A1990EG19900015</t>
  </si>
  <si>
    <t>Obrecht, A; Paneque, M</t>
  </si>
  <si>
    <t>Obrecht, Alberto; Paneque, Manuel</t>
  </si>
  <si>
    <t>Unraveling the Role of AtSRT2 in Energy Metabolism, Stress Responses, and Gene Expression during Osmotic Stress in Arabidopsis thaliana</t>
  </si>
  <si>
    <t>PLANTS-BASEL</t>
  </si>
  <si>
    <t>Sirtuins participate in chromatin remodeling and gene expression regulation during stress responses. They are the only deacetylases that couple the cellular NAD+-dependent energy metabolism with transcriptional regulation. They catalyze the production of nicotinamide, inhibiting sirtuin 2 (SIR2) activity in vivo. The SIR2 homolog, AtSRT2, deacetylates non-histone proteins associated with mitochondrial energy metabolism. To date, AtSRT2 mechanisms during stress responses in Arabidopsis thaliana remain unclear. The transduction of mitochondrial metabolic signals links the energy status to transcriptional regulation, growth, and stress responses. These signals induce changes by regulating nuclear gene expression. The present study aimed to determine the role of SRT2 and its product nicotinamide in the development of A. thaliana and the expression of osmotic stress-response genes. Leaf development was greater in srt2+ plants than in the wild type, indicating that SET2 plays a role in energy metabolism. Treatment with polyethylene glycol activated and inhibited gene expression in srt2- and srt2+ lines, respectively. Therefore, we concluded that SRT2-stimulated plant growth and repressed signaling are associated with osmotic stress.</t>
  </si>
  <si>
    <t>Paneque, Manuel/A-6930-2015</t>
  </si>
  <si>
    <t>Paneque, Manuel/0000-0002-8731-0233</t>
  </si>
  <si>
    <t>2223-7747</t>
  </si>
  <si>
    <t>10.3390/plants13050711</t>
  </si>
  <si>
    <t>WOS:001183418600001</t>
  </si>
  <si>
    <t>Silva, CP; Candia, CP; Paredes, M; Imbarack, E; Martínez-Gómez, F; Olguín, CF; Jara, G; Zagal, JH; Pavez, J; Agurto, N</t>
  </si>
  <si>
    <t>Silva, Carlos P.; Candia, Carolina P.; Paredes, Mauricio; Imbarack, Elizabeth; Martinez-Gomez, Fabian; Olguin, Camila F.; Jara, Geraldine; Zagal, Jose H.; Pavez, Jorge; Agurto, Nicolas</t>
  </si>
  <si>
    <t>Electrocatalytic oxygen reduction on metalloporphyrins. Second coordination sphere substituents on the ligand: Electronic and steric effects through pocket and extended structures and their effect on the electrocatalytic activity</t>
  </si>
  <si>
    <t>JOURNAL OF CATALYSIS</t>
  </si>
  <si>
    <t>The rational design of new electrocatalysts remains a continuous challenge in pursuing high-performance fuel cells free of precious metals. In this work, we report MN4-type metal-complex catalyst based on bio-inspired systems, i.e., metalloporphyrins complexes that include the second coordination sphere as the central axis for a relevant improvement in catalysis. Two isostructural systems, tetra-ferrocenyl-triazole metalloporphyrin (pocket vs. extended structures), were synthesized to study the role of the second coordination sphere on the electrochemical oxygen reduction reaction (ORR). The electrocatalysis results show that both porphyrin systems promote the ORR via four electrons. The system that presents a pocket structure (o-Fc4TPP-FeIII) exhibits a foot of the wave 72 mV more positive than its analog with an extended structure (p-Fc4TPP-FeIII). Rotating ring-disc experiments evidenced that the presence of H-bonding and distal redox groups would be directly related to faradaic efficiency for the 4-electron reduction to water, with an 86 % for the pocket structure and 76 % for the extended system. This study allows us to confirm the molecular scaffolding function by comparing two systems that present the same functional groups but in different chemical environments, providing valuable information regarding the steric-spatial parameters that play a role in the ORR.</t>
  </si>
  <si>
    <t>zagal, jose/L-9648-2014; PAVEZ, JORGE/K-6904-2014</t>
  </si>
  <si>
    <t>PAVEZ, JORGE/0000-0002-5100-6707; Martinez, Fabian/0000-0001-5802-9816; Imbarack, Elizabeth/0000-0003-3501-9388</t>
  </si>
  <si>
    <t>0021-9517</t>
  </si>
  <si>
    <t>1090-2694</t>
  </si>
  <si>
    <t>10.1016/j.jcat.2024.115365</t>
  </si>
  <si>
    <t>WOS:001185323400001</t>
  </si>
  <si>
    <t>Eugenín, J; Bernhardi, LEV; von Bernhardi, R</t>
  </si>
  <si>
    <t>Eugenin, Jaime; Eugenin-von Bernhardi, Laura; von Bernhardi, Rommy</t>
  </si>
  <si>
    <t>Age-dependent changes on fractalkine forms and their contribution to neurodegenerative diseases</t>
  </si>
  <si>
    <t>The chemokine fractalkine (FKN, CX3CL1), a member of the CX3C subfamily, contributes to neuron-glia interaction and the regulation of microglial cell activation. Fractalkine is expressed by neurons as a membrane-bound protein (mCX3CL1) that can be cleaved by extracellular proteases generating several sCX3CL1 forms. sCX3CL1, containing the chemokine domain, and mCX3CL1 have high affinity by their unique receptor (CX3CR1) which, physiologically, is only found in microglia, a resident immune cell of the CNS. The activation of CX3CR1contributes to survival and maturation of the neural network during development, glutamatergic synaptic transmission, synaptic plasticity, cognition, neuropathic pain, and inflammatory regulation in the adult brain. Indeed, the various CX3CL1 forms appear in some cases to serve an anti-inflammatory role of microglia, whereas in others, they have a pro-inflammatory role, aggravating neurological disorders. In the last decade, evidence points to the fact that sCX3CL1 and mCX3CL1 exhibit selective and differential effects on their targets. Thus, the balance in their level and activity will impact on neuron-microglia interaction. This review is focused on the description of factors determining the emergence of distinct fractalkine forms, their age-dependent changes, and how they contribute to neuroinflammation and neurodegenerative diseases. Changes in the balance among various fractalkine forms may be one of the mechanisms on which converge aging, chronic CNS inflammation, and neurodegeneration.</t>
  </si>
  <si>
    <t>von Bernhardi, Rommy/IAO-3764-2023</t>
  </si>
  <si>
    <t>von Bernhardi, Rommy/0000-0002-9022-7676</t>
  </si>
  <si>
    <t>SEP 25</t>
  </si>
  <si>
    <t>10.3389/fnmol.2023.1249320</t>
  </si>
  <si>
    <t>WOS:001079723100001</t>
  </si>
  <si>
    <t>Hernández, V; Ibarra, D; Triana, JF; Martínez-Soto, B; Faúndez, M; Vasco, DA; Gordillo, L; Herrera, F; García-Herrera, C; Garmulewicz, A</t>
  </si>
  <si>
    <t>Hernandez, Valentina; Ibarra, Davor; Triana, Johan F.; Martinez-Soto, Bastian; Faundez, Matias; Vasco, Diego A.; Gordillo, Leonardo; Herrera, Felipe; Garcia-Herrera, Claudio; Garmulewicz, Alysia</t>
  </si>
  <si>
    <t>Agar Biopolymer Films for Biodegradable Packaging: A Reference Dataset for Exploring the Limits of Mechanical Performance</t>
  </si>
  <si>
    <t>MATERIALS</t>
  </si>
  <si>
    <t>This article focuses on agar biopolymer films that offer promise for developing biodegradable packaging, an important solution for reducing plastics pollution. At present there is a lack of data on the mechanical performance of agar biopolymer films using a simple plasticizer. This study takes a Design of Experiments approach to analyze how agar-glycerin biopolymer films perform across a range of ingredients concentrations in terms of their strength, elasticity, and ductility. Our results demonstrate that by systematically varying the quantity of agar and glycerin, tensile properties can be achieved that are comparable to agar-based materials with more complex formulations. Not only does our study significantly broaden the amount of data available on the range of mechanical performance that can be achieved with simple agar biopolymer films, but the data can also be used to guide further optimization efforts that start with a basic formulation that performs well on certain property dimensions. We also find that select formulations have similar tensile properties to thermoplastic starch (TPS), acrylonitrile butadiene styrene (ABS), and polypropylene (PP), indicating potential suitability for select packaging applications. We use our experimental dataset to train a neural network regression model that predicts the Young's modulus, ultimate tensile strength, and elongation at break of agar biopolymer films given their composition. Our findings support the development of further data-driven design and fabrication workflows.</t>
  </si>
  <si>
    <t>Herrera, Felipe/KHD-8453-2024; García-Herrera, Claudio/ABE-8991-2020; Vasco, Diego/Y-2934-2019; Hernández-Muñoz, Valentina/HNI-2646-2023; Garmulewicz, Alysia/HTS-8792-2023; GORDILLO, Leonardo/I-8215-2014; Triana, Johan F./AAU-9985-2021</t>
  </si>
  <si>
    <t>Ibarra Perez, Davor/0000-0002-1972-6085; Hernandez-Munoz, Valentina/0000-0003-0100-8322; GORDILLO, Leonardo/0000-0002-9516-1346; Garcia-Herrera, Claudio/0000-0002-1283-8551; Vasco, Diego Andres/0000-0001-7456-4683; Garmulewicz, Alysia/0000-0001-8468-5809; Triana, Johan F./0000-0001-9551-3121</t>
  </si>
  <si>
    <t>1996-1944</t>
  </si>
  <si>
    <t>10.3390/ma15113954</t>
  </si>
  <si>
    <t>WOS:000809063400001</t>
  </si>
  <si>
    <t>Paczkowski, S; Comi, J; Küttner, I; Knappe, V; Russ, M; Robles, LAD; Jaeger, D; Pelz, S</t>
  </si>
  <si>
    <t>Paczkowski, Sebastian; Comi, Julian; Kuttner, Immanuel; Knappe, Victoria; Russ, Michael; Diaz Robles, Luis Alonzo; Jaeger, Dirk; Pelz, Stefan</t>
  </si>
  <si>
    <t>Hydrothermal treatment (HTT) for improving the fuel properties of biomass residues</t>
  </si>
  <si>
    <t>BIOMASS CONVERSION AND BIOREFINERY</t>
  </si>
  <si>
    <t>Water leaching and hydrothermal carbonization are tools to upgrade biomass residues for combustion. Water leaching reduces the ash content, which increases the heating value, while hydrothermal carbonization (HTC) increases heating value and ash content and decreases the organic fraction of the fuel. The objective of this study is to investigate, whether low temperature hydrothermal treatment (HTT) of biomass residues can combine the positive aspects of both treatments and avoid the negative aspects: a decrease of the ash content (leaching) instead of an increase (HTC) and a strong increase of the heating value by deoxygenation (HTC) instead of a low increase by ash reduction (leaching). Sawdust, conifer bark, black locust bark, green cuttings, and leaves were treated at 150 degrees C, 170 degrees C and 185 degrees C in a batch reactor. The impact of the three treatments on combustion properties, inorganic element reduction, and organic compound formation in the liquid phase were investigated. All biomass residues, except sawdust treated at 150 degrees C, showed increased heating values and reduced ash contents. The intensity of the heating value increases, and the reduction rates of selected ash elements were discussed, including a comparison of literature values and a short review on organic reaction and formation processes at low temperature and pressure conditions.</t>
  </si>
  <si>
    <t>Pelz, Stefan/HMV-9809-2023; Diaz-Robles, Luis/D-3450-2013</t>
  </si>
  <si>
    <t>Jaeger, Dirk/0000-0003-3642-2937</t>
  </si>
  <si>
    <t>2190-6815</t>
  </si>
  <si>
    <t>2190-6823</t>
  </si>
  <si>
    <t>10.1007/s13399-022-02494-1</t>
  </si>
  <si>
    <t>APR 2022</t>
  </si>
  <si>
    <t>WOS:000779715400002</t>
  </si>
  <si>
    <t>Duran-Meza, E; Diaz-Espinoza, R</t>
  </si>
  <si>
    <t>Duran-Meza, Eva; Diaz-Espinoza, Rodrigo</t>
  </si>
  <si>
    <t>Catalytic Amyloids as Novel Synthetic Hydrolases</t>
  </si>
  <si>
    <t>Amyloids are supramolecular assemblies composed of polypeptides stabilized by an intermolecular beta-sheet core. These misfolded conformations have been traditionally associated with pathological conditions such as Alzheimer's and Parkinson ' s diseases. However, this classical paradigm has changed in the last decade since the discovery that the amyloid state represents a universal alternative fold accessible to virtually any polypeptide chain. Moreover, recent findings have demonstrated that the amyloid fold can serve as catalytic scaffolds, creating new opportunities for the design of novel active bionanomaterials. Here, we review the latest advances in this area, with particular emphasis on the design and development of catalytic amyloids that exhibit hydrolytic activities. To date, three different types of activities have been demonstrated: esterase, phosphoesterase and di-phosphohydrolase. These artificial hydrolases emerge upon the self-assembly of small peptides into amyloids, giving rise to catalytically active surfaces. The highly stable nature of the amyloid fold can provide an attractive alternative for the design of future synthetic hydrolases with diverse applications in the industry, such as the in situ decontamination of xenobiotics.</t>
  </si>
  <si>
    <t>Diaz-Espinoza, Rodrigo/HDM-8819-2022</t>
  </si>
  <si>
    <t>Diaz-Espinoza, Rodrigo/0000-0002-1315-0716</t>
  </si>
  <si>
    <t>10.3390/ijms22179166</t>
  </si>
  <si>
    <t>WOS:000694273600001</t>
  </si>
  <si>
    <t>Honorato, MR</t>
  </si>
  <si>
    <t>Ruperthuz Honorato, Mariano</t>
  </si>
  <si>
    <t>From mental hygiene, solidarity and worker resistance to the hegemonic use of psychology in Santiago de Chile, 1920-1950</t>
  </si>
  <si>
    <t>TRASHUMANTE-REVISTA AMERICANA DE HISTORIA SOCIAL</t>
  </si>
  <si>
    <t>This paper focuses on the organized working class of Santiago de Chile's reception of the postulates of the psychological disciplines, specifically of mental hygiene. Focused on a historical reconstruction that takes on the communist, socialist and anarchist working-class press of the mid-twentieth century, the paper brings to light a concern about the mental consequences of capitalism on the working class. In this way, an alternative route to the history of psychological knowledge opens up, showing the agency of the popular metropolitan class in Chile.</t>
  </si>
  <si>
    <t>Ruperthuz, Mariano/GWC-5381-2022</t>
  </si>
  <si>
    <t>2322-9381</t>
  </si>
  <si>
    <t>2322-9675</t>
  </si>
  <si>
    <t>10.17533/udea.trahs.n18a09</t>
  </si>
  <si>
    <t>WOS:000680834000009</t>
  </si>
  <si>
    <t>Vanhauwaert, PS</t>
  </si>
  <si>
    <t>Sofia Vanhauwaert, Paula</t>
  </si>
  <si>
    <t>Polycystic ovary syndrome and infertility</t>
  </si>
  <si>
    <t>Infertility is one of the main manifestations of the polycystic ovary syndrome (PCOS), and to day PCOS is the main cause of anovulatory infertility accounting for 80% of the cases. The majority of PCOS causes of infertility are treatable, and early diagnosis improves the patient's fertility outcome. In spite of its incidence and importance, the physiopathological mechanisms of PCOS are still relatively unknown. Recently an international evidence base recommendation for treatment have been published.</t>
  </si>
  <si>
    <t>10.1016/j.rmclc.2020.11.005</t>
  </si>
  <si>
    <t>WOS:000647284400004</t>
  </si>
  <si>
    <t>Letelier, MF; Siginer, DA; Merino, P; Stockle, JS</t>
  </si>
  <si>
    <t>ASME</t>
  </si>
  <si>
    <t>Letelier, Mario F.; Siginer, Dennis A.; Merino, Paola; Stockle, Juan S.</t>
  </si>
  <si>
    <t>PREDICTION OF TRANSVERSAL FLOW IN NON-CIRCULAR TUBES WITH A HIGHER ORDER CONSTITUTIVE EQUATION</t>
  </si>
  <si>
    <t>PROCEEDINGS OF THE ASME INTERNATIONAL MECHANICAL ENGINEERING CONGRESS AND EXPOSITION, 2019, VOL 7</t>
  </si>
  <si>
    <t>ASME International Mechanical Engineering Congress and Exposition (IMECE)</t>
  </si>
  <si>
    <t>NOV 08-14, 2019</t>
  </si>
  <si>
    <t>Salt Lake City, UT</t>
  </si>
  <si>
    <t>In this paper we explore the potential of an explicit constitutive equation in predicting secondary flows in straight, non-circular tubes in steady and fully developed flow. We show that secondary flows appear at first order in k a constitutive parameter in the new constitutive structure when solving the field through an asymptotic approach. The structure of the transversal stream-function predicted by the new structure is the same as that obtained at third order in Weissenberg number with the Modified Phan-Thien-Tanner constitutive equation aside from constitutive constants. We present predictions of the velocity field and a comparison with the corresponding predictions of the MPTT model. These results are obtained using the analytical algorithm based on the shape factor concept coupled with asymptotic expansions developed and used previously by the authors to solve related problems.</t>
  </si>
  <si>
    <t>978-0-7918-5944-5</t>
  </si>
  <si>
    <t>V007T08A029</t>
  </si>
  <si>
    <t>WOS:001254322800029</t>
  </si>
  <si>
    <t>Alaniz, AJ; Carvajal, MA; Núñez-Hidalgo, I; Vergara, PM</t>
  </si>
  <si>
    <t>Alaniz, Alberto J.; Carvajal, Mario A.; Nunez-Hidalgo, Ignacio; Vergara, Pablo M.</t>
  </si>
  <si>
    <t>Chronicle of an Environmental Disaster: Aculeo Lake, the Collapse of the Largest Natural Freshwater Ecosystem in Central Chile</t>
  </si>
  <si>
    <t>ENVIRONMENTAL CONSERVATION</t>
  </si>
  <si>
    <t>Nuñez-Hidalgo, Ignacio/O-6585-2015; Alaniz, Alberto/J-3104-2019; Carvajal, Mario/GYU-2659-2022; Vergara, Pablo/F-2519-2010</t>
  </si>
  <si>
    <t>Alaniz, Alberto J./0000-0003-4878-8848; Vergara, Pablo/0000-0002-0024-1678; Nunez-Hidalgo, Ignacio/0000-0002-8337-2840</t>
  </si>
  <si>
    <t>0376-8929</t>
  </si>
  <si>
    <t>1469-4387</t>
  </si>
  <si>
    <t>PII S0376892919000122</t>
  </si>
  <si>
    <t>10.1017/S0376892919000122</t>
  </si>
  <si>
    <t>WOS:000484393100004</t>
  </si>
  <si>
    <t>Huemer, C; Pérez-Lantero, P; Seara, C; Silveira, RI</t>
  </si>
  <si>
    <t>Huemer, Clemens; Perez-Lantero, Pablo; Seara, Carlos; Silveira, Rodrigo I.</t>
  </si>
  <si>
    <t>Matching points with disks with a common intersection</t>
  </si>
  <si>
    <t>DISCRETE MATHEMATICS</t>
  </si>
  <si>
    <t>We consider matchings with diametral disks between two sets of points R and B. More precisely, for each pair of matched points p is an element of R and q is an element of B, we consider the disk through p and q with the smallest diameter. We prove that for any R and B such that vertical bar RS vertical bar = vertical bar B vertical bar, there exists a perfect matching such that the diametral disks of the matched point pairs have a common intersection. In fact, our result is stronger, and shows that a maximum weight perfect matching has this property. (C) 2019 Elsevier B.V. All rights reserved.</t>
  </si>
  <si>
    <t>Seara, Carlos/Z-3370-2019; Silveira, Rodrigo/H-7609-2015; Huemer, Clemens/I-1046-2015</t>
  </si>
  <si>
    <t>Silveira, Rodrigo/0000-0003-0202-4543; Huemer, Clemens/0000-0001-7557-0823; Seara, Carlos/0000-0002-0095-1725</t>
  </si>
  <si>
    <t>0012-365X</t>
  </si>
  <si>
    <t>1872-681X</t>
  </si>
  <si>
    <t>10.1016/j.disc.2019.03.003</t>
  </si>
  <si>
    <t>WOS:000471088300002</t>
  </si>
  <si>
    <t>The Pinochet Generation: The Chilean Military in the Twentieth Century.</t>
  </si>
  <si>
    <t>10.1017/tam.2018.130</t>
  </si>
  <si>
    <t>WOS:000458113400040</t>
  </si>
  <si>
    <t>Miranda, D; Jara, C; Mejias, S; Ahumada, V; Cortez-San Martin, M; Ibañez, J; Hirsch, S; Montoya, M</t>
  </si>
  <si>
    <t>Miranda, Dante; Jara, Claudia; Mejias, Sophia; Ahumada, Viviana; Cortez-San Martin, Marcelo; Ibanez, Jorge; Hirsch, Sandra; Montoya, Margarita</t>
  </si>
  <si>
    <t>Deficient mitochondrial biogenesis in IL-2 activated NK cells correlates with impaired PGC1-α upregulation in elderly humans</t>
  </si>
  <si>
    <t>EXPERIMENTAL GERONTOLOGY</t>
  </si>
  <si>
    <t>Immunosenescence has been described as age-associated changes in the immune function which are thought to be responsible for the increased morbidity with age. Human Natural Killer (NK) cells are a specialized heterogeneous subpopulation of lymphocytes involved in immune defense against tumor and microbial diseases. Interestingly, aging-related NK cell dysfunction is associated with features of aging such as tumor incidence, reduced vaccination efficacy, and short survival due to infection. It is known that NK cell effector functions are critically dependent on cytokines and metabolic activity. Our aim was to determine whether there is a difference in purified human NK cell function in response to high concentration of IL-2 between young and elder donors. Here, we report that the stimulation of human NK cells with IL-2 (2000 U/mL) enhance NK cell cytotoxic activity from both young and elderly donors. However, while NK cells from young people responded to IL-2 signaling by increasing mitochondrial mass and mitochondrial membrane potential, no increase in these mitochondrial functional parameters was seen in purified NK cells from elderly subjects. Moreover, as purified NK cells from the young exhibited an almost three-fold increase in PGC-1 alpha expression after IL-2 (2000 U/mL) stimulation, PGC-1 alpha expression was inhibited in purified NK cells from elders. Furthermore, this response upon PGC-1 alpha expression after IL-2 stimulation promoted an increase in ROS production in NK cells from elderly humans, while no increase in ROS production was observed in NK cells of young donors. Our data show that IL-2 stimulates NK cell effector function through a signaling pathway which involves a PGC-1 alpha-dependent mitochondrial function in young NK cells, however it seems that NK cells from older donors exhibit an altered IL-2 signaling which affects mitochondrial function associated with an increased production of ROS which could represent a feature of NK cell senescence.</t>
  </si>
  <si>
    <t>Hirsch, Sandra/R-2431-2016</t>
  </si>
  <si>
    <t>Montoya, Margarita/0000-0002-6268-1118; Hirsch, Sandra/0000-0003-2338-5559; Ibanez, Jorge/0000-0003-4317-8573</t>
  </si>
  <si>
    <t>0531-5565</t>
  </si>
  <si>
    <t>1873-6815</t>
  </si>
  <si>
    <t>10.1016/j.exger.2018.05.014</t>
  </si>
  <si>
    <t>WOS:000442386400011</t>
  </si>
  <si>
    <t>Alonso, J; Brum, J; Rivas, C</t>
  </si>
  <si>
    <t>Alonso, Juan; Brum, Joaquin; Rivas, Cristobal</t>
  </si>
  <si>
    <t>Orderings and flexibility of some subgroups of Homeo+(R)</t>
  </si>
  <si>
    <t>JOURNAL OF THE LONDON MATHEMATICAL SOCIETY-SECOND SERIES</t>
  </si>
  <si>
    <t>In this work we exhibit flexibility phenomena for some (countable) groups acting by order preserving homeomorphisms of the line. More precisely, we show that if a left orderable group admits an amalgam decomposition of the form G = F-n *(Z) F-m where n + m &gt;= 3, then every faithful action of G on the line by order preserving homeomorphisms can be approximated by another action (without global fixed points) that is not semi-conjugated to the initial action. We deduce that LO(G), the space of left orders of G, is a Cantor set. In the special case where G = pi(1)(Sigma) is the fundamental group of a closed hyperbolic surface, we found finer techniques of perturbation. For instance, we exhibit a single representation whose conjugacy class in dense in the space of representations. This entails that the space of representations without global fixed points of pi(1)(Sigma) into Homeo(+)(R) is connected, and also that the natural conjugation action of pi 1(Sigma) on LO(pi(1)(Sigma)) has a dense orbit.</t>
  </si>
  <si>
    <t>Rivas, Cristobal/0000-0003-4021-2705</t>
  </si>
  <si>
    <t>0024-6107</t>
  </si>
  <si>
    <t>1469-7750</t>
  </si>
  <si>
    <t>10.1112/jlms.12044</t>
  </si>
  <si>
    <t>WOS:000407971300011</t>
  </si>
  <si>
    <t>Acuña-Fontecilla, A; Silva-Moreno, E; Ganga, MA; Godoy, L</t>
  </si>
  <si>
    <t>Acuna-Fontecilla, Andrea; Silva-Moreno, Evelyn; Angelica Ganga, Maria; Godoy, Liliana</t>
  </si>
  <si>
    <t>Evaluation of antimicrobial activity from native wine yeast against food industry pathogenic microorganisms</t>
  </si>
  <si>
    <t>CYTA-JOURNAL OF FOOD</t>
  </si>
  <si>
    <t>Currently, there is a worldwide trend toward the food consumption without the use of preservatives. For this reason, biocontrols have emerged as a natural option to replace preservatives. We identify and select native wine yeasts with antimicrobial activity (AA) that work against pathogenic bacteria of food importance. We evaluated the antimicrobial capacity of 103 yeast against Salmonella typhimurium, Listeria monocytogenes, and Escherichia coli, by measuring the growth inhibition. AA was qualitatively determined by measuring the inhibition zone diameter accompanied by death zone of target cells. Results revealed that nine yeast strains showed AA against the three pathogens, being mainly of the genera Pichia, Candida, and Saccharomyces. To determine the type of AA, the viability was assessed by the method of SYTOX Green (R). The results suggest that yeast exhibit AA bactericidal type. Thus, the use of yeasts arises as a natural and safe for the biocontrol of bacterial growth alternative. RESUMENActualmente existe una tendencia mundial por el consumo de alimentos sin el uso de preservantes. De esta forma, biocontroladores han emergido como una opcion natural para reemplazar preservantes. En este estudio se identificaron y seleccionaron levaduras vinicas con actividad antimicrobiana (AA) frente a bacterias patogenas. Evaluamos la capacidad antimicrobiana de 103 levaduras contra Salmonella Typhimurium, Listeria monocytogenes y Escherichia coli, determinando la inhibicion del crecimiento. La AA se determino cualitativamente midiendo el diametro de la zona de inhibicion acompanado de la zona de muerte de las celulas diana. Los resultados mostraron que 9 cepas de levadura mostraron AA frente a los tres patogenos, siendo principalmente de los generos Pichia, Candida, Saccharomyces y Metschnikowia. Para determinar el tipo de AA, se evaluo la viabilidad usando SYTOX Green (R). Los resultados sugieren que las levaduras presentan un tipo de AA bactericida. Asi, el uso de levaduras surge como una alternativa natural y segura para el control biologico del crecimiento bacteriano.</t>
  </si>
  <si>
    <t>Silva-Moreno, Evelyn/B-9545-2012; Olivares, Liliana/AAB-6276-2020; Ganga, Maria/S-8176-2019</t>
  </si>
  <si>
    <t>Godoy Olivares, Liliana/0000-0001-5110-5978; Silva-Moreno, Evelyn/0000-0001-8745-7916</t>
  </si>
  <si>
    <t>1947-6337</t>
  </si>
  <si>
    <t>1947-6345</t>
  </si>
  <si>
    <t>10.1080/19476337.2017.1297961</t>
  </si>
  <si>
    <t>WOS:000402612300018</t>
  </si>
  <si>
    <t>Rayas, JA; León-Rodríguez, M; Martínez-García, A; Cordero, RR</t>
  </si>
  <si>
    <t>MartinezGarcia, A; Furlong, C; Barrientos, B; Pryputniewicz, RJ</t>
  </si>
  <si>
    <t>Rayas, J. A.; Leon-Rodriguez, M.; Martinez-Garcia, Amalia; Cordero, R. R.</t>
  </si>
  <si>
    <t>Gates' Interferometer as Fringe Projection System for Recovering 3D Shapes</t>
  </si>
  <si>
    <t>EMERGING CHALLENGES FOR EXPERIMENTAL MECHANICS IN ENERGY AND ENVIRONMENTAL APPLICATIONS</t>
  </si>
  <si>
    <t>Conference Proceedings of the Society for Experimental Mechanics Series</t>
  </si>
  <si>
    <t>5th International Symposium on Experimental Mechanics (ISEM) / 9th Symposium on Optics in Industry (SOI)</t>
  </si>
  <si>
    <t>AUG 17-21, 2015</t>
  </si>
  <si>
    <t>Guanajuato, MEXICO</t>
  </si>
  <si>
    <t>Soc Expt Mech,Acad Mexicana Optica,Centro Investigaciones Optica</t>
  </si>
  <si>
    <t>3D shape recovery systems, based on structured light projection, allow recovering three-dimensional shape from complex opaque surfaces. Particularly, when a fringe pattern with sinusoidal profile is projected on a surface and algorithms for recovering optical phase are performed for its demodulation, sub-micrometer resolutions can be obtained. The resolution is closely related to the angle formed by the axis system of projection and the observation direction; other important parameters are the local gradient of the sinusoidal profile projected and the bit depth of the digital camera used to capture the deformed patterns. In this work, the projected sinusoidal fringe pattern is generated by a Gates' interferometer where an expanded and collimated laser beam is impinged onto a non-polarizing cube beam splitter (parallel to the splitter coating). Internal reflections and refractions of the laser beam passing through the cube generate the interference fringes that are projected over the test object. The Fast Fourier Transform, FFT, technique and a simple phase unwrapping method are used for demodulation of registered fringe patterns. Results of the three-dimensional surface of a coin that has a relief of about 150 mu m with a theoretical axial resolution varying from 0.1 to 7 mu m are presented.</t>
  </si>
  <si>
    <t>Rayas, Juan/CAG-8266-2022; Cordero, Raul/M-7979-2017</t>
  </si>
  <si>
    <t>Rayas, Juan Antonio/0000-0001-6809-2368; Leon-Rodriguez, Miguel/0000-0003-1309-2226</t>
  </si>
  <si>
    <t>2191-5644</t>
  </si>
  <si>
    <t>2191-5652</t>
  </si>
  <si>
    <t>978-3-319-28513-9; 978-3-319-28511-5</t>
  </si>
  <si>
    <t>10.1007/978-3-319-28513-9_21</t>
  </si>
  <si>
    <t>WOS:000405231500021</t>
  </si>
  <si>
    <t>Correa-Llantén, DN; Muñoz-Ibacache, SA; Castro, ME; Muñoz, PA; Blamey, JM</t>
  </si>
  <si>
    <t>Correa-Llanten, Daniela N.; Munoz-Ibacache, Sebastian A.; Castro, Miguel E.; Munoz, Patricio A.; Blamey, Jenny M.</t>
  </si>
  <si>
    <t>Gold nanoparticles synthesized by Geobacillus sp strain ID17 a thermophilic bacterium isolated from Deception Island, Antarctica</t>
  </si>
  <si>
    <t>MICROBIAL CELL FACTORIES</t>
  </si>
  <si>
    <t>Background: The use of microorganisms in the synthesis of nanoparticles emerges as an eco-friendly and exciting approach, for production of nanoparticles due to its low energy requirement, environmental compatibility, reduced costs of manufacture, scalability, and nanoparticle stabilization compared with the chemical synthesis. Results: The production of gold nanoparticles by the thermophilic bacterium Geobacillus sp. strain ID17 is reported in this study. Cells exposed to Au3+ turned from colourless into an intense purple colour. This change of colour indicates the accumulation of intracellular gold nanoparticles. Elemental analysis of particles composition was verified using TEM and EDX analysis. The intracellular localization and particles size were verified by TEM showing two different types of particles of predominant quasi-hexagonal shape with size ranging from 5-50 nm. The mayority of them were between 10-20 nm in size. FT-IR was utilized to characterize the chemical surface of gold nanoparticles. This assay supports the idea of a protein type of compound on the surface of biosynthesized gold nanoparticles. Reductase activity involved in the synthesis of gold nanoparticles has been previously reported to be present in others microorganisms. This reduction using NADH as substrate was tested in ID17. Crude extracts of the microorganism could catalyze the NADH-dependent Au3+ reduction. Conclusions: Our results strongly suggest that the biosynthesis of gold nanoparticles by ID17 is mediated by enzymes and NADH as a cofactor for this biological transformation.</t>
  </si>
  <si>
    <t>Blamey, Jenny/M-2637-2014; Muñoz, Sebastian/JDD-7351-2023</t>
  </si>
  <si>
    <t>Munoz Ibacache, Sebastian/0000-0003-4257-6123</t>
  </si>
  <si>
    <t>1475-2859</t>
  </si>
  <si>
    <t>AUG 6</t>
  </si>
  <si>
    <t>10.1186/1475-2859-12-75</t>
  </si>
  <si>
    <t>WOS:000323154100001</t>
  </si>
  <si>
    <t>Reyes-Cerpa, S; Gonzalez-Bown, MJ; Carrasco-Malio, A; Dantagnan, P; Hernández, A; Rodríguez, U; Bórquez, A; Vidal, R; Spencer, E; Sandino, AM</t>
  </si>
  <si>
    <t>Reyes-Cerpa, S.; Gonzalez-Bown, M. J.; Carrasco-Malio, A.; Dantagnan, P.; Hernandez, A.; Rodriguez, U.; Borquez, A.; Vidal, R.; Spencer, E.; Sandino, A. M.</t>
  </si>
  <si>
    <t>Antioxidant and immunostimulant evaluation of functional feed in Atlantic salmon under overcrowding stress</t>
  </si>
  <si>
    <t>Dantagnan, Patricio/AAM-4076-2020; Estrada, Uriel/F-5194-2014</t>
  </si>
  <si>
    <t>10.1016/j.fsi.2013.03.299</t>
  </si>
  <si>
    <t>WOS:000319646100322</t>
  </si>
  <si>
    <t>Birry, L; Zagal, JH; Dodelet, JP</t>
  </si>
  <si>
    <t>Birry, Laurent; Zagal, Jose H.; Dodelet, Jean-Pol</t>
  </si>
  <si>
    <t>Does CO poison Fe-based catalysts for ORR?</t>
  </si>
  <si>
    <t>ELECTROCHEMISTRY COMMUNICATIONS</t>
  </si>
  <si>
    <t>Catalysts for the oxygen reduction reaction (ORR) were prepared on carbon black (C) using Fe(II)phthalocyanine (FePc) and CI-Fe(III)tetramethoxyphenylporphyrin (CIFeTMPP), as Fe precursors with and without a pyrolysis step at 800 degrees C. CO poisoning of the ORR catalytic sites for all these Fe/N/C electrocatalysts was attempted at pH 1 and 13, but to no avail, even if an iron ion is known to occupy the center of the active sites in at least the unpyrolyzed FePc/C or CIFeTMPP/C. The exact nature of the active center of these Fe-based heat-treated catalysts may still be a subject of debate but, in light of the absence of CO poisoning for unpyrolyzed FePc/C and CIFeTMPP/C, resistance to CO poisoning by the heat-treated catalysts cannot be used as evidence that the active center of their catalytic site is devoid of iron. (c) 2010 Elsevier B.V. All rights reserved.</t>
  </si>
  <si>
    <t>zagal, jose/L-9648-2014</t>
  </si>
  <si>
    <t>1388-2481</t>
  </si>
  <si>
    <t>1873-1902</t>
  </si>
  <si>
    <t>10.1016/j.elecom.2010.02.016</t>
  </si>
  <si>
    <t>WOS:000278218700005</t>
  </si>
  <si>
    <t>Cortez, MI; Petite, S</t>
  </si>
  <si>
    <t>Cortez, Maria Isabel; Petite, Samuel</t>
  </si>
  <si>
    <t>G-odometers and their almost one-to-one extensions</t>
  </si>
  <si>
    <t>In this paper we recall the concepts of G-odometers and G-subodometers for G-actions, where G is a discrete finitely generated group; these generalize the notion of an odometer in the case G = Z. We characterize the G-regularly recurrent systems as the minimal almost one-to-one extensions of subodometers, from which we deduce that the family of the G-Toeplitz subshifts coincides with the family of the minimal symbolic almost one-to-one extensions of subodometers. We determine the continuous eigenvalues of these systems. When G is amenable and residually finite, a characterization of the G-invariant measures of these systems is given.</t>
  </si>
  <si>
    <t>Cortez, Maria Isabel/0000-0002-1819-032X</t>
  </si>
  <si>
    <t>10.1112/jlms/jdn002</t>
  </si>
  <si>
    <t>WOS:000258238800001</t>
  </si>
  <si>
    <t>Coddou, C; Acuña-Castillo, C; Bull, P; Huidobro-Toro, JP</t>
  </si>
  <si>
    <t>Coddou, Claudio; Acuna-Castillo, Claudio; Bull, Paulina; Huidobro-Toro, J. Pablo</t>
  </si>
  <si>
    <t>Dissecting the facilitator and inhibitor allosteric metal sites of the P2X4 receptor channel -: Critical roles of Cys132 for zinc potentiation and Asp138 for copper inhibition</t>
  </si>
  <si>
    <t>JOURNAL OF BIOLOGICAL CHEMISTRY</t>
  </si>
  <si>
    <t>Zinc and copper are atypical modulators of ligand-gated ionic channels in the central nervous system. We sought to identify the amino acids of the rat P2X(4) receptor involved in trace metal interaction, specifically in the immediate linear vicinity of His(140), a residue previously identified as being critical for copper-induced inhibition of the ATP-evoked currents. Site-directed mutagenesis replaced conspicuous amino acids located within the extracellular domain region between Thr(123) and Thr(146) for alanines. cDNAs for the wild-type and the receptor mutants were expressed in Xenopus laevis oocytes and examined by the two-electrode technique. Cys(132), but not Cys(126), proved crucial for zinc-induced potentiation of the receptor activity, but not for copper-induced inhibition. Zinc inhibited in a concentration-dependent manner the ATP-gated currents of the C132A mutant. Likewise, Asp(138), but not Asp(131) was critical for copper and zinc inhibition; moreover, mutant D138A was 20-fold more reactive to zinc potentiation than wild-type receptors. Asp(129), Asp131, and Thr(133) had minor roles in metal modulation. We conclude that this region of the P2X4 receptor has a pocket for trace metal coordination with two distinct and separate facilitator and inhibitor metal allosteric sites. In addition, Cys132 does not seem to participate exclusively as a structural receptor channel folding motif but plays a role as a ligand for zinc modulation highlighting the role of trace metals in neuronal excitability.</t>
  </si>
  <si>
    <t>Acuña-Castillo, Claudio/AAI-7090-2021</t>
  </si>
  <si>
    <t>Acuna-Castillo, Claudio/0000-0003-3607-6077; Coddou, Claudio/0000-0002-5297-3694</t>
  </si>
  <si>
    <t>1083-351X</t>
  </si>
  <si>
    <t>10.1074/jbc.M706925200</t>
  </si>
  <si>
    <t>WOS:000251646000013</t>
  </si>
  <si>
    <t>Derpich, I; Vera, JR</t>
  </si>
  <si>
    <t>Derpich, Ivan; Vera, Jorge R.</t>
  </si>
  <si>
    <t>Improving the efficiency of the Branch and Bound algorithm for integer programming based on flatness information</t>
  </si>
  <si>
    <t>EUROPEAN JOURNAL OF OPERATIONAL RESEARCH</t>
  </si>
  <si>
    <t>This paper describes a strategy for defining priorities for the branching variables in a Branch and Bound algorithm. The strategy is based on shape information about the polyhedron over which we are optimizing. This information is related to measures of the integer width, as provided by the so called Flatness Theorem. Our selection rule uses that knowledge to define branching priorities on the variables. Computational results with simulated small to medium size integer problems are presented, as well with multi-knapsack problems. These show savings of about 40% in CPU time, as well as in nodes generated in the search tree, and compare favorably with respect to other standard branching rules. (c) 2005 Elsevier B.V. All rights reserved.</t>
  </si>
  <si>
    <t>VERA, JORGE/D-2631-2014; derpich, ivan/T-1160-2019</t>
  </si>
  <si>
    <t>Derpich, Ivan/0000-0001-9759-7285</t>
  </si>
  <si>
    <t>0377-2217</t>
  </si>
  <si>
    <t>OCT 1</t>
  </si>
  <si>
    <t>10.1016/j.ejor.2005.02.051</t>
  </si>
  <si>
    <t>WOS:000239252600007</t>
  </si>
  <si>
    <t>Chacón, M; Diaz, D; Ríos, L; Evans, D; Panerai, R</t>
  </si>
  <si>
    <t>MartinezTrinidad, JF; Ochoa, JAC; Kittler, J</t>
  </si>
  <si>
    <t>Chacon, Max; Diaz, Darwin; Rios, Luis; Evans, David; Panerai, Ronney</t>
  </si>
  <si>
    <t>Support vector machine with external recurrences for modeling dynamic cerebral autoregulation</t>
  </si>
  <si>
    <t>11th Iberoamerican Conference on Pattern Recognition</t>
  </si>
  <si>
    <t>NOV 14-17, 2006</t>
  </si>
  <si>
    <t>Adv Technol Applicat Ctr Cuba,Mexican Assoc Pattern Recognit,Mexican Assoc Comp Vis, Neurocomp &amp; Robotics,Cuban Assoc Pattern Recognit,Spanish Assoc Pattern Recognit &amp; Image Anal,Portuguese Assoc Pattern Recognit,SIGPR-SBC,Chilean Assoc Pattern Recognit</t>
  </si>
  <si>
    <t>Support Vector Machines (SVM) have been applied extensively to classification and regression problems, but there are few solutions proposed for problems involving time-series. To evaluate their potential, a problem of difficult solution in the field of biological signal modeling has been chosen, namely the characterization of the cerebral blood flow autoregulation system, by means of dynamic models of the pressure-flow relationship. The results show a superiority of the SVMs, with 5% better correlation than the neural network models and 18% better than linear systems. In addition, SVMs produce an index for measuring the quality of the autoregulation system which is more stable than indices obtained with other methods. This has a clear clinical advantage.</t>
  </si>
  <si>
    <t>3-540-46556-1</t>
  </si>
  <si>
    <t>WOS:000241598400099</t>
  </si>
  <si>
    <t>Gramsch, E; Ormeño, I; Palma, G; Cereceda-Balic, F; Oyola, P</t>
  </si>
  <si>
    <t>Use of the light absorption coefficient to monitor elemental carbon and PM2.5 -: Example of Santiago de Chile</t>
  </si>
  <si>
    <t>JOURNAL OF THE AIR &amp; WASTE MANAGEMENT ASSOCIATION</t>
  </si>
  <si>
    <t>The optical absorption coefficient, particulate matter with an aerodynamic diameter &lt;2.5 mum, and elemental carbon (EC) have been measured simultaneously during winter and spring of 2000 in the western part of Santiago, Chile (Pudahuel district). The optical measurements were carried out with a low-cost instrument recently developed at the University of Santiago. From the data, a site-specific mass absorption coefficient of 4.45 +/- 0.01 m(2)/g has been found for EC. In addition, a mass absorption coefficient of 1.02 +/- 0.03 m(2)/g has been obtained for PM2.5. These coefficients can be used during the colder months (May-August) to obtain EC concentration or PM2.5 from a measurement of the light absorption coefficient (sigma(a)). The high correlation that has been found between these variables indicates that a. is a good indicator of the degree of contamination of urbanized areas. The data also show an increase in PM2.5 and EC concentration during winter and an increase in the ratio of EC to PM2.5. When the EC/PM2.5 ratio is calculated during rush hour (7:00 a.m.-11:00 a.m.) and during part of the night (9:00 p.m.-2:00 a.m.), it is found that the increase is caused by higher concentration levels of EC at night. These results suggest that the rise in the EC concentration is caused by emissions from heating and air mass transport of pollution from other parts of the city, while traffic contribution remains approximately constant.</t>
  </si>
  <si>
    <t>Gramsch, Ernesto/M-5507-2017; Cereceda-Balic, Francisco/N-4479-2017</t>
  </si>
  <si>
    <t>Gramsch, Ernesto/0000-0002-6787-7355; Cereceda-Balic, Francisco/0000-0001-7761-1051</t>
  </si>
  <si>
    <t>1047-3289</t>
  </si>
  <si>
    <t>10.1080/10473289.2004.10470956</t>
  </si>
  <si>
    <t>WOS:000222513600005</t>
  </si>
  <si>
    <t>Anabalon, A; Plyushchay, MS</t>
  </si>
  <si>
    <t>Interaction via reduction and nonlinear superconformal symmetry</t>
  </si>
  <si>
    <t>We show that the reduction of a planar free spin-1/2 particle system by the constraint fixing its total angular momentum 2 produces the one-dimensional Akulov-Pashnev-Fubini-Rabinovici superconformal mechanics model with the nontrivially coupled boson and fermion degrees of freedom. The modification of the constraint by including the particle's spin with the relative weight n is an element of N, n &gt; 1, and subsequent application of the Dirac reduction procedure ('first quantize and then reduce') give rise to the anomaly free quantum system with the order n nonlinear superconformal symmetry constructed recently by Leiva and Plyushchay [hep-th/0304257]. We establish the origin of the quantum corrections to the integrals of motion generating the nonlinear superconformal algebra, and fix completely its form. (C) 2003 Elsevier B.V. All rights reserved.</t>
  </si>
  <si>
    <t>Anabalon, Andres/0000-0002-2551-1937</t>
  </si>
  <si>
    <t>1873-2445</t>
  </si>
  <si>
    <t>OCT 23</t>
  </si>
  <si>
    <t>10.1016/j.physletb.2003.08.030</t>
  </si>
  <si>
    <t>WOS:000186084600013</t>
  </si>
  <si>
    <t>Artigas, A; Páez, M; Houbaert', Y; Monsalve, A; Celentano, D</t>
  </si>
  <si>
    <t>Prediction of mechanical and microstructural properties of hot rolled steels</t>
  </si>
  <si>
    <t>In this work, sets of experimental data obtained from laboratory or hot rolling plants steels belonging to the local siderurgical industry were structured in a semiempirical model. A modelization based on the finite element technique of the cooling curves was made for this kind of steels during the coiling process. From the cooling curves obtained with this technique, the precipitated nitrogen fraction was computed. At the same time, from the chemical composition data and reduction percent during hot rolling, a model that predicts the final grain size after hot rolling was established. From this value of grain size and the free nitrogen results obtained from the model plus the chemical composition and the process variables, the yield stress and ultimate tensile stress, UTS, were estimated. The parameters obtained were validated from either, laboratory or plant results. Furthermore, an statistical test in order to assure the validity of the correlation between the different experimental and predicted modelized properties was made. Finally, the different equations and algorithms used were integrated in user friendly software, which allows not only to predict mechanical and microstructural properties, but also to make sensibility analysis. This kind of work allows in turn to investigate new fabrication processes.</t>
  </si>
  <si>
    <t>Celentano, Diego/JQW-5027-2023; Paez, Maritza/M-2010-2014</t>
  </si>
  <si>
    <t>paez, maritza/0000-0001-5881-884X</t>
  </si>
  <si>
    <t>10.3989/revmetalm.2002.v38.i5.417</t>
  </si>
  <si>
    <t>WOS:000180304400004</t>
  </si>
  <si>
    <t>Velasquez, LA; Maisey, K; Fernandez, R; Valdes, D; Cardenas, H; Delgado, J; Aguilera, J; Croxatto, HB</t>
  </si>
  <si>
    <t>Platelet-activating factor receptor expression in the endosalpinx of the human fallopian tube.</t>
  </si>
  <si>
    <t>Maisey, Kevin/AAP-2886-2021; Fernandez, Ricardo/H-3422-2018</t>
  </si>
  <si>
    <t>Maisey, Kevin/0000-0002-7423-6329; Fernandez, Ricardo/0000-0003-4493-9362</t>
  </si>
  <si>
    <t>WOS:000087862300465</t>
  </si>
  <si>
    <t>Mediavilla, M; Fernandez, M; Pardey, AJ; Baricelli, P; Longo, C; Sartori, R; Moya, SA</t>
  </si>
  <si>
    <t>Reduction of nitrobenzene to aniline by CO/H2O catalyzed by cis-[Rh(CO)2(amine)2]PF6 immobilized on poly(4-vinylpyridine) (vol 43, pg 359, 1998)</t>
  </si>
  <si>
    <t>WOS:000078428600019</t>
  </si>
  <si>
    <t>Moya, SA; Guerrero, J; Pastene, R; Pardey, AJ; Baricelli, P</t>
  </si>
  <si>
    <t>[Re(CO)3(3,3′-trimethylene-2,2′-biquinoline) (p-substituted-py)]+ complexes.: Preparation and characterization</t>
  </si>
  <si>
    <t>POLYHEDRON</t>
  </si>
  <si>
    <t>A series of new rhenium(I) complexes of the type [Re(CO)(3)(3,3'-trimethylene-2,2'-biquinoline) (L)](CF3SO3)(n), (L = CF3 SO3- pyridine (py) or para-substituted pyridine like KO-py, ph-py or NC-py; n = 0 or 1) were prepared and characterized by FTIR, H-1 NMR, and UV-vis spectroscopies and by cyclic voltammetry. The pseudo-octahedral facial configuration of these compounds was established by FTIR. The differences found in the spectroscopical and electrochemical results were associated to the effect of the para position substituent of the L pyridine ligand. (C) 1998 Elsevier Science Ltd. All rights reserved.</t>
  </si>
  <si>
    <t>0277-5387</t>
  </si>
  <si>
    <t>10.1016/S0277-5387(98)00004-7</t>
  </si>
  <si>
    <t>WOS:000074378200021</t>
  </si>
  <si>
    <t>Gautier, JL; Rios, E; Gracia, M; Marco, JF; Gancedo, JR</t>
  </si>
  <si>
    <t>Characterisation by X-ray photoelectron spectroscopy of thin MnxCo3-xO4 (1≥x≥0) spinel films prepared by low-temperature spray pyrolysis</t>
  </si>
  <si>
    <t>Thin films of MnxCo3-xO4 with x = 0; 0.25; 0.5; 0.75; 1, prepared by low temperature (150 degrees C) spray pyrolysis onto a glass substrate with a sublayer of doped SnO2 were examined by X-ray photoelectron spectroscopy. The binding energies of the photo-electron peaks observed for the transition metal ions and the oxygenated ions were recorded. The results indicate that in these materials cobalt is present in both divalent and trivalent states, whereas manganese is found to be Mn3+. (C) 1997 Elsevier Science S.A.</t>
  </si>
  <si>
    <t>Marco, JF/N-3176-2014</t>
  </si>
  <si>
    <t>DEC 31</t>
  </si>
  <si>
    <t>10.1016/S0040-6090(97)00463-X</t>
  </si>
  <si>
    <t>WOS:000072708600009</t>
  </si>
  <si>
    <t>Martinez, JL; Torres, R; Morales, MA</t>
  </si>
  <si>
    <t>Hypotensive effect of O-methylisothalicberine, a bisbenzylisoquinoline alkaloid isolated from Berberis chilensis on normotensive rats</t>
  </si>
  <si>
    <t>PHYTOTHERAPY RESEARCH</t>
  </si>
  <si>
    <t>O-Methylisothalicberine (O-MI) is a bisbenzylisoquinoline alkaloid isolated from Berberis chilensis, structurally similar to alkaloids previously described in the literature as calcium antagonists of natural origin (berbamine, tetrandrine, antioquine, 7-O-demethylisothalicberine and others). O-MI caused a significant reduction of mean arterial pressure (MAP) in normotensive anaesthetized rats. Doses of 1.0; 2.5; 5.0; 7.5 and 10.0 mg/kg were administered via the femoral vein. MAP was reduced by 5.8%; 10.1%; 35.6%; 67.9% and 60.5% respectively. The onset of hypotensive action was 5 s after 5 mg/kg i.v. and the effect lasted for about 120 s. O-MI exhibited an LD50 of 5 mg/mL towards the brine shrimp (Artemia salina). (C) 1997 by John Wiley &amp; Sons, Ltd.</t>
  </si>
  <si>
    <t>Morales, Miguel/A-1818-2008; Martinez, Jose/AAA-1725-2020</t>
  </si>
  <si>
    <t>0951-418X</t>
  </si>
  <si>
    <t>1099-1573</t>
  </si>
  <si>
    <t>10.1002/(SICI)1099-1573(199705)11:3&lt;246::AID-PTR62&gt;3.0.CO;2-J</t>
  </si>
  <si>
    <t>WOS:A1997WX04200016</t>
  </si>
  <si>
    <t>Saez, G; Vergara, P; Castro, M; Allende, S; Nunez, AS</t>
  </si>
  <si>
    <t>Saez, Guidobeth; Vergara, Patricio; Castro, Mario; Allende, Sebastian; Nunez, Alvaro S.</t>
  </si>
  <si>
    <t>Ferrospintronic Order in Noncentrosymmetric Antiferromagnets: An Avenue toward Spintronic-Based Computing, Data Storage, and Energy Harvesting</t>
  </si>
  <si>
    <t>PHYSICA STATUS SOLIDI-RAPID RESEARCH LETTERS</t>
  </si>
  <si>
    <t>A ferroic order, ferrospintronic (FSp) order, arising in some magnetic materials lacking inversion symmetry is reported on. Emerging from a macroscopic spontaneous symmetry breaking of both the time reversal T and the spatial inversion, while maintaining the symmetry, the order parameter is given by the dipolar moment of the spin density PS$P_{\text{S}}$. Herein a model is advanced that fulfills the symmetry requirements mentioned earlier and its properties are investigated. With the aid of a mean-field theory, its stability against thermal fluctuations is studied and evidence of truly ferroic states that result from breaking its symmetry is provided. Three predictions that can be checked experimentally to distinguish this class of materials from other compounds are provided. In the first place, it is illustrated that FSp systems host the potential for multiferroic behavior. Second, it is shown that the generic FSp system responds under strain by generating spin currents that can be used in spintronic devices, therefore showing a piezospintronic effect. Finally, it is proven that domain walls in the FSp order parameter lead to magnetoresistive effects. All of the findings mentioned earlier are a significant breakthrough in spintronics and multiferroic phenomena and they have wide-ranging implications for advancing materials and technologies, particularly in computing and energy harvesting.</t>
  </si>
  <si>
    <t>Núñez, Alvaro/F-4572-2011; Castro, Mario/ABD-7776-2021</t>
  </si>
  <si>
    <t>Nunez, Alvaro S./0000-0002-6804-9703; Vergara Apaz, Patricio/0009-0009-2114-092X; Saez, Guidobeth/0000-0003-1401-2531</t>
  </si>
  <si>
    <t>1862-6254</t>
  </si>
  <si>
    <t>1862-6270</t>
  </si>
  <si>
    <t>10.1002/pssr.202400292</t>
  </si>
  <si>
    <t>NOV 2024</t>
  </si>
  <si>
    <t>WOS:001356931700001</t>
  </si>
  <si>
    <t>Rocha, G; Gómez, M; Baeza, C; Salinas, F; Martínez, C; Kessi-Pérez, EI</t>
  </si>
  <si>
    <t>Rocha, Guilherme; Gomez, Melissa; Baeza, Camila; Salinas, Francisco; Martinez, Claudio; Kessi-Perez, Eduardo I.</t>
  </si>
  <si>
    <t>Phenotyping of a new yeast mapping population reveals differences in the activation of the TORC1 signalling pathway between wild and domesticated yeast strains</t>
  </si>
  <si>
    <t>Domestication can be understood as a symbiotic relationship that benefits both domesticator and domesticated species, involving multiple genetic changes that configure the phenotype of the domesticated species. One of the most important domesticated species is the yeast Saccharomyces cerevisiae, with both domesticated strains used for different fermentations processes for thousands of years and wild strains existing only in environments without human intervention; however, little is known about the phenotypic effects associated with its domestication. In the present work, we studied the effect of domestication on yeast TORC1 activation, a pleiotropic signalling pathway conserved across the eukaryotic domain. To achieve this goal, we improved a previously generated methodology to assess TORC1 activation, which turned out to be as effective as the original one but also presents several practical advantages for its application (such as facilitating confirmation of transformants and putting the Luc reporter gene under the control of the same PRPL26A promoter for each transformed strain). We then generated a mapping population, the so-called TOMAN-G population, derived from the 1002 Yeast Genomes Project population, the most comprehensive catalogue of the genetic variation in yeasts. Finally, strains belonging to the TOMAN-G population were phenotyped for TORC1 activation, and then we compared the results obtained between yeast strains with different ecological origins, finding differences in TORC1 activation between wild and domesticated strains, particularly wine strains. These results are indicative of the effect of domestication on TORC1 activation, specifically that the different evolutionary trajectories of wild and domesticated strains have in fact caused differences in the activation of this pathway; furthermore, the phenotypic data obtained in this work could be used to continue underlying the genetic bases of TORC1 activation, a process that is still not fully understood, using techniques such as GWAS to search for specific genetic variants underlying the observed phenotypic variability and phylogenetic tree inferences to gain insight into the evolutionary relationships between these genetic variants.</t>
  </si>
  <si>
    <t>Gómez, Melissa/ABF-3221-2021; Martinez, Claudio/MGS-9961-2025; Kessi, Eduardo/AAI-2566-2019; Salinas, Francisco/W-3269-2017</t>
  </si>
  <si>
    <t>Salinas, Francisco/0000-0002-8391-8145; Gomez Rios, Melissa Katherine/0000-0002-4106-9982; Kessi, Eduardo/0000-0003-4225-9486</t>
  </si>
  <si>
    <t>0717-6287</t>
  </si>
  <si>
    <t>10.1186/s40659-024-00563-5</t>
  </si>
  <si>
    <t>WOS:001351590100001</t>
  </si>
  <si>
    <t>Huerta, M; San Martín, A; Arancibia, B; Cornejo, FA; Arenas, F; Illanes, A; Guerrero, C; Vera, C</t>
  </si>
  <si>
    <t>Huerta, Macarena; San Martin, Andrea; Arancibia, Benjamin; Cornejo, Fabian A.; Arenas, Felipe; Illanes, Andres; Guerrero, Cecilia; Vera, Carlos</t>
  </si>
  <si>
    <t>Integrating the enzymatic syntheses of lactulose, epilactose and galacto-oligosaccharides</t>
  </si>
  <si>
    <t>A mutant of cellobiose 2-epimerase from Caldicellulosiruptor saccharolyticus (CsCE H356N) was studied for obtaining higher yield of oligosaccharides than by lactose transgalactosylation with Aspergillus oryzae beta-galactosidase (AO-beta G). Firstly, heterologous production of CsCE H356N was optimized in Luria-Bertani broth and minimal medium. Then, CsCE H356N and AO-beta G were used for the synthesis of oligosaccharides varying the sequence of reactions, temperature, and enzyme load. Reactions sequence did not affect the global yield (similar to 51 %) but modified the product composition. At the best conditions tested, the global yield increased twice with respect to GOS synthesis with AO-beta G (25.6 %). When GOS synthesis was followed by the isomerization/epimerization of unreacted lactose, the final product had a higher content of lactulose and GOS than when the reactions sequence was inverted. In the former case lactulose-derived oligosaccharides (fGOS) and fructose were absent, while in the latter the final product mainly contained fGOS, small amounts of GOS, lactulose and fructose. Epilactose content was similar in both sequences.</t>
  </si>
  <si>
    <t>vera, Carlos/G-5240-2019</t>
  </si>
  <si>
    <t>Cornejo, Fabian/0000-0002-6633-392X</t>
  </si>
  <si>
    <t>10.1016/j.fbp.2024.08.002</t>
  </si>
  <si>
    <t>WOS:001298916700001</t>
  </si>
  <si>
    <t>Khosropour, H; Keramat, M; Tasca, F; Laiwattanapaisal, W</t>
  </si>
  <si>
    <t>Khosropour, Hossein; Keramat, Mansoureh; Tasca, Federico; Laiwattanapaisal, Wanida</t>
  </si>
  <si>
    <t>A comprehensive review of the application of Zr-based metal-organic frameworks for electrochemical sensors and biosensors</t>
  </si>
  <si>
    <t>MICROCHIMICA ACTA</t>
  </si>
  <si>
    <t>A family of inorganic-organic hybrid crystalline materials made up of organic ligands and metal cations or clusters is known as metal-organic frameworks (MOFs). Because of their unique stability, intriguing characteristics, and structural diversity, zirconium-based MOFs (Zr-MOFs) are regarded as one of the most interesting families of MOF materials for real-world applications. Zr-MOFs that have the ligands, metal nodes, and guest molecules enclosed show distinct electrochemical reactions. They can successfully and sensitively identify a wide range of substances, which is important for both environmental preservation and human health. The rational design and synthesis of Zr-MOF electrochemical sensors and biosensors, as well as their applications in the detection of drugs, biomarkers, pesticides, food additives, hydrogen peroxide, and other materials, are the main topics of this comprehensive review. We also touch on the current issues and potential future paths for Zr-MOF electrochemical sensor research.</t>
  </si>
  <si>
    <t>Tasca, Federico/J-4134-2015; Laiwattanapaisal, Wanida/ABV-6465-2022; khosropour, hossein/KYP-1901-2024</t>
  </si>
  <si>
    <t>Tasca, Federico/0000-0002-4111-4624</t>
  </si>
  <si>
    <t>0026-3672</t>
  </si>
  <si>
    <t>1436-5073</t>
  </si>
  <si>
    <t>10.1007/s00604-024-06515-w</t>
  </si>
  <si>
    <t>WOS:001262955200002</t>
  </si>
  <si>
    <t>Llanos, L; Cancino, P; Mella, P; Fuentealba, P; Aravena, D</t>
  </si>
  <si>
    <t>Llanos, Leonel; Cancino, Patricio; Mella, Pablo; Fuentealba, Pablo; Aravena, Daniel</t>
  </si>
  <si>
    <t>Circularly polarized luminescence and coordination geometries in mononuclear lanthanide(III) complexes</t>
  </si>
  <si>
    <t>COORDINATION CHEMISTRY REVIEWS</t>
  </si>
  <si>
    <t>The interest in chirality crosses many research areas in chemistry, physics, materials, and life sciences. Besides the fundamental importance of chiral recognition in biological systems, the exploitation of chirality offers an additional degree of freedom to broaden the perspective for new functional materials. From a spectroscopic point of view, the signature property of chiral systems is their different absorption/emission intensity for left- and right- handed circularly polarized light. This difference is called dissymmetry and can be measured for both absorption (gabs in circular dichroism) and emission (glum in circularly polarized luminescence) experiments. Among inorganic systems, lanthanide complexes hold the maximum values for glum due to their unique interplay between magnetic and electric dipole mechanisms, characteristic for f-f transitions. In this review, we provide an overview of important chemical families of mononuclear lanthanide complexes associated with strong circularly polarized emission dissymmetry, as this property is fundamentally connected with the chiral environment around the lanthanide ion. In the final section, presented systems are analyzed in terms of their coordination number, geometry, and distortion with respect to reflection with the aid of Continuous Symmetry and Shape Measurements.</t>
  </si>
  <si>
    <t>Cancino, Patricio/AGE-4774-2022; Aravena, Daniel/F-2174-2011</t>
  </si>
  <si>
    <t>llanos silva, leonel/0000-0001-6494-1908; Aravena, Daniel/0000-0003-3140-4852</t>
  </si>
  <si>
    <t>0010-8545</t>
  </si>
  <si>
    <t>1873-3840</t>
  </si>
  <si>
    <t>10.1016/j.ccr.2024.215675</t>
  </si>
  <si>
    <t>WOS:001181296900001</t>
  </si>
  <si>
    <t>Sáez, P; Herrera, C; Parada, V</t>
  </si>
  <si>
    <t>Saez, Patricio; Herrera, Carlos; Parada, Victor</t>
  </si>
  <si>
    <t>Reducing Nervousness in Master Production Planning: A Systematic Approach Incorporating Product-Driven Strategies</t>
  </si>
  <si>
    <t>ALGORITHMS</t>
  </si>
  <si>
    <t>Manufacturing companies face a significant challenge when developing their master production schedule, navigating unforeseen disruptions during daily operations. Moreover, fluctuations in demand pose a substantial risk to scheduling and are the main cause of instability and uncertainty in the system. To address these challenges, employing flexible systems to mitigate uncertainty without incurring additional costs and generate sustainable responses in industrial applications is crucial. This paper proposes a product-driven system to complement the master production plan generated by a mathematical model. This system incorporates intelligent agents that make production decisions with a function capable of reducing uncertainty without significantly increasing production costs. The agents modify or determine the forecasted production quantities for each cycle or period. In the case study conducted, a master production plan was established for 12 products over a one-year time horizon. The proposed solution achieved an 11.42% reduction in uncertainty, albeit with a 2.39% cost increase.</t>
  </si>
  <si>
    <t>Parada, Victor/M-5840-2014; Herrera, Carlos/AAF-9657-2021</t>
  </si>
  <si>
    <t>Saez Bustos, Patricio/0000-0002-0113-3644</t>
  </si>
  <si>
    <t>1999-4893</t>
  </si>
  <si>
    <t>10.3390/a16080386</t>
  </si>
  <si>
    <t>WOS:001056694400001</t>
  </si>
  <si>
    <t>Vidal, AR; Maestro, CG</t>
  </si>
  <si>
    <t>Mileto, C; Vegas, F; Cristini, V; Garcia-Soriano, L</t>
  </si>
  <si>
    <t>Vidal, Amanda Rivera; Maestro, Carmen Gomez</t>
  </si>
  <si>
    <t>Heritage and community centre in Matta Sur, Chile</t>
  </si>
  <si>
    <t>HERITAGE 2022 INTERNATIONAL CONFERENCE VERNACULAR HERITAGE:CULTURE, PEOPLE AND SUSTAINABILITY</t>
  </si>
  <si>
    <t>Coleccion Congresos UPV</t>
  </si>
  <si>
    <t>International Conference on Vernacular Heritage: Culture, People and Sustainability (HERITAGE)</t>
  </si>
  <si>
    <t>SEP 15-17, 2022</t>
  </si>
  <si>
    <t>Valencia, SPAIN</t>
  </si>
  <si>
    <t>The Matta Sur neighbourhood in Santiago acquired official protection for its heritage value in 2016. It is the largest protected area in the city and one of the few in which vernacular architecture, local lifestyles and community networks withstand the city's rapid urban development. It has a regular urban structure of wide streets framed by continuous facades, which predominantly belong to one- storey homes, organised around a central courtyard. They are built combining burnt or raw masonry and wood and earth traditional building systems, which are now discontinued and often misunderstood, leading to poor interventions which deteriorate the quality of buildings and liveable spaces. The Heritage and Community Centre Project attends the need for comprehensive interventions to approach appropriate conservation of Matta Sur under these circumstances. This project aims, on one hand, to provide a suitable community space within the neighbourhood and, on the other, to set an example for appropriate intervention, management and maintenance of the vernacular constructions in the neighbourhood. All of the process is developed through community-based design and intervention, attending to the role of community organisations in Chile, which have been traditionally responsible for filling the gap between public policies and community wellbeing, particularly in urban contexts, through strong solidarity networks. Through a process of codesign and co-management, the project aims to refurbish a traditional house of the neighbourhood into a community centre in which various community initiatives converge and which allows for these solidarity networks to keep functioning in a contemporary context.</t>
  </si>
  <si>
    <t>2603-5863</t>
  </si>
  <si>
    <t>978-84-1396-020-3</t>
  </si>
  <si>
    <t>10.4995/HERITAGE2022.2022.14527</t>
  </si>
  <si>
    <t>WOS:001212795200131</t>
  </si>
  <si>
    <t>Paczkowski, S; Knappe, V; Paczkowska, M; Robles, LAD; Jaeger, D; Pelz, S</t>
  </si>
  <si>
    <t>Paczkowski, Sebastian; Knappe, Victoria; Paczkowska, Marta; Diaz Robles, Luis Alonzo; Jaeger, Dirk; Pelz, Stefan</t>
  </si>
  <si>
    <t>Low-Temperature Hydrothermal Treatment (HTT) Improves the Combustion Properties of Short-Rotation Coppice Willow Wood by Reducing Emission Precursors</t>
  </si>
  <si>
    <t>ENERGIES</t>
  </si>
  <si>
    <t>The worldwide transformation from fossil fuels to sustainable energy sources will increase the demand for biomass. However, the ash content of many available biomass sources exceeds the limits of national standards. In this study, short-rotation coppice willow biomass was hydrothermally treated at 150, 170 and 185 &amp; DEG;C. The higher heating value increased by 2.6% from x over bar = 19,279 J x g(-1) to x over bar = 19,793 J x g(-1) at 185 &amp; DEG;C treatment temperature. The mean ash content was reduced by 53% from x over bar = 1.97% to x over bar = 0.93% at 170 &amp; DEG;C treatment temperature, which was below the limit for category TW1b of the European pellet standard for thermally treated biomass. The nitrogen, sulfur and cadmium concentrations were reduced below the limits for category TW1b of the European biomass pellet standard (N: from 0.52% to 0.34%, limit at 0.5%; S: from 0.051% to 0.024%, limit at 0.04%; Cd: from 0.83 mg x kg(-1) to 0.37 mg x kg(-1), limit at 0.5 mg x kg(-1)). The highest reduction rates were sampled for phosphor (80-84%), potassium (78-90%), chlorine (96-98%) and lithium (96-98%). The reduction behavior of the elements is discussed according to the chemical processes at the onset of hydrothermal carbonization. The results of this study show that HTT has the potential to expand the availability of biomass for the increasing worldwide demand in the future.</t>
  </si>
  <si>
    <t>Pelz, Stefan/0000-0003-3205-7282; Jaeger, Dirk/0000-0003-3642-2937</t>
  </si>
  <si>
    <t>1996-1073</t>
  </si>
  <si>
    <t>10.3390/en14248229</t>
  </si>
  <si>
    <t>WOS:000738998300001</t>
  </si>
  <si>
    <t>Lauzurique, Y; Fermoso, FG; Sánchez, N; Castillo, A; Valdés, N; Tello, M; Salazar, R; García, V; Huiliñir, C</t>
  </si>
  <si>
    <t>Lauzurique, Yeney; Fermoso, Fernando G.; Sanchez, Nicolas; Castillo, Alejandra; Valdes, Natalia; Tello, Mario; Salazar, Ricardo; Garcia, Veronica; Huilinir, Cesar</t>
  </si>
  <si>
    <t>Effect of the addition of fly ash on the specific methane production and microbial communities in the anaerobic digestion of real winery wastewater</t>
  </si>
  <si>
    <t>JOURNAL OF CHEMICAL TECHNOLOGY AND BIOTECHNOLOGY</t>
  </si>
  <si>
    <t>BACKGROUND Fly ash is an important source of trace elements that can act as cofactors of enzyme systems and improve anaerobic digestion processes. However, its effect on anaerobic digestion using real wastewater has not yet been studied. In the present work, the effect of fly ash on the anaerobic digestion of real winery wastewaters was studied, by means of specific methanogenic activity assays and with a special focus on its effect on the specific methane production and the microbial communities present. Five fly ash concentration (25, 50, 75, 100, and 150 mg L-1) were supplemented under mesophilic conditions. RESULTS The results showed that 25 mg L-1 of fly ash improved the specific methane production by 18% compared to the control assay; meanwhile, a concentration of 100 mg L-1 of fly ash generated inhibition of the methanogenesis and a 20% specific methane production decrease with respect to the control experiment. The microbial community analysis verified that fly ash supplementation affected the bacterial communities, with a significant effect on acetogenic bacteria, such as Cloacimonetes and Firmicutes. CONCLUSION The addition of adequate concentrations of fly ash to the process can raise the relative abundance of some microorganisms and, consequently, could increase the specific methane production in the anaerobic digestion of winery wastewater. (c) 2021 Society of Chemical Industry (SCI).</t>
  </si>
  <si>
    <t>Salazar, Ricardo/L-7870-2013; Fermoso, Fernando/F-3299-2010; García, Verónica/AAM-1175-2021; Valdes, Natalia/AAI-8151-2021; Huilinir, Cesar/IYS-6899-2023; Tello, Mario/N-4198-2019</t>
  </si>
  <si>
    <t>Fermoso, Fernando G./0000-0002-2586-007X; valdes parra, Natalia/0000-0002-6884-7799; garcia, veronica/0000-0002-5312-925X; Lauzurique Guerra, Yeney/0000-0003-1354-8721; Salazar-Gonzalez, Ricardo/0000-0003-2180-6022; Tello, Mario/0000-0003-4573-6460; Huilinir, Cesar/0000-0002-3487-684X</t>
  </si>
  <si>
    <t>0268-2575</t>
  </si>
  <si>
    <t>1097-4660</t>
  </si>
  <si>
    <t>10.1002/jctb.6840</t>
  </si>
  <si>
    <t>JUL 2021</t>
  </si>
  <si>
    <t>WOS:000672491200001</t>
  </si>
  <si>
    <t>González-Césped, C; Alaniz, AJ; Vergara, PM; Chiappa, E; Zamorano, J; Mandujano, V</t>
  </si>
  <si>
    <t>Gonzalez-Cesped, Carlos; Alaniz, Alberto J.; Vergara, Pablo M.; Chiappa, Elizabeth; Zamorano, Jorge; Mandujano, Victor</t>
  </si>
  <si>
    <t>Effects of urban environmental conditions and landscape structure on taxonomic and functional groups of insects</t>
  </si>
  <si>
    <t>URBAN FORESTRY &amp; URBAN GREENING</t>
  </si>
  <si>
    <t>Insects are a particularly sensitive group to urbanization, and they are also highly dependent on structural, compositional, and environmental characteristics of the landscape as well as its scale. The identification of the landscape variables and scale which influence this group are necessary for the development of sustainable landscape planning in the face of climate change and environmental degradation. Here we aim to determine the most important spatial scale for the diversity of taxonomic and functional groups of insects, testing the hypothesis that the importance of environmental and landscape structure-composition variables on insect diversity and functional groups vary with the spatial scale. Finally, we selected the scale with the highest proportion of explained variance for the total, analyzing the correlations of landscape variables with each group. We collected insects in 15 non-overlapped landscapes, classifying them according to their order and functional groups. We generated 6 concentric circles from a focal patch per landscape, using remote sensing data to characterize landscape environmental and structural-composition variables from 200 to 1200 m. Finally, we tested the hypothesis by using the Variable Importance for the Projection and R-2 from Partial Least Square Regressions metrics. We identified that the importance of landscape diversity varied across the different scales. We found that 600 m was the scale with the highest explained variance for orders and functional groups in the total set. The scale at diversity of orders and functional groups reached the highest explained variance diversity that varied among groups. Parasitoids, predators, and phytophages responded to smaller scales, while pollinators and micophages to, and saproxylics to larger scales. Urban area and temperature were negatively associated with total diversity, while variables linked with vegetation quality presented a positive correlation. The generated results may contribute to improve the understanding of the urban ecology of insects, aiming to contribute with sustainable urban planning and conservation.</t>
  </si>
  <si>
    <t>Alaniz, Alberto/J-3104-2019; Vergara, Pablo/F-2519-2010</t>
  </si>
  <si>
    <t>Zamorano Miranda, Jorge/0000-0002-8659-5783; Vergara, Pablo/0000-0002-0024-1678; Alaniz, Alberto J./0000-0003-4878-8848</t>
  </si>
  <si>
    <t>1618-8667</t>
  </si>
  <si>
    <t>1610-8167</t>
  </si>
  <si>
    <t>10.1016/j.ufug.2020.126902</t>
  </si>
  <si>
    <t>FEB 2021</t>
  </si>
  <si>
    <t>WOS:000620656100001</t>
  </si>
  <si>
    <t>Arrieta, MP; Garrido, L; Faba, S; Guarda, A; Galotto, MJ; de Dicastillo, CL</t>
  </si>
  <si>
    <t>Patricia Arrieta, Marina; Garrido, Luan; Faba, Simon; Guarda, Abel; Jose Galotto, Maria; Lopez de Dicastillo, Carol</t>
  </si>
  <si>
    <t>Cucumis metuliferusFruit Extract Loaded Acetate Cellulose Coatings for Antioxidant Active Packaging</t>
  </si>
  <si>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t>
  </si>
  <si>
    <t>Faba, Simón/MTD-2779-2025; Lopez-de-Dicastillo, Carol/C-6347-2019; Arrieta, Marina Patricia/F-9067-2016</t>
  </si>
  <si>
    <t>Lopez-de-Dicastillo, Carol/0000-0003-0067-9765; Faba, Simon/0000-0002-4299-0052; Arrieta, Marina Patricia/0000-0003-1816-011X</t>
  </si>
  <si>
    <t>10.3390/polym12061248</t>
  </si>
  <si>
    <t>WOS:000552462200001</t>
  </si>
  <si>
    <t>Baumert, T; Gutiérrez, C</t>
  </si>
  <si>
    <t>Tsounis, N; Vlachvei, A</t>
  </si>
  <si>
    <t>Baumert, Thomas; Gutierrez, Cristian</t>
  </si>
  <si>
    <t>Are We Spending Our Scarce R&amp;D Resources Adequately? Analyzing the Efficiency of EU's Regional Innovation Systems</t>
  </si>
  <si>
    <t>ADVANCES IN CROSS-SECTION DATA METHODS IN APPLIED ECONOMIC RESEARCH, ICOAE 2019</t>
  </si>
  <si>
    <t>Springer Proceedings in Business and Economics</t>
  </si>
  <si>
    <t>International Conference on Applied Economics (ICOAE)</t>
  </si>
  <si>
    <t>Milan, ITALY</t>
  </si>
  <si>
    <t>Int Univ Languages &amp; Media,Univ Western Macedonia, Dept Econ</t>
  </si>
  <si>
    <t>The purpose of this article is to measure the efficiency of regional innovation systems (RIS) of the European Union (EU-14) between 2000 and 2010 based on the Data Envelopment Analysis. To measure the efficiency, we used 29 input variables synthesized in 5 factors or composite indicators. The output is reflected by patents and scientific publications. The results obtained highlight that only a few European RIS are situated on or near the efficiency frontier and most regions present very low efficiency levels. We detected a broad dispersion in terms of efficiency, although the tendency over time is a reduction of the dispersion reflecting a process of convergence. Moreover, the results reveal that an important possible cause of the inefficiencies is a problem of scale rather than technical inefficiency.</t>
  </si>
  <si>
    <t>Baumert, Thomas/ABB-1792-2021</t>
  </si>
  <si>
    <t>Gutierrez, Cristian/0000-0001-8607-1528</t>
  </si>
  <si>
    <t>2198-7246</t>
  </si>
  <si>
    <t>2198-7254</t>
  </si>
  <si>
    <t>978-3-030-38253-7; 978-3-030-38252-0</t>
  </si>
  <si>
    <t>10.1007/978-3-030-38253-7_20</t>
  </si>
  <si>
    <t>WOS:000851233600020</t>
  </si>
  <si>
    <t>San Carlos, AC; Lacoste, P; Mujica, F</t>
  </si>
  <si>
    <t>Castro San Carlos, Amalia; Lacoste, Pablo; Mujica, Fernando</t>
  </si>
  <si>
    <t>Origins and evolution of the wicker from Chimbarongo (1762-2017)</t>
  </si>
  <si>
    <t>ESTUDIOS ATACAMENOS</t>
  </si>
  <si>
    <t>We explained the emergence of the typical product Wicker from Chimbarongo, its origin and development. For this, three key moments of its historical evolution are analyzed (1762, 1914 and 1975). Thanks to their adaptative capacity, they ensured the survival of a prehispanic tradition with 400 producers located in that city. For the analysis, unpublished archival documents (18th and 19th centuries), periodicals of the O'Higgins Region, together with the Bulletin of the National Society of Agriculture, the Bulletin of the Society of Industrial Development and Censuses of the Republic between 1813 and 1920 are used as sources, together with the illustrated weeklies Caras y Caretas of Buenos Aires (Argentina, between 1898 and 1941), Zigzag de Santiago (Santiago, Chile, 1905-1964) and Sucesos (Valparaiso, Chile, 1902-1934).</t>
  </si>
  <si>
    <t>0718-1043</t>
  </si>
  <si>
    <t>10.22199/issn.0718-1043-2020-0010</t>
  </si>
  <si>
    <t>WOS:000543246700008</t>
  </si>
  <si>
    <t>Díaz, MH; Cid, FM; Otárola, J; Rojas, R; Alarcón, O; Cañete, L</t>
  </si>
  <si>
    <t>HerreraViedma, E; Shi, Y; Berg, D; Tien, J; Cabrerizo, FJ; Li, J</t>
  </si>
  <si>
    <t>Hernan Diaz, M.; Maureira Cid, Fernando; Otarola, Jaime; Rojas, Roberto; Alarcon, Oscar; Canete, Lucio</t>
  </si>
  <si>
    <t>EEG Beta band frequency domain evaluation for assessing stress and anxiety in resting, eyes closed, basal conditions</t>
  </si>
  <si>
    <t>7TH INTERNATIONAL CONFERENCE ON INFORMATION TECHNOLOGY AND QUANTITATIVE MANAGEMENT (ITQM 2019): INFORMATION TECHNOLOGY AND QUANTITATIVE MANAGEMENT BASED ON ARTIFICIAL INTELLIGENCE</t>
  </si>
  <si>
    <t>Procedia Computer Science</t>
  </si>
  <si>
    <t>7th International Conference on Information Technology and Quantitative Management (ITQM) - Information Technology and Quantitative Management Based on Artificial Intelligence</t>
  </si>
  <si>
    <t>NOV 03-06, 2019</t>
  </si>
  <si>
    <t>Granada, SPAIN</t>
  </si>
  <si>
    <t>Chinese Acad Sci,Univ Granada,LifeWatch ERIC,Univ Nebraska Omaha,Chinese Acad Sci, Res Ctr Fictitious Econ &amp; Data Sci,Chinese Acad Sci, Key Lab Big Data Mining &amp; Knowledge Management,Univ Chinese Acad Sci, Sch Econ &amp; Management,Chinese Acad Sci, Inst Sci &amp; Dev,SW Minzu Univ,Chinese Acad Management, Business Intelligence Soc,Tainfu Int Inst Big Data Strategy &amp; Technol,Int Acad Informat Technol &amp; Quantitat Management</t>
  </si>
  <si>
    <t>The study presents a frequency domain, instead of a relative power intensity comparison framework domain, that evaluates the degree of anxiety and stress brain network activated in high beta oscillation (22-30 Hz), during a resting, EC basal condition of EEG recording. The parameter measured served as an evaluator of the brain spontaneous, self-generated, global de-synchronizing, workload endogenous attractors that displace the EEG oscillatory dynamics toward free energy-consuming processing loops. The distinction of the high beta EEG waves as related with stress and anxiety, together with an approach based primarily on the inter-channel frequency correlation, rather than only the power activation of the frequency beta range, allowed us to supplement with new finding and ways to evaluate the impact of self-generated processing attractors that kept our brain apart from natural tendency to re-synchronize, save and reorganize energy. (C) 2020 The Authors. Published by Elsevier B.V. This is an open access article under the CC BY-NC-ND license (http://creativecommons.org/licenses/by-ne-nd/4.0/) Peer-review under responsibility of the scientific committee of the 7th International Conference on Information Technology and Quantitative Management (ITQM 2019)</t>
  </si>
  <si>
    <t>Arratia, Lucio/AAV-6112-2020</t>
  </si>
  <si>
    <t>Canete Arratia, Lucio/0000-0002-1191-8728</t>
  </si>
  <si>
    <t>1877-0509</t>
  </si>
  <si>
    <t>10.1016/j.procs.2019.12.075</t>
  </si>
  <si>
    <t>WOS:000514081500123</t>
  </si>
  <si>
    <t>Copper-catalyzed intermolecular aminochlorination of alkenes</t>
  </si>
  <si>
    <t>A copper-catalyzed radical and regioselective aminochlorination of alkenes using N-fluoro-benzenesulfonimide (NFSI) and TMSCl as nitrogen and chlorine sources respectively is reported. (C) 2018 Elsevier Ltd. All rights reserved.</t>
  </si>
  <si>
    <t>Perez, Edwin/KVY-5791-2024; Hermosilla-Ibanez, Patricio/Y-7454-2018; Arteaga Arroyo, Gean Carlos/GWZ-3176-2022</t>
  </si>
  <si>
    <t>Hermosilla-Ibanez, Patricio/0000-0002-2272-9690; Arteaga Arroyo, Gean Carlos/0000-0002-8758-8577; Almodovar, Iriux/0000-0002-0692-0196; Perez, Edwin/0000-0002-3777-6297; Saavedra-Olavarria, Jorge/0000-0002-2536-3065</t>
  </si>
  <si>
    <t>MAR 21</t>
  </si>
  <si>
    <t>10.1016/j.tetlet.2018.02.010</t>
  </si>
  <si>
    <t>WOS:000427664500005</t>
  </si>
  <si>
    <t>Gacitúa, MA; Muñoz, E; González, B</t>
  </si>
  <si>
    <t>Gacitua, Manuel A.; Munoz, Enyelbert; Gonzalez, Bernardo</t>
  </si>
  <si>
    <t>Bioelectrochemical sulphate reduction on batch reactors: Effect of inoculum-type and applied potential on sulphate consumption and pH</t>
  </si>
  <si>
    <t>BIOELECTROCHEMISTRY</t>
  </si>
  <si>
    <t>Microbial electrolysis batch reactor systems were studied employing different conditions, paying attention on the effect that biocathode potential has on pH and system performance, with the overall aim to distinguish sulphate reduction from H-2 evolution. Inocula from pure strains (Desulfovibrio paquesii and Desulfobacter halotolerans) were compared to a natural source conditioned inoculum. The natural inoculum possess the potential for sulphate reduction on serum bottles experiments due to the activity of mutualistic bacteria (Sedimentibacter sp. and Bacteroides sp.) that assist sulphate-reducing bacterial cells (Desulfovibrio sp.) present in the consortium. Electrochemical batch reactors were monitored at two different potentials (graphite-bar cathodes poised at -900 and -400mV versus standard hydrogen electrode) in an attempt to isolate bioelectrochemical sulphate reduction from hydrogen evolution. At -900mV all inocula were able to reduce sulphate with the consortium demonstrating superior performance (SO42- consumption: 25.71 g m(-2) day(-1)), despite the high alkalinisation of the media. At -400mV only the pure Desulfobacter halotolerans inoculated system was able to reduce sulphate (SO42- consumption: 17.47 g m(-2) day(-1)) and, in this potential condition, pH elevation was less for all systems, confirming direct (or at least preferential) bioelectrochemical reduction of sulphate over H-2 production. (c) 2017 Elsevier B.V. All rights reserved.</t>
  </si>
  <si>
    <t>González, Bernardo/AAW-9578-2021; Gacitua, Manuel/R-8868-2019</t>
  </si>
  <si>
    <t>Gonzalez, Bernardo/0000-0003-1711-1471; Gacitua, Manuel/0000-0003-0807-2677</t>
  </si>
  <si>
    <t>1567-5394</t>
  </si>
  <si>
    <t>1878-562X</t>
  </si>
  <si>
    <t>10.1016/j.bioelechem.2017.08.006</t>
  </si>
  <si>
    <t>WOS:000418312300004</t>
  </si>
  <si>
    <t>Henríquez, G; Urrea, C</t>
  </si>
  <si>
    <t>Henriquez, Gloria; Urrea, Claudio</t>
  </si>
  <si>
    <t>Association between air pollution and emergency consultations for respiratory diseases</t>
  </si>
  <si>
    <t>Background: Air pollution has a direct influence on health. Aim: To determine the association between particulate matter and contaminant gas concentrations in the environment with the number of consultations for respiratory diseases in emergency rooms in Metropolitan Santiago, Chile. Material and Methods: During five years, the daily number emergency consultations for respiratory diseases and the daily concentrations of particulate matter and contaminant gases in a community of Santiago, were recorded. The degree of change of these variables during summer and winter was determined. Their correlation coefficients with a 0 to 100 days gap, were calculated. Results: During winter, there was a higher number of consultations and higher pollution levels, except for O-3, which increased in summer. There were positive correlations between the concentrations of different pollutants (mainly 2.5 and 10 mu m particulate matter, CO and NO2). There was a negative association between consultations for respiratory diseases and O-3 concentrations, an almost negligible association with SO2 and variable positive and significant associations with the concentration of other pollutants, with variations according to the time gap. Conclusions: Pollution and respiratory diseases increase during winter. There are variable associations between pollutant concentrations and the number of consultations for respiratory diseases.</t>
  </si>
  <si>
    <t>Claudio, URREA/KWU-1600-2024</t>
  </si>
  <si>
    <t>Urrea, Claudio/0000-0001-7197-8928</t>
  </si>
  <si>
    <t>10.4067/s0034-98872017001101371</t>
  </si>
  <si>
    <t>WOS:000429615100001</t>
  </si>
  <si>
    <t>Organic microcavities can be engineered to reach exotic quantum regimes of strong and ultrastrong light-matter coupling. However, the microscopic interpretation of their spectroscopic signals can be challenging due to the competition between coherent and dissipative processes involving electrons, vibrations, and cavity photons. We develop here a theoretical framework based on the Holstein-Tavis-Cummings model and a Markovian treatment of dissipation to account for previously unexplained spectroscopic features of organic microcavities consistently. We identify conditions for the formation of dark vibronic polaritons, a class of light-matter excitations that are not visible in absorption but lead to strong photoluminescence lines. We show that photon leakage from dark vibronic polaritons can be responsible for enhancing photoluminescence at the lower polariton frequency, and also can explain the apparent breakdown of reciprocity between absorption and emission in the vicinity of the bare molecular transition frequency. Successful comparison with experimental data demonstrates the applicability of our theory.</t>
  </si>
  <si>
    <t>10.1103/PhysRevA.95.053867</t>
  </si>
  <si>
    <t>WOS:000402463200020</t>
  </si>
  <si>
    <t>Zapata, PA; Zenteno, A; Amigó, N; Rabagliati, FM; Sepúlveda, F; Catalina, F; Corrales, T</t>
  </si>
  <si>
    <t>Zapata, Paula A.; Zenteno, Andres; Amigo, Nicolas; Rabagliati, Franco M.; Sepulveda, Francisco; Catalina, Fernando; Corrales, Teresa</t>
  </si>
  <si>
    <t>Study on the photodegradation of nanocomposites based on polypropylene and TiO2 nanotubes</t>
  </si>
  <si>
    <t>POLYMER DEGRADATION AND STABILITY</t>
  </si>
  <si>
    <t>Composites of polypropylene (PP) were synthesized by the melting process in the presence of titanium dioxide nanotubes (TiO2-Ntbs). Nanotubes were used either as synthesized or organically modified with hexadecyltrimethoxysilane (Mod-TiO2-Ntbs). The photoageing of the neat PP and PP-TiO2-Ntbs was studied during 10 days. The nanotubes incorporated into the PP promoted and accelerated its photo degradation due to reactive species generated during irradiation. PP-Mod-TiO2-Ntbs composites with 8% of modified nanotubes produced the highest degradation according to chemiluminescence analysis (CL), carbonyl index (CI), degree of crystallinity (%chi), and thermogravimetric analysis (TGA). Furthermore, SEM analysis after photoageing the polymers presented several cavities of ca. 5 mu m. (C) 2016 Elsevier Ltd. All rights reserved.</t>
  </si>
  <si>
    <t>corrales, teresa/AAN-5978-2020; Sepúlveda, Francesca/AAW-8092-2021; Catalina, Fernando/AAF-2569-2019</t>
  </si>
  <si>
    <t>Zapata, Paula Andrea/0000-0003-3361-6226; Sepulveda Palma, Francisco Hernan/0000-0002-1930-3859; Corrales, Teresa/0000-0002-0171-2283; Catalina, Fernando/0000-0002-4620-8582</t>
  </si>
  <si>
    <t>0141-3910</t>
  </si>
  <si>
    <t>1873-2321</t>
  </si>
  <si>
    <t>10.1016/j.polymdegradstab.2016.08.008</t>
  </si>
  <si>
    <t>WOS:000386403100011</t>
  </si>
  <si>
    <t>Jaramillo-Colorado, B; Duarte-Restrepo, E; Jaimes, L</t>
  </si>
  <si>
    <t>Jaramillo-Colorado, Beatriz; Duarte-Restrepo, Edisson; Jaimes, Luisauris</t>
  </si>
  <si>
    <t>Bioactivities of essential oil from Colombian Croton trinitatis Millsp</t>
  </si>
  <si>
    <t>Essential oils are being studied because bioactive properties, which vary according to their chemical composition. The objectives of this work were to study the volatile chemical composition of essential oil (EO) from Croton trinitatis Millsp (Euphorbiaceae), obtained from plants collected in Maria la Baja (Bolivar). Also, evaluate their antioxidant and repellent properties. EOs were isolated by hydrodistillation technique and identified by gas chromatography coupled to a mass spectrometric detector (GC-MS). The major compounds found in C. trinitatis were sesquiterpens: Caryophyllene (15,3%), dihydrocurcumene (14,5%), cis and trans calamenene (4.0 y 13.7.0%, respectively), gamma-cadina- 1,4-diene (7.4%), alaskene /6.4%), gerrmacrene A (5.8%), bicyclogermacrene (5.3%); and monoterpens as fenchone (4.4%) and eucalyptol (1,8-cineol) (2.4%). The antioxidant activity of the EOs were determined using the method of DPPH radical. The percentage of inhibition of DPPH from C. trinitatis was 92.2% compared with ascorbic acid (96,4%). The EO from Turbaco had the highest repellent activity against Tribolium castaneum, at a concentration of 0.2 uL/cm(2) at 2 and 4 hours of exposure (86.0 and 92.0%, respectively).</t>
  </si>
  <si>
    <t>WOS:000380206200005</t>
  </si>
  <si>
    <t>Cavity-Controlled Chemistry in Molecular Ensembles</t>
  </si>
  <si>
    <t>PHYSICAL REVIEW LETTERS</t>
  </si>
  <si>
    <t>The demonstration of strong and ultrastrong coupling regimes of cavity QED with polyatomic molecules has opened new routes to control chemical dynamics at the nanoscale. We show that strong resonant coupling of a cavity field with an electronic transition can effectively decouple collective electronic and nuclear degrees of freedom in a disordered molecular ensemble, even for molecules with high-frequency quantum vibrational modes having strong electron-vibration interactions. This type of polaron decoupling can be used to control chemical reactions. We show that the rate of electron transfer reactions in a cavity can be orders of magnitude larger than in free space for a wide class of organic molecular species.</t>
  </si>
  <si>
    <t>0031-9007</t>
  </si>
  <si>
    <t>1079-7114</t>
  </si>
  <si>
    <t>JUN 8</t>
  </si>
  <si>
    <t>10.1103/PhysRevLett.116.238301</t>
  </si>
  <si>
    <t>WOS:000377338900019</t>
  </si>
  <si>
    <t>Alvarez, P; Hernández, A; Constandil, L; Infante, C; Pelissier, T</t>
  </si>
  <si>
    <t>Alvarez, Pedro; Hernandez, Alejandro; Constandil, Luis; Infante, Claudio; Pelissier, Teresa</t>
  </si>
  <si>
    <t>Stage-dependent C-reflex, pain-like behavior and opioid analgesia during the induction of chronic arthritis in rats</t>
  </si>
  <si>
    <t>EUROPEAN JOURNAL OF NEUROSCIENCE</t>
  </si>
  <si>
    <t>Chronic arthritis (CA) is a common clinical entity associated with persistent pain and limited response to opioid analgesic therapy. However, it is unknown whether these features of CA change depending on its stage of evolution. To address this, in a well-established animal model of CA we studied the time course of electromyographic responses to electrical stimulation of C fibers (C-reflex), pain-like behavior as a response to mechanical nociceptive stimulation, and the inhibition of both responses by a prototypic opioid analgesic, morphine. To induce CA, rats received a single injection of complete Freund's adjuvant into the ankle joint and the C-reflex responses to electrical stimuli or the nociceptive response to paw pressure test were studied 2, 4 or 6weeks later. The C-reflexes evoked by threshold and supra-threshold electrical stimulation exhibited progressive increases together with enhancement of the nociceptive behavior to mechanical stimulation during induction of monoarthritis. Notably, while systemic morphine produced antinociceptive effects upon both experimental approaches, the effects were markedly reduced during the early stages of CA but enhanced at later stages. These data indicate that C-reflex and pain-like responses evolve in parallel, and are inhibited by morphine in a stage-dependent manner through the induction of CA. The present results may contribute to explain the enhanced pain response and variable analgesic efficacy of opioids that characterize arthritic pain in humans.</t>
  </si>
  <si>
    <t>0953-816X</t>
  </si>
  <si>
    <t>1460-9568</t>
  </si>
  <si>
    <t>10.1111/ejn.12685</t>
  </si>
  <si>
    <t>WOS:000344052500013</t>
  </si>
  <si>
    <t>Buch, N; Velastin, SA</t>
  </si>
  <si>
    <t>Buch, Norbert; Velastin, Sergio A.</t>
  </si>
  <si>
    <t>Local feature saliency classifier for real-time intrusion monitoring</t>
  </si>
  <si>
    <t>OPTICAL ENGINEERING</t>
  </si>
  <si>
    <t>We propose a texture saliency classifier to detect people in a video frame by identifying salient texture regions. The image is classified into foreground and background in real time. No temporal image information is used during the classification. The system is used for the task of detecting people entering a sterile zone, which is a common scenario for visual surveillance. Testing is performed on the Imagery Library for Intelligent Detection Systems sterile zone benchmark dataset of the United Kingdom's Home Office. The basic classifier is extended by fusing its output with simple motion information, which significantly outperforms standard motion tracking. A lower detection time can be achieved by combining texture classification with Kalman filtering. The fusion approach running at 10 fps gives the highest result of F1 = 0.92 for the 24-h test dataset. The paper concludes with a detailed analysis of the computation time required for the different parts of the algorithm. (c) 2014 Society of Photo-Optical Instrumentation Engineers (SPIE)</t>
  </si>
  <si>
    <t>VELASTIN, SERGIO ALEJANDRO/0000-0001-6775-7137</t>
  </si>
  <si>
    <t>0091-3286</t>
  </si>
  <si>
    <t>1560-2303</t>
  </si>
  <si>
    <t>10.1117/1.OE.53.7.073108</t>
  </si>
  <si>
    <t>WOS:000341183900026</t>
  </si>
  <si>
    <t>Lacoste, P; Premat, E; Aranda, M; Soto, N; Solar, M</t>
  </si>
  <si>
    <t>Lacoste, Pablo; Premat, Estela; Aranda, Marcela; Soto, Natalia; Solar, Mario</t>
  </si>
  <si>
    <t>The winery as a dynamic space: viniculture landscape and architecture in raw land in Cuyo and Chile, XVI-XIX centuries</t>
  </si>
  <si>
    <t>COLONIAL LATIN AMERICAN HISTORICAL REVIEW-SECOND SERIES</t>
  </si>
  <si>
    <t>1063-5769</t>
  </si>
  <si>
    <t>SPR</t>
  </si>
  <si>
    <t>WOS:000356465200004</t>
  </si>
  <si>
    <t>Jara, M; Cubillos, FA; García, V; Salinas, F; Aguilera, O; Liti, G; Martínez, C</t>
  </si>
  <si>
    <t>Jara, Matias; Cubillos, Francisco A.; Garcia, Veronica; Salinas, Francisco; Aguilera, Omayra; Liti, Gianni; Martinez, Claudio</t>
  </si>
  <si>
    <t>Mapping Genetic Variants Underlying Differences in the Central Nitrogen Metabolism in Fermenter Yeasts</t>
  </si>
  <si>
    <t>Different populations within a species represent a rich reservoir of allelic variants, corresponding to an evolutionary signature of withstood environmental constraints. Saccharomyces cerevisiae strains are widely utilised in the fermentation of different kinds of alcoholic beverages, such as, wine and sake, each of them derived from must with distinct nutrient composition. Importantly, adequate nitrogen levels in the medium are essential for the fermentation process, however, a comprehensive understanding of the genetic variants determining variation in nitrogen consumption is lacking. Here, we assessed the genetic factors underlying variation in nitrogen consumption in a segregating population derived from a cross between two main fermenter yeasts, a Wine/European and a Sake isolate. By linkage analysis we identified 18 main effect QTLs for ammonium and amino acids sources. Interestingly, majority of QTLs were involved in more than a single trait, grouped based on amino acid structure and indicating high levels of pleiotropy across nitrogen sources, in agreement with the observed patterns of phenotypic co-variation. Accordingly, we performed reciprocal hemizygosity analysis validating an effect for three genes, GLT1, ASI1 and AGP1. Furthermore, we detected a widespread pleiotropic effect on these genes, with AGP1 affecting seven amino acids and nine in the case of GLT1 and ASI1. Based on sequence and comparative analysis, candidate causative mutations within these genes were also predicted. Altogether, the identification of these variants demonstrate how Sake and Wine/European genetic backgrounds differentially consume nitrogen sources, in part explaining independently evolved preferences for nitrogen assimilation and representing a niche of genetic diversity for the implementation of practical approaches towards more efficient strains for nitrogen metabolism.</t>
  </si>
  <si>
    <t>Liti, Gianni/I-9929-2014; Martinez, Claudio/MGS-9961-2025; García, Verónica/AAM-1175-2021; Cubillos, Francisco/MIT-2389-2025; Cubillos, Francisco/G-5195-2019; Salinas, Francisco/W-3269-2017</t>
  </si>
  <si>
    <t>Jara, Matias/0000-0003-0091-8957; garcia, veronica/0000-0002-5312-925X; Cubillos, Francisco/0000-0003-3022-469X; Liti, Gianni/0000-0002-2318-0775; Salinas, Francisco/0000-0002-8391-8145; Martinez, Claudio/0000-0001-8564-9287</t>
  </si>
  <si>
    <t>JAN 21</t>
  </si>
  <si>
    <t>e86533</t>
  </si>
  <si>
    <t>10.1371/journal.pone.0086533</t>
  </si>
  <si>
    <t>WOS:000330244500253</t>
  </si>
  <si>
    <t>You, SS; Rashkov, R; Kanjanaboos, P; Calderon, I; Meron, M; Jaeger, HM; Lin, BH</t>
  </si>
  <si>
    <t>You, Siheng Sean; Rashkov, Rossen; Kanjanaboos, Pongsakorn; Calderon, Ignacio; Meron, Mati; Jaeger, Heinrich M.; Lin, Binhua</t>
  </si>
  <si>
    <t>Comparison of the Mechanical Properties of Self-Assembled Langmuir Monolayers of Nanoparticles and Phospholipids</t>
  </si>
  <si>
    <t>Nanoparticles with hydrophobic capping ligands and amphiphilic phospholipids are both found to self-assemble into monolayer films when deposited on the air/water interface. By separately measuring the anisotropic stress response of these films under uniaxial compression, we obtain both the 2D compressive and shear moduli of a range of different thin nanoparticle and phospholipid films. The compressive moduli of both nanoparticle and lipid films in the solid phase are on the same order of magnitude, whereas the shear moduli of the lipid films are found to be significantly lower. Additionally, the moduli of the nanoparticle films depended substantially on the polydispersity of the constituent particles-broader size distribution lowered the stiffness of the nanoparticle film.</t>
  </si>
  <si>
    <t>Jaeger, Heinrich/JZD-6999-2024; Kanjanaboos, Pongsakorn/Q-1050-2015</t>
  </si>
  <si>
    <t>You, Siheng/0000-0002-4901-1523; Kanjanaboos, Pongsakorn/0000-0002-4854-1733; Jaeger, Heinrich/0009-0001-0270-6870</t>
  </si>
  <si>
    <t>SEP 17</t>
  </si>
  <si>
    <t>10.1021/la4020064</t>
  </si>
  <si>
    <t>WOS:000330148200025</t>
  </si>
  <si>
    <t>DiazDelaO, FA; Adhikari, S; Flores, EIS; Friswell, MI</t>
  </si>
  <si>
    <t>DiazDelaO, F. A.; Adhikari, S.; Flores, E. I. Saavedra; Friswell, M. I.</t>
  </si>
  <si>
    <t>Stochastic structural dynamic analysis using Bayesian emulators</t>
  </si>
  <si>
    <t>COMPUTERS &amp; STRUCTURES</t>
  </si>
  <si>
    <t>The probabilistic characterisation of a frequency response function can be very valuable for structural design and control. Unfortunately, obtaining a sufficiently large sample for wide ranges of vibration can easily become unaffordable. A variety of modelling assumptions can dramatically add to the computational cost: nonproportional damping, multiscale material properties, and high-resolution finite element analysis are some examples. This paper explores Bayesian emulators as surrogates for expensive finite element models in structural dynamics. We demonstrate the effectiveness of the method by performing uncertainty analysis of the frequency response of a nonproportionally damped plate made of a carbon fibre/epoxy composite material. (C) 2013 Elsevier Ltd. All rights reserved.</t>
  </si>
  <si>
    <t>Flores, Erick/I-7646-2012; Friswell, Michael/B-5581-2009; Adhikari, Sondipon/A-9642-2009</t>
  </si>
  <si>
    <t>Friswell, Michael/0000-0003-4677-7395; Adhikari, Sondipon/0000-0003-4181-3457</t>
  </si>
  <si>
    <t>0045-7949</t>
  </si>
  <si>
    <t>1879-2243</t>
  </si>
  <si>
    <t>10.1016/j.compstruc.2013.01.013</t>
  </si>
  <si>
    <t>WOS:000317888700003</t>
  </si>
  <si>
    <t>Maydeu-Olivares, A; Montaño, R</t>
  </si>
  <si>
    <t>Maydeu-Olivares, Alberto; Montano, Rosa</t>
  </si>
  <si>
    <t>How Should We Assess the Fit of Rasch-Type Models? Approximating the Power of Goodness-of-Fit Statistics in Categorical Data Analysis</t>
  </si>
  <si>
    <t>PSYCHOMETRIKA</t>
  </si>
  <si>
    <t>We investigate the performance of three statistics, R (1), R (2) (Glas in Psychometrika 53:525-546, 1988), and M (2) (Maydeu-Olivares &amp; Joe in J. Am. Stat. Assoc. 100:1009-1020, 2005, Psychometrika 71:713-732, 2006) to assess the overall fit of a one-parameter logistic model (1PL) estimated by (marginal) maximum likelihood (ML). R (1) and R (2) were specifically designed to target specific assumptions of Rasch models, whereas M (2) is a general purpose test statistic. We report asymptotic power rates under some interesting violations of model assumptions (different item discrimination, presence of guessing, and multidimensionality) as well as empirical rejection rates for correctly specified models and some misspecified models. All three statistics were found to be more powerful than Pearson's X (2) against two- and three-parameter logistic alternatives (2PL and 3PL), and against multidimensional 1PL models. The results suggest that there is no clear advantage in using goodness-of-fit statistics specifically designed for Rasch-type models to test these models when marginal ML estimation is used.</t>
  </si>
  <si>
    <t>Maydeu-Olivares, Alberto/B-5178-2010</t>
  </si>
  <si>
    <t>Maydeu-Olivares, Alberto/0000-0001-5790-392X</t>
  </si>
  <si>
    <t>0033-3123</t>
  </si>
  <si>
    <t>1860-0980</t>
  </si>
  <si>
    <t>10.1007/s11336-012-9293-1</t>
  </si>
  <si>
    <t>WOS:000313455200007</t>
  </si>
  <si>
    <t>Arenas, A; Vasquez, R; López-Alarcón, C; Lissi, E; Silva, E</t>
  </si>
  <si>
    <t>Arenas, Andrea; Vasquez, Rodrigo; Lopez-Alarcon, Camilo; Lissi, Eduardo; Silva, Eduardo</t>
  </si>
  <si>
    <t>Oxidative Damage of Lysozyme and Human Serum Albumin and Their Mixtures. A Comparison of Photosensitized and Peroxyl Radical Promoted Processes</t>
  </si>
  <si>
    <t>PROTEIN JOURNAL</t>
  </si>
  <si>
    <t>Oxidative modifications of lysozyme (Lyso) and human serum albumin (HSA) mediated by photoinduced processes and peroxyl radicals were studied. Both oxidative conditions were applied to the separate proteins and their mixtures. Dimerization and fragmentation of the proteins do not correlate with the formation of carbonyls or peroxides, implying that evaluation of these changes is not an index of the overall oxidative modification of a protein. The results obtained also show that the hypothesis that the electrostatic interactions of Lyso and HSA could facilitate the formation of Lyso-HSA dimers in the presence of a source of reactive oxygen species was verified in both ROS-producing systems.</t>
  </si>
  <si>
    <t>Silva, Eduardo/KUC-8055-2024; Lopez, Camilo/J-5770-2013</t>
  </si>
  <si>
    <t>Lopez, Camilo/0000-0002-0174-8972; Arenas, Andrea/0009-0002-0882-4947</t>
  </si>
  <si>
    <t>1572-3887</t>
  </si>
  <si>
    <t>1875-8355</t>
  </si>
  <si>
    <t>10.1007/s10930-011-9341-1</t>
  </si>
  <si>
    <t>WOS:000292559700008</t>
  </si>
  <si>
    <t>Lizama, C; Poblete, V</t>
  </si>
  <si>
    <t>Lizama, Carlos; Poblete, Veronica</t>
  </si>
  <si>
    <t>Periodic solutions of fractional differential equations with delay</t>
  </si>
  <si>
    <t>JOURNAL OF EVOLUTION EQUATIONS</t>
  </si>
  <si>
    <t>In this paper, we give a necessary and sufficient conditions for the existence and uniqueness of periodic solutions of inhomogeneous abstract fractional differential equations with delay. The conditions are obtained in terms of R-boundedness of operator-valued Fourier multipliers determined by the abstract model.</t>
  </si>
  <si>
    <t>Poblete, Veronica/D-8810-2015; Lizama, Carlos/E-5909-2011</t>
  </si>
  <si>
    <t>1424-3199</t>
  </si>
  <si>
    <t>1424-3202</t>
  </si>
  <si>
    <t>10.1007/s00028-010-0081-z</t>
  </si>
  <si>
    <t>WOS:000288220900003</t>
  </si>
  <si>
    <t>Mustaca, AE; Kamenetzky, G; Vera Villarroel, P</t>
  </si>
  <si>
    <t>Mustaca, Alba E.; Kamenetzky, Giselle; Vera Villarroel, Pablo</t>
  </si>
  <si>
    <t>RELATIONS BETWEEN POSITIVE AND NEGATIVE VARIABLES IN A SAMPLE OF ARGENTINE STUDENTS</t>
  </si>
  <si>
    <t>REVISTA ARGENTINA DE CLINICA PSICOLOGICA</t>
  </si>
  <si>
    <t>The studies that relate various tests that assess positive and negative variables are scarce This study evaluates differences between optimistic and non optimistic persons in the negative variables (Depression Anxiety) and positive variables (Satisfaction with Life Happiness and Self Esteem) It also relates the perception of having had positive and negative experiences with the test results The research was conducted with Argentine university students ANOVA and Scheffe showed significant differences for negative variables For positive variables were significant differences for Satisfaction with Life Happiness and Self esteem It also found a significant relationship between the perception of having had negative and positive experiences with test scores These results are compared with samples obtained in other Latin American countries We conclude that it is necessary to explore the use of optimism and other positive variables studied in recent years as a tool in psychotherapy clinical interventions and preventive health</t>
  </si>
  <si>
    <t>Vera-Villarroel, Pablo/A-1134-2011</t>
  </si>
  <si>
    <t>Vera-Villarroel, Pablo/0000-0001-9187-8414</t>
  </si>
  <si>
    <t>0327-6716</t>
  </si>
  <si>
    <t>WOS:000285021900005</t>
  </si>
  <si>
    <t>Sepulveda, W; Mena, F; Ortega, X</t>
  </si>
  <si>
    <t>Sepulveda, Waldo; Mena, Francisco; Ortega, Ximena</t>
  </si>
  <si>
    <t>Successful Percutaneous Embolization of Feeding Vessels of a Lung Tumor in a Hydropic Fetus</t>
  </si>
  <si>
    <t>JOURNAL OF ULTRASOUND IN MEDICINE</t>
  </si>
  <si>
    <t>Fetuses with large lung tumors associated with hydrops have an almost uniformly fatal outcome if left untreated. Indeed, 2 large referral centers in America have reported a perinatal mortality rate approaching 100% in more than 50 hydropic fetuses with lung tumors managed expectantly.(1-3) Fetal intervention, either with open fetal surgery(1-3) or with percutaneous shunting/ablation techniques,(4) can improve the survival rate, but these approaches have only being carried out in few selected cases. We report the successful percutaneous intrauterine embolization of a large echogenic lung mass in a hydropic fetus at 22 weeks' gestation. The prenatal sonographic findings, antenatal course, and perinatal management are presented.</t>
  </si>
  <si>
    <t>0278-4297</t>
  </si>
  <si>
    <t>10.7863/jum.2010.29.4.639</t>
  </si>
  <si>
    <t>WOS:000277004800015</t>
  </si>
  <si>
    <t>Znojil, M; Jakubsky, V</t>
  </si>
  <si>
    <t>Znojil, Miloslav; Jakubsky, Vit</t>
  </si>
  <si>
    <t>Supersymmetric quantum mechanics living on topologically non-trivial Riemann surfaces</t>
  </si>
  <si>
    <t>PRAMANA-JOURNAL OF PHYSICS</t>
  </si>
  <si>
    <t>8th Conference on Non-Hermitian Hamiltonians in Quantum Physics</t>
  </si>
  <si>
    <t>JAN 13-16, 2009</t>
  </si>
  <si>
    <t>Mumbai, INDIA</t>
  </si>
  <si>
    <t>Bhabha Atom Res Ctr,Tata Inst Fund Res</t>
  </si>
  <si>
    <t>Supersymmetric quantum mechanics is constructed in a new non-Hermitian representation. Firstly, the map between the partner operators H((+/-)) is chosen antilinear. Secondly, both these components of a super-Hamiltonian R are defined along certain topologically non-trivial complex curves r((+/-)) (x) which spread over several Riemann sheets of the wave function. The non-uniqueness of our choice of the map T between 'tobogganic' partner curves r((+))(x) and r((-))(x) is emphasized.</t>
  </si>
  <si>
    <t>Jakubsky, Vit/H-2972-2014; Znojil, Miloslav/G-7935-2014</t>
  </si>
  <si>
    <t>0304-4289</t>
  </si>
  <si>
    <t>10.1007/s12043-009-0131-7</t>
  </si>
  <si>
    <t>WOS:000269548500019</t>
  </si>
  <si>
    <t>Palacios, SM; Bertoni, A; Rossi, Y; Santander, R; Urzúa, A</t>
  </si>
  <si>
    <t>Palacios, Sara M.; Bertoni, Alberto; Rossi, Yanina; Santander, Rocio; Urzua, Alejandro</t>
  </si>
  <si>
    <t>Efficacy of Essential Oils from Edible Plants as Insecticides Against the House Fly, Musca Domestica L.</t>
  </si>
  <si>
    <t>The compositions of 12 essential oils (EOs) obtained by hydrodistillation of edible fruits and herbs were analyzed by gas chromatography/mass spectroscopy (GC/MS). The insecticidal activity of each oil against the house fly Musca domestica was evaluated by placing flies in a glass jar with a screw cap that held a piece of EO-treated cotton yarn. The dose necessary to kill 50% of flies (LC50) in 30 min was determined at 26 +/- 1 degrees C. Twelve EOs and 17 individual terpenes were assayed against M. domestica, showing LC50 values ranging from 3.9 to 85.2 and from 3.3 to &gt; 100 mg/dm(3), respectively. EO from Citrus sinensis was the most potent insecticide (LC50 = 3.9 mg/dm(3)), followed by EOs from C. aurantium (LC50 = 4.8 mg/dm(3)) and Eucalyptus cinerea (LC50 = 5.5 mg/dm(3)). According to GC/MS analysis, limonene (92.47%), linalool (1.43%), and beta-myrcene (0.88%) were the principal components of C. sinensis EO. Limonene was also the principal constituent (94.07%) of C. aurantium, while 1,8-cineole (56.86%) was the major constituent of E. cinerea EO. 1,8-Cineole was most active against M. domestica (LC50 = 3.3 mg/dm(3)), while (4R)(+)-limonene, was moderately active (LC50 = 6.2 mg/dm(3)). Dimethyl 2,2-dichlorovinyl phosphate (DDVP) selected as a positive control, showed an LC50 of 0.5 mg/dm(3). EOs from C. sinensis, C. aurantium, and E. cinerea show promise as natural insecticides against houseflies.</t>
  </si>
  <si>
    <t>Santander, Rocio/K-7645-2013</t>
  </si>
  <si>
    <t>Urzua, Alejandro/0000-0003-2638-0921; PALACIOS, SARA/0000-0002-0621-5091; ROSSI, YANINA E/0000-0002-7500-0051</t>
  </si>
  <si>
    <t>10.3390/molecules14051938</t>
  </si>
  <si>
    <t>WOS:000266381200025</t>
  </si>
  <si>
    <t>Pereda, J; Niimi, G</t>
  </si>
  <si>
    <t>Pereda, Jaime; Niimi, Gen</t>
  </si>
  <si>
    <t>Embryonic Erythropoiesis in Human Yolk Sac: Two Different Compartments for Two Different Processes</t>
  </si>
  <si>
    <t>MICROSCOPY RESEARCH AND TECHNIQUE</t>
  </si>
  <si>
    <t>The wall of 12 yolk sacs (YSs) from 17- to 50-day-old human embryos was examined by light, scanning, and transmission electron microscopy to identify the ontogeny of embryonic erythropoiesis. Initial formation of blood island with the generation of erythroid and endothelial cells was seen in the mesenchymal layer in embryos aged 17 days. A network of blood vessels containing abundant erythroblasts was identified in the YS walls of embryos aged similar to 24 days. At this age, erythroblasts were also identified within the embryo body. Primitive erythroblasts were the only cells present within the embryo and its YS until the end of week 5. These cells first appeared in the mesenchymal vascular plexus of the YS wall, and were then observed in the liver and other tissues of the embryo. At embryonic week 5, two compartments were identified in the YS wall; a mesodermal one in which blood vessels were formed, and an endodermal compartment in which erythrocytes were present within the endodermal vesicles. Erythrocytes were small non-nucleated cells similar to adult erythrocytes. Transmission electron microscopic observation focused on the endodermal vesicles confirmed the presence of definitive erythrocytes only at such extra vascular location. At this age, there were no definitive erythrocytes detected within the embryo. Erythrocytes started to be identified in embryonic blood vessels from week 7 onward. These findings provide information not previously described about YS erythropoiesis during early human development. Microsc. Res. Tech. 71:856-862, 2008. (C) 2008 Wiley-Liss, Inc.</t>
  </si>
  <si>
    <t>1059-910X</t>
  </si>
  <si>
    <t>10.1002/jemt.20627</t>
  </si>
  <si>
    <t>WOS:000261703800003</t>
  </si>
  <si>
    <t>Romero, V; Witten, TA; Cerda, E</t>
  </si>
  <si>
    <t>Romero, V.; Witten, T. A.; Cerda, E.</t>
  </si>
  <si>
    <t>Multiple coiling of an elastic sheet in a tube</t>
  </si>
  <si>
    <t>PROCEEDINGS OF THE ROYAL SOCIETY A-MATHEMATICAL PHYSICAL AND ENGINEERING SCIENCES</t>
  </si>
  <si>
    <t>A piece of paper coiled up in a tube hugs the wall in order to minimize its elastic energy. However, a moment's observation shows that the paper fails to make complete contact near its ends. Here, we show that the detached region in the inner part of the coil touches down the tube wall in an angle that is independent of the system size, thickness and stiffness of the surface. This angle is universal for any coiled sheet whose unstressed state is initially. at. Our results show how the shape and stress distribution for this detached region de. ne the geometry and mechanical equilibrium for the rest of the sheet. In particular, we find scaling relations to describe the structure of the outer part of the coil, in contact with the tube wall, as a function of the number of times the sheet is coiled, N.</t>
  </si>
  <si>
    <t>ROMERO, Victor/AAG-9796-2020</t>
  </si>
  <si>
    <t>ROMERO, Victor/0000-0001-6697-9918</t>
  </si>
  <si>
    <t>1364-5021</t>
  </si>
  <si>
    <t>NOV 8</t>
  </si>
  <si>
    <t>10.1098/rspa.2007.0372</t>
  </si>
  <si>
    <t>WOS:000259364300004</t>
  </si>
  <si>
    <t>Morales, EH; Henríquez, HR; McKibben, MA</t>
  </si>
  <si>
    <t>Morales, Eduardo Hernandez; Henriquez, Hernan R.; McKibben, Mark A.</t>
  </si>
  <si>
    <t>Existence of solutions for second order partial neutral functional differential equations</t>
  </si>
  <si>
    <t>INTEGRAL EQUATIONS AND OPERATOR THEORY</t>
  </si>
  <si>
    <t>We establish existence of mild solutions for a class of abstract second-order partial neutral functional differential equations with unbounded delay in a Banach space.</t>
  </si>
  <si>
    <t>0378-620X</t>
  </si>
  <si>
    <t>1420-8989</t>
  </si>
  <si>
    <t>10.1007/s00020-008-1618-1</t>
  </si>
  <si>
    <t>WOS:000259862100004</t>
  </si>
  <si>
    <t>Grillo, AF; Luzio, E; Méndez, F</t>
  </si>
  <si>
    <t>Grillo, A. F.; Luzio, E.; Mendez, F.</t>
  </si>
  <si>
    <t>Time delay of light signals in an energy-dependent spacetime metric</t>
  </si>
  <si>
    <t>In this paper we review the problem of time delay of photons propagating in a spacetime with a metric that explicitly depends on the energy of the particles (gravity-rainbow approach), We show that corrections due to this approach-which is closely related to the double special relativity proposal-produce for small redshifts (z &lt;&lt; 1) smaller time delays than in the generic Lorentz invariance violating case.</t>
  </si>
  <si>
    <t>Mendez, Fernando/0000-0002-9257-9552</t>
  </si>
  <si>
    <t>10.1103/PhysRevD.77.104033</t>
  </si>
  <si>
    <t>WOS:000257329300077</t>
  </si>
  <si>
    <t>Pedreschi, F; Mery, D; Marique, T</t>
  </si>
  <si>
    <t>Sun, DW</t>
  </si>
  <si>
    <t>Pedreschi, Franco; Mery, Domingo; Marique, Thierry</t>
  </si>
  <si>
    <t>Quality Evaluation and Control of Potato Chips and French Fries</t>
  </si>
  <si>
    <t>COMPUTER VISION TECHNOLOGY FOR FOOD QUALITY EVALUATION</t>
  </si>
  <si>
    <t>Food Science and Technology-International Series</t>
  </si>
  <si>
    <t>Mery, Domingo/D-1385-2014</t>
  </si>
  <si>
    <t>Mery, Domingo/0000-0003-4748-3882</t>
  </si>
  <si>
    <t>978-0-08-055624-6; 978-0-12-373642-0</t>
  </si>
  <si>
    <t>10.1016/B978-012373642-0.50025-9</t>
  </si>
  <si>
    <t>WOS:000310957500023</t>
  </si>
  <si>
    <t>Chacón, D; Rodríguez-Corral, G; Gaete-Garretón, L; de Sarabia, ERF; Gallego-Juárez, JA</t>
  </si>
  <si>
    <t>Chacon, D.; Rodriguez-Corral, G.; Gaete-Garreton, L.; de Sarabia, E. Riera-Franco; Gallego-Juarez, J. A.</t>
  </si>
  <si>
    <t>A procedure for the efficient selection of piezoelectric ceramics constituting high-power ultrasonic transducers</t>
  </si>
  <si>
    <t>ULTRASONICS</t>
  </si>
  <si>
    <t>Ultrasonics International (UI 05)/ World Congress on Ultrasonics (WCU 2005)</t>
  </si>
  <si>
    <t>AUG 29-SEP 01, 2005</t>
  </si>
  <si>
    <t>The most characteristic narrow-band transducer structure for high-power ultrasonic applications is the well known piezoelectric sandwich which is reminiscent of the Langevin transducer. Such structure is generally used jointly with other components in the construction of industrial high-power transducers. One of the main objectives in the design and construction of such high-power transducers is to minimize energy losses. To that purpose the selection of the piezoelectric ceramic rings forming the sandwich requires clear and specific criteria. This paper deals with a numerical and experimental procedure for the accurate selection of the piezoelectric rings constituting high-power transducers, based on the analysis of the mechanical Q, the frequency and the resonance curve. The procedure was experimentally checked by constructing and characterizing several transducer structures. (c) 2006 Elsevier B. V. All rights reserved.</t>
  </si>
  <si>
    <t>Riera, Enrique/0000-0001-7434-404X; Gaete-Garreton, Luis/0000-0002-2234-8783</t>
  </si>
  <si>
    <t>0041-624X</t>
  </si>
  <si>
    <t>1874-9968</t>
  </si>
  <si>
    <t>DEC 22</t>
  </si>
  <si>
    <t>E517</t>
  </si>
  <si>
    <t>E521</t>
  </si>
  <si>
    <t>10.1016/j.ultras.2006.05.117</t>
  </si>
  <si>
    <t>WOS:000248802400100</t>
  </si>
  <si>
    <t>Sierralta, W; Hernández, A; Valladares, L; Pérez, H; Mondaca, M; Soto-Moyano, R</t>
  </si>
  <si>
    <t>Sierralta, Walter; Hernandez, Alejandro; Valladares, Luis; Perez, Herndn; Mondaca, Mauricio; Soto-Moyano, Rubn</t>
  </si>
  <si>
    <t>Mild prenatal protein malnutrition increases α2C-adrenoceptor expression in the rat cerebral cortex during postnatal life</t>
  </si>
  <si>
    <t>Mild reduction in the protein content in the diet of pregnant rats from 25 to 8% casein, calorically compensated by carbohydrates, does not alter body and brain weights of rat pups at birth, but results in significant changes of the concentration and release of cortical noradrenaline during postnatal life, together with impaired long-term potentiation and memory formation. Since some central noradrenergic receptors are critically involved in neuroplasticity, the present study evaluated, by utilizing immunohistochemical methods, the effect of mild prenatal protein malnutrition on the alpha(2C)-adrenoceptor expression in the frontal and occipital cortices of 8- and 60-day-old rats. At day 8 of postnatal age, prenatally malnourished rats exhibited a three-fold increase of alpha(2C)-adrenoceptor expression in both the frontal and the occipital cortices, as compared to well-nourished controls. At 60 days of age, prenatally malnourished rats showed normal expression levels scores of alpha(2C)-adrenoceptor in the neocortex. Results suggest that overexpression of neocortical alpha(2C)-adrenoceptors during early postnatal life, subsequent to mild prenatal protein malnutrition, could in part be responsible for neural and behavioral disturbances showing prenatally malnourished animals during the postnatal life. (c) 2006 Elsevier Inc. All rights reserved.</t>
  </si>
  <si>
    <t>10.1016/j.brainresbull.2006.02.023</t>
  </si>
  <si>
    <t>WOS:000237678000011</t>
  </si>
  <si>
    <t>Leiva, C; Plyushchay, MS</t>
  </si>
  <si>
    <t>Superconformal mechanics and nonlinear supersymmetry</t>
  </si>
  <si>
    <t>We show that a simple change of the classical boson-fermion coupling constant, 2alpha--&gt;2alphan, n is an element of N, in the superconformal mechanics model gives rise to a radical change of a symmetry: the modified classical and quantum systems are characterized by the nonlinear superconformal symmetry. It is generated by the four bosonic integrals which form the so(1, 2) x u(1) subalgebra, and by the 2(n+1) fermionic integrals constituting the two spin-n/2 so(1, 2)-representations and anticommuting for the order n polynomials of the even generators. We find that the modified quantum system with an integer value of the parameter alpha is described simultaneously by the two nonlinear superconformal symmetries of the orders relatively shifted in odd number. For the original quantum model with \alpha\=p, p is an element of N, this means the presence of the order 2p nonlinear superconformal symmetry in addition to the osp(2\2) supersymmetry.</t>
  </si>
  <si>
    <t>WOS:000187912500069</t>
  </si>
  <si>
    <t>Vásquez, CC; Saavedra, CP; Loyola, CA; Araya, MA; Pichuantes, S</t>
  </si>
  <si>
    <t>The product of the cysK gene of Bacillus stearothermophilus V mediates potassium tellurite resistance in Escherichia coli</t>
  </si>
  <si>
    <t>The nucleotide sequence of a 4,539 bp fragment of Bacillus stearothermophilus V mediating tellurite resistance in Escherichia coli was determined. Four ORFs of more than 150 amino acids encoding polypeptides of 244, 258, 308, and 421 residues were found in the restriction fragment. E. coli cells harboring a recombinant plasmid containing the Te-r determinant express, when challenged with tellurite, a 32 kDa protein with an amino terminal sequence identical to the ten first residues of the 308 ORE This ORF shows great similarity with the cysteine synthase gene (cysK) of a number of organisms. Recombinant clones carrying the active cysK gene have minimal inhibitory concentrations to K2TeO3 that were tenfold higher than those determined for the host strain or that of clones carrying ORFs 244, 258, and 421. Introduction of the B. stearothermophilus V cysK gene into a cysK strain of Salmonella typhimurium LT2 resulted in complementation of the mutation as well as transfer of tellurite resistance.</t>
  </si>
  <si>
    <t>10.1007/s002840010331</t>
  </si>
  <si>
    <t>WOS:000172077200008</t>
  </si>
  <si>
    <t>Aranda, M; Pérez-Alzola, L; Ellahueñe, M; Sepúlveda, C</t>
  </si>
  <si>
    <t>Assessment of in vitro mutagenicity in Salmonella and in vivo genotoxicity in mice of the mycotoxin fumonisin B1</t>
  </si>
  <si>
    <t>MUTAGENESIS</t>
  </si>
  <si>
    <t>Fumonisin B-1 (FB1), a mycotoxin produced by Fusarium moniliforme, is a contaminant of cereals with various and complex cellular effects. FB1 induces liver cancer in rats and has been linked to esophageal cancer in South Africa and China. The mechanisms of FB1-induced carcinogenesis are uncertain and the information on FB1 mutagenic properties is limited and controversial. FB1 contamination levels in maize and wheat from Chile were found to be similar to those in other countries. FB1 was devoid of activity in gene mutation assays with Salmonella typhimurium strains TA100, TA102 and TA98. However, i.p. injection of FB1 induced an increased frequency of micronuclei in mouse bone marrow polychromatic erythrocytes at 25 and 100 mg/kg. We conclude that FBI induces in vivo genotoxicity in the absence of in vitro mutagenicity in Salmonella.</t>
  </si>
  <si>
    <t>Bustos, Mario/A-6599-2013</t>
  </si>
  <si>
    <t>0267-8357</t>
  </si>
  <si>
    <t>10.1093/mutage/15.6.469</t>
  </si>
  <si>
    <t>WOS:000165727300003</t>
  </si>
  <si>
    <t>SARTORI, R; SEPULVEDA, L; QUINA, F; LISSI, E; ABUIN, E</t>
  </si>
  <si>
    <t>BINDING OF ELECTROLYTES TO POLY(ETHYLENE OXIDE) IN AQUEOUS-SOLUTIONS</t>
  </si>
  <si>
    <t>MACROMOLECULES</t>
  </si>
  <si>
    <t>0024-9297</t>
  </si>
  <si>
    <t>AUG 20</t>
  </si>
  <si>
    <t>10.1021/ma00219a002</t>
  </si>
  <si>
    <t>WOS:A1990DV11800002</t>
  </si>
  <si>
    <t>Gatica, JL; Aragón-Caqueo, D; Fuenzalida, H; Loubies, R; Carrasco, MF; Sabando, V; Cunill, C; Letelier, MJ; Guzmán, E</t>
  </si>
  <si>
    <t>Gatica, Jose Luis; Aragon-Caqueo, Diego; Fuenzalida, Hector; Loubies, Rodrigo; Carrasco, Maria Francisca; Sabando, Vezna; Cunill, Carolina; Letelier, Maria Jose; Guzman, Eva</t>
  </si>
  <si>
    <t>Time from Diagnostic Suspicion to In-Person Evaluation in Skin Cancer Using Teledermatology</t>
  </si>
  <si>
    <t>TELEMEDICINE AND E-HEALTH</t>
  </si>
  <si>
    <t>Introduction: Early diagnosis of skin cancer is crucial for improving prognosis. Teledermatology (TD) usage can optimize referrals and reduce waiting times. This study aims to evaluate waiting times at the critical referral nodes in teleinterconsultations that raised suspicion of skin malignancy in the Chilean TD platform of the public health care system.Materials and Methods: A cross-sectional observational study that analyzed asynchronous teleinterconsultations and raised suspicion for skin malignancy following the teledermatologist evaluation was uploaded on the Chilean Ministry of Health's TD platform from January 1 to June 30, 2022.Results: Out of 20,522 teleinterconsultations, 1,853 raised suspicion of skin cancer. Among them, 1,119 patients were assessed by in-person examination, while 669 were still on the waiting list. Response times averaged 3.98 days for TD diagnostic suggestions. Overall referral times averaged 75.98 days from initial teleinterconsultation to the final specialist in-person evaluation. Waiting times showed significant differences among health care services and geographic regions.Discussion: In resource-limited settings, TD serves as a valuable tool to optimize referrals and manage the demand for oncologic dermatological consultation. The long waiting times emphasize the need for targeted interventions, especially in regions with longer delays.Conclusion: While TD has shown to be an effective tool in optimizing referrals, waiting times still exceed international recommendations, even in urban centers. The considerable heterogeneity in referral times within health care services and geographic regions highlights the necessity of establishing standardized referral protocols and explicit deadlines to fulfill teleinterconsultations that raise suspicion of skin malignancy in the Chilean public system.</t>
  </si>
  <si>
    <t>Letelier, Maria/LXB-2899-2024; Aragón, Diego/GPX-8482-2022</t>
  </si>
  <si>
    <t>Aragon-Caqueo, Diego/0000-0001-7233-960X</t>
  </si>
  <si>
    <t>1530-5627</t>
  </si>
  <si>
    <t>1556-3669</t>
  </si>
  <si>
    <t>FEB 1</t>
  </si>
  <si>
    <t>10.1089/tmj.2023.0660</t>
  </si>
  <si>
    <t>WOS:001324400100001</t>
  </si>
  <si>
    <t>Galdames, G; Santander, P; Jiménez, R; Karelovic, A</t>
  </si>
  <si>
    <t>Galdames, Gabriel; Santander, Paola; Jimenez, Romel; Karelovic, Alejandro</t>
  </si>
  <si>
    <t>A detailed kinetic model for the methanol oxidative dehydrogenation on vanadia-based catalysts: Aggregation state role and active site requirements</t>
  </si>
  <si>
    <t>A kinetic model was derived for the methanol oxidative dehydrogenation to formaldehyde, methyl formate and dimethoxymethane on sub-monolayer and multilayer V2O5/TiO2 catalysts. Considering a hemiacetal intermediate, the model combines Langmuir-Hinshelwood/Eley-Rideal/Mars-van Krevelen mechanisms, accounting for lattice oxygen redox sites and Br &amp; oslash;nsted acid sites. The fitted model depends on 4 thermodynamically consistent parameters, adequately simulating yield trends with temperature, residence time, and partial pressure of methanol, oxygen and added water. Oxidation steps follow a Mars-van Krevelen redox cycle, while the dimethoxymethane formation is reversible, as the water addition favored the hemiacetal intermediate. The catalyst with higher vanadia surface density was intrinsically more active (lower activation energy of the rate limiting step), attributed to its higher reducibility, while showing weaker methanol adsorption (lower enthalpy of chemisorption). The increase in reducibility correlates with the transition from monomers to polymers to crystalline vanadia when vanadium content increases, as observed by XRD, Raman spectroscopy and DRS-UV-vis.</t>
  </si>
  <si>
    <t>Santander, Paola/ITU-5257-2023; Karelovic, Alejandro/I-6579-2013</t>
  </si>
  <si>
    <t>Galdames, Gabriel/0009-0008-3321-2217; Santander, Paola/0000-0002-2084-6658; Karelovic, Alejandro/0000-0001-5189-0902</t>
  </si>
  <si>
    <t>JUL 25</t>
  </si>
  <si>
    <t>10.1016/j.apcata.2024.119807</t>
  </si>
  <si>
    <t>WOS:001246092600001</t>
  </si>
  <si>
    <t>Valenzuela-Levi, N; Pérez, ATE; Vásquez, OC</t>
  </si>
  <si>
    <t>Valenzuela-Levi, Nicolas; Perez, Andrea Teresa Espinoza; Vasquez, Oscar C.</t>
  </si>
  <si>
    <t>Market concentration in industrial and commercial non-hazardous waste valorisation: the case of Chile</t>
  </si>
  <si>
    <t>WASTE MANAGEMENT</t>
  </si>
  <si>
    <t>Market concentration among buyers of recycled materials is a phenomenon discussed since the 1980 s by the anti-trust literature. Yet, there is still a lack of studies on simultaneous market concentration on both the supply and demand sides. This is particularly relevant when Extended Producer Responsibility (EPR) policies produce two-sided waste generation and valorisation markets. Thus, the purpose of this study is to explore the link between market concentration on the generation side and market share on the valorisation side. Specifically, this research addresses the case of valorisation of commercial and industrial non-hazardous waste in Chile. The analysis covers 261 companies that valorised industrial and commercial non-hazardous waste between 2015 and 2019. Being part of the top 10 % of generator companies in Chile is significantly correlated to higher valorisation market share, in a context in which mean market share per company decreased, total tons valorised stagnated, and the country-level valorisation rate diminished.</t>
  </si>
  <si>
    <t>Valenzuela-Levi, Nicolás/ABA-9419-2020; Espinoza Perez, Andrea Teresa/M-4426-2014</t>
  </si>
  <si>
    <t>Espinoza Perez, Andrea Teresa/0000-0002-6362-9100; Valenzuela-Levi, Nicolas/0000-0003-1174-9976; Vasquez, Oscar C./0000-0002-1393-4692</t>
  </si>
  <si>
    <t>0956-053X</t>
  </si>
  <si>
    <t>1879-2456</t>
  </si>
  <si>
    <t>10.1016/j.wasman.2024.01.039</t>
  </si>
  <si>
    <t>WOS:001178932400001</t>
  </si>
  <si>
    <t>Aragón-Caqueo, D; Aedo, G; Suárez, J; Toloza, C; Guglielmetti, A</t>
  </si>
  <si>
    <t>Aragon-Caqueo, Diego; Aedo, Gabriel; Suarez, Javier; Toloza, Claudio; Guglielmetti, Antonio</t>
  </si>
  <si>
    <t>Impact of the COVID-19 Pandemic on Dermatology Care in the Chilean Public Health Sector</t>
  </si>
  <si>
    <t>HEALTHCARE</t>
  </si>
  <si>
    <t>Due to the Coronavirus-19 (COVID-19) pandemic, most resources of the public health system were allocated to the increasing demand from respiratory patients. From this, it is expected that specialty consultations would decrease drastically. Access to dermatology care in the Chilean public health has been historically limited. To evaluate the impact of the pandemic on dermatology care, the total number of dermatological consultations (DCs) to the Chilean public sector in 2020 is analyzed according to sex and age range and compared with the available databases from 2017 to 2019. From this, 120,095 DCs were performed during 2020, with an incidence of 6.3 consultations per 1000 inhabitants. When compared to 2019 (n = 250,649), there was a 52.1% decrease. The regions most affected were located in the central part of Chile, which correlates with the regions most affected by the pandemic. Age and sex distributions remained similar to previous years but lower in amplitude. The month with the lowest number of consultations was April, with a gradual increase observed thereafter until December 2020. Although DCs decreased drastically in the Chilean public sector during 2020, sex and age range proportions were conserved, thus affecting all groups in a similar manner.</t>
  </si>
  <si>
    <t>Aragón, Diego/GPX-8482-2022</t>
  </si>
  <si>
    <t>2227-9032</t>
  </si>
  <si>
    <t>10.3390/healthcare11050633</t>
  </si>
  <si>
    <t>WOS:000947659700001</t>
  </si>
  <si>
    <t>Castro, JI; Astudillo, S; Hernandez, JHM; Saavedra, M; Zapata, PA; Valencia-Llano, CH; Chaur, MN; Grande-Tovar, CD</t>
  </si>
  <si>
    <t>Castro, Jorge Ivan; Astudillo, Stiven; Hernandez, Jose Herminsul Mina; Saavedra, Marcela; Zapata, Paula A.; Valencia-Llano, Carlos Humberto; Chaur, Manuel N.; Grande-Tovar, Carlos David</t>
  </si>
  <si>
    <t>Synthesis, Characterization, and Optimization Studies of Polycaprolactone/Polylactic Acid/Titanium Dioxide Nanoparticle/Orange Essential Oil Membranes for Biomedical Applications</t>
  </si>
  <si>
    <t>The development of scaffolds for cell regeneration has increased because they must have adequate biocompatibility and mechanical properties to be applied in tissue engineering. In this sense, incorporating nanofillers or essential oils has allowed new architectures to promote cell proliferation and regeneration of new tissue. With this goal, we prepared four membranes based on polylactic acid (PLA), polycaprolactone (PCL), titanium dioxide nanoparticles (TiO2-NPs), and orange essential oil (OEO) by the drop-casting method. The preparation of TiO2-NPs followed the sol-gel process with spherical morphology and an average size of 13.39 nm +/- 2.28 nm. The results show how the TiO2-NP properties predominate over the crystallization processes, reflected in the decreasing crystallinity percentage from 5.2% to 0.6% in the membranes. On the other hand, when OEO and TiO2-NPs are introduced into a membrane, they act synergistically due to the inclusion of highly conjugated thermostable molecules and the thermal properties of TiO2-NPs. Finally, incorporating OEO and TiO2-NPs promotes tissue regeneration due to the decrease in inflammatory infiltrate and the appearance of connective tissue. These results demonstrate the great potential for biomedical applications of the membranes prepared.</t>
  </si>
  <si>
    <t>Tovar, Carlos/J-9638-2019; Valencia Llano, Carlos Humberto/KZU-6023-2024; Chaur Valencia, Manuel Noe/LDF-9448-2024; Mina Hernandez, Jose Herminsul/HKV-3137-2023</t>
  </si>
  <si>
    <t>Valencia Llano, Carlos Humberto/0000-0003-4892-9786; Zapata, Paula Andrea/0000-0003-3361-6226; Chaur Valencia, Manuel Noe/0000-0002-9845-9252; Mina Hernandez, Jose Herminsul/0000-0003-3767-4431; Grande Tovar, Carlos David/0000-0002-6243-4571; castro castro, jorge ivan/0000-0003-1930-6598</t>
  </si>
  <si>
    <t>10.3390/polym15010135</t>
  </si>
  <si>
    <t>WOS:000909089500001</t>
  </si>
  <si>
    <t>Barrera-Avalos, C; Mena, J; Luraschi, R; Rojas, P; Mateluna-Flores, C; Vallejos-Vidal, E; Imarai, M; Sandino, AM; Valdés, D; Vera, R; Hernández, I; Reyes-López, FE; Acuña-Castillo, C</t>
  </si>
  <si>
    <t>Barrera-Avalos, Carlos; Mena, Javier; Luraschi, Roberto; Rojas, Patricio; Mateluna-Flores, Carlos; Vallejos-Vidal, Eva; Imarai, Monica; Maria Sandino, Ana; Valdes, Daniel; Vera, Rodrigo; Hernandez, Ivan; Reyes-Lopez, Felipe E.; Acuna-Castillo, Claudio</t>
  </si>
  <si>
    <t>Sensitivity analysis of rapid antigen tests for the Omicron SARS-CoV-2 variant detection from nasopharyngeal swab samples collected in Santiago of Chile</t>
  </si>
  <si>
    <t>FRONTIERS IN PUBLIC HEALTH</t>
  </si>
  <si>
    <t>The COVID-19 pandemic continues to be a concern and keeps global health authorities on alert. The RT-PCR technique has been the gold-standard assay for detecting the SARS-CoV-2 virus. However, rapid antigen tests (RATs) have been widely used to increase the number of tests faster and more efficiently in the population. Nevertheless, the appearance of new viral variants, with genomic mutations associated with greater contagiousness and immune evasion, highlights the need to evaluate the sensitivity of these RATs. This report evaluates the sensitivity of SD Biosensor-Roche, Panbio (TM), and Clinitest (R) RATs widely used in Santiago de Chile in the detection of the Omicron variant from Nasopharyngeal samples (NPSs), the most predominant SARS-CoV-2 variant in Chile and the world. SD Biosensor-Roche shows a detection sensitivity of 95.7% in the viral amplification range of 20 &lt;= Cq &lt; 25, while Panbio (TM) and Clinitest (R) show 100% and 91.3%, respectively. In the viral amplification ranges of 25 &lt;= Cq &lt; 30, the detection sensitivity decreased to 28% for SD Biosensor-Roche, 32% for Panbio (TM), and 72% for Clinitest (R). This study indicates that the tested RATs have high sensitivity in detecting the Omicron variant of concern (VOC) at high viral loads. By contrast, its sensitivity decreases at low viral loads. Therefore, it is suggested to limit the use of RATs as an active search method, considering that infections in patients are increasingly associated with lower viral loads of SARS-CoV-2. These antecedents could prevent contagion outbreaks and reduce the underestimation of the current Omicron variant circulation at the local level.</t>
  </si>
  <si>
    <t>Acuña-Castillo, Claudio/AAI-7090-2021; Reyes-López, Felipe/S-1760-2018; Luraschi, Roberto/AAI-7965-2021; Rojas, Patricio/ISS-1091-2023; Vera, Rodrigo/KIJ-9518-2024; Vallejos-Vidal, Eva/R-9606-2019</t>
  </si>
  <si>
    <t>Luraschi, Roberto/0000-0001-5611-4320; Mena, Javier/0000-0001-5758-0470; Reyes-Lopez, Felipe E./0000-0002-5001-457X; Vera Garcia, Rodrigo E./0000-0001-9032-7194; Vallejos-Vidal, Eva/0000-0002-3091-2700</t>
  </si>
  <si>
    <t>2296-2565</t>
  </si>
  <si>
    <t>10.3389/fpubh.2022.976875</t>
  </si>
  <si>
    <t>WOS:000888210600001</t>
  </si>
  <si>
    <t>Lozano-Steinmetz, F; Ramírez-Navarro, MP; Vivas, L; Vasco, DA; Singh, DP; Zambra-Sazo, C</t>
  </si>
  <si>
    <t>Lozano-Steinmetz, Felipe; Paz Ramirez-Navarro, Maria; Vivas, Leonardo; Vasco, Diego A.; Pratap Singh, Dinesh; Zambra-Sazo, Carlos</t>
  </si>
  <si>
    <t>Thermal and Rheological Characterization of Aqueous Nanofluids Based on Reduced Graphene Oxide (rGO) with Manganese Dioxide Nanocomposites (MnO2)</t>
  </si>
  <si>
    <t>Nanofluids have become of interest in recent years thanks to their improved thermal properties, which make them especially interesting for microchannel heat sink applications. In this study, we prepared two aqueous nanofluids based on reduced graphene oxide (rGO) decorated with manganese dioxide (MnO2) at a concentration of 0.1 wt.%. The difference between the two nanofluids was in the preparation of the reduced graphene oxide decorated with MnO2. In the first case, the manganese salt was mixed with ascorbic acid before GO reduction with NaOH, and in the second case, the GO reduction with NaOH occurred under ascorbic acid. Ascorbic acid not only plays the role of a non-toxic and ecofriendly reducing agent but also acts as an important parameter to control the reaction kinetics. The structural, microstructural and spectral characterizations of the MnO2/rGO nanocomposite were conducted via X-ray diffractometry (XRD), Raman spectroscopy, FT-IR, TEM, SEM and EDS analyses. Moreover, the synthesized MnO2/rGO nanocomposites were utilized as nanofluids and their stability, thermal conductivity and rheological behaviors were studied. The thermal conductivity of the MnO2/rGO and MnO2 AsA/rGO nanofluids was 17% and 14.8% higher than that of water for the average temperature range, respectively, but their viscosity remained statistically equal to that of water. Moreover, both nanofluids presented Newtonian behavior in the analyzed shear rate range. Therefore, both MnO2/rGO and MnO2 AsA/rGO nanofluids are promising alternatives for use in applications with micro- and millichannel heat sinks.</t>
  </si>
  <si>
    <t>Vivas, Leonardo/S-1584-2019; Vasco, Diego/Y-2934-2019; SINGH, DINESH/A-2509-2011</t>
  </si>
  <si>
    <t>SINGH, DINESH/0000-0002-2893-7749; Lozano-Steinmetz, Felipe/0000-0002-5752-285X; Zambra, Carlos/0000-0002-2578-0627; Vasco, Diego Andres/0000-0001-7456-4683; Vivas, Leonardo/0000-0001-5044-9680</t>
  </si>
  <si>
    <t>10.3390/nano12173042</t>
  </si>
  <si>
    <t>WOS:000851903000001</t>
  </si>
  <si>
    <t>Benavente, D; Gatica, G; González-Feliu, J</t>
  </si>
  <si>
    <t>Benavente, David; Gatica, Gustavo; Gonzalez-Feliu, Jesus</t>
  </si>
  <si>
    <t>Balanced Medical Image Classification with Transfer Learning and Convolutional Neural Networks</t>
  </si>
  <si>
    <t>AXIOMS</t>
  </si>
  <si>
    <t>This paper aims to propose a tool for image classification in medical diagnosis decision support, in a context where computational power is limited and then specific, high-speed computing infrastructures cannot be used (mainly for economic and energy consuming reasons). The proposed method combines a deep neural networks algorithm with medical imaging procedures and is implemented to allow an efficient use on affordable hardware. The convolutional neural network (CNN) procedure used VGG16 as its base architecture, using the transfer learning technique with the parameters obtained in the ImageNet competition. Two convolutional blocks and one dense block were added to this architecture. The tool was developed and calibrated on the basis of five common lung diseases using 5430 images from two public datasets and the transfer learning technique. The holdout ratios of 90% and 10% for training and testing, respectively, were obtained, and the regularization tools were dropout, early stopping, and Lasso regularization (L2). An accuracy (ACC) of 56% and an area under the receiver-operating characteristic curve (ROC-AUC) of 50% were reached in testing, which are suitable for decision support in a resource-constrained environment.</t>
  </si>
  <si>
    <t>gatica, gustavo/KXR-7308-2024; Gonzalez-Feliu, Jesus/Q-7749-2018</t>
  </si>
  <si>
    <t>Gonzalez-Feliu, Jesus/0000-0002-0056-7627; Gustavo, Gatica/0000-0002-1816-6856</t>
  </si>
  <si>
    <t>2075-1680</t>
  </si>
  <si>
    <t>10.3390/axioms11030115</t>
  </si>
  <si>
    <t>WOS:000776029000001</t>
  </si>
  <si>
    <t>Saavedra, E; Riveros, A; Palma, JL</t>
  </si>
  <si>
    <t>Saavedra, E.; Riveros, A.; Palma, J. L.</t>
  </si>
  <si>
    <t>Effect of nonuniform perpendicular anisotropy in ferromagnetic resonance spectra in magnetic nanorings</t>
  </si>
  <si>
    <t>The high frequency dynamic behaviors of magnetic nanorings with variable anisotropy along their radius have been studied using micromagnetic simulations. The dynamic susceptibility spectrum and spatial localization of the ferromagnetic resonance modes are investigated by varying anisotropy gradients in nanorings of 200 nm of external radius, with different internal radii. Both the resonant frequencies and the number of peaks depend on the lower energy magnetization configuration which in turn is a function of anisotropy gradients. Besides, it is shown that the effects of the anisotropy gradient are relevant even for the narrowest ring of 10 nm wide. The idea of controlling frequencies by modifying the anisotropy gradients of the system suggests the possibility of using these nanostructures in potential magnetic controllable frequency devices.</t>
  </si>
  <si>
    <t>Rodríguez, Alejandro/R-4062-2019; Saavedra, Eduardo/IQS-4264-2023; Palma, Juan/IAP-4554-2023</t>
  </si>
  <si>
    <t>Saavedra Diaz, Eduardo Andres/0000-0002-2842-2526; Riveros, Alejandro/0000-0002-4924-663X; Palma, JuanLuis/0000-0003-2068-174X</t>
  </si>
  <si>
    <t>JUL 9</t>
  </si>
  <si>
    <t>10.1038/s41598-021-93597-8</t>
  </si>
  <si>
    <t>WOS:000674491200007</t>
  </si>
  <si>
    <t>Soto-Madrid, D; Gutiérrez-Cutiño, M; Pozo-Martínez, J; Zúñiga-López, MC; Olea-Azar, C; Matiacevich, S</t>
  </si>
  <si>
    <t>Soto-Madrid, Daniela; Gutierrez-Cutino, Marlen; Pozo-Martinez, Josue; Zuniga-Lopez, Maria Carolina; Olea-Azar, Claudio; Matiacevich, Silvia</t>
  </si>
  <si>
    <t>Dependence of the Ripeness Stage on the Antioxidant and Antimicrobial Properties of Walnut (Juglans regia L.) Green Husk Extracts from Industrial By-Products</t>
  </si>
  <si>
    <t>Walnut green husk (WGH) is a waste generated by the walnut (Juglans regia L.) harvest industry. It represents a natural source of polyphenols, compounds with antioxidant and antimicrobial activities, but their activity could be dependent on the ripeness stage of the raw material. In this study, the effect of the different ripeness stages-open (OH) and closed (CH) husks-on the antioxidant and antimicrobial properties of WGH extracts were analyzed, emphasizing the influence of the extracts in inhibiting Escherichia coli growth. The ripeness stage of WGH significantly affected the antioxidant activity of the extracts. This was attributed to the different polyphenol profiles related to the mechanical stress when the husk opened compared to the closed sample. The antimicrobial activity showed inhibition of E. coli growth. OH-extracts at 96 mu g/mL caused the lowest specific growth rate (mu(max) = 0.003 h(-1)) and the greatest inhibition percentage (I = 93%) compared to CH-extract (mu(max) = 0.01 h(-1); I = 69%). The obtained results showed the potential of the walnut green husk, principally open husk, as an economical source of antioxidant and antimicrobial agents with potential use in the food industry.</t>
  </si>
  <si>
    <t>Soto Madrid, Daniela Paz/GSD-5684-2022; OLEA AZAR, CLAUDIO/I-1605-2013</t>
  </si>
  <si>
    <t>Gutierrez Cutino, Marlen/0000-0001-6839-6353; OLEA AZAR, CLAUDIO/0000-0001-5805-0746; Pozo Martinez, Josue/0000-0003-4991-0948; Soto Madrid, Daniela/0000-0002-4701-5678</t>
  </si>
  <si>
    <t>10.3390/molecules26102878</t>
  </si>
  <si>
    <t>WOS:000655046400001</t>
  </si>
  <si>
    <t>Robert, P; Vergara, C; Silva-Weiss, A; Osorio, FA; Santander, R; Sáenz, C; Giménez, B</t>
  </si>
  <si>
    <t>Robert, Paz; Vergara, Cristina; Silva-Weiss, Andrea; Osorio, Fernando A.; Santander, Rocio; Saenz, Carmen; Gimenez, Begona</t>
  </si>
  <si>
    <t>Influence of gelation on the retention of purple cactus pear extract in microencapsulated double emulsions</t>
  </si>
  <si>
    <t>A purple cactus pear (Opuntia ficus-indica) extract (CP) was encapsulated in double emulsions (DE) gelled with gelatin (DE-CP-G) and with gelatin and transglutaminase (DE-CP-GT), as well as in a DE with a liquid external aqueous phase (DE-CP), in order to study the retention of betanin as colorant agent. Both gelled DEs showed a predominantly elastic behavior,in contrast with DE-CP. The degradation rate constant of betanin was significantly higher in DE-CP-GT (90.2 x 10(-3) days(-1)) than in DE-CP-G (11.0 x 10(-3) days-(1)) and DE-CP (14.6 x 10(-3) days(-1)) during cold-storage (4 degrees C). A shift towards yellow color was found in all the systems during cold-storage (4 degrees C) and after thermal treatment (70 degrees C/30 min), especially in DE-CP-GT, denoting a higher degradation of betanin. Betalamic acid, cyclo-Dopa 5-O-beta-glucoside, 17-decarboxy-betanin and neobetanin were identified by UHPLC-MS/MS as degradation products of betanin.</t>
  </si>
  <si>
    <t>Robert, Paz/G-8198-2014; Vergara, Cristina/AAT-9575-2021; Santander, Rocio/K-7645-2013; Silva-Weiss, Andrea/AAL-3271-2021; osorio, fernando/AAY-7304-2021</t>
  </si>
  <si>
    <t>Saenz, Carmen/0000-0002-1029-7675; osorio, fernando/0000-0001-7206-0924; Gimenez, Begona/0000-0002-9553-6291</t>
  </si>
  <si>
    <t>JAN 16</t>
  </si>
  <si>
    <t>e0227866</t>
  </si>
  <si>
    <t>10.1371/journal.pone.0227866</t>
  </si>
  <si>
    <t>WOS:000534370100068</t>
  </si>
  <si>
    <t>Mendoza, L; Navarro, F; Melo, R; Báez, F; Milena, C</t>
  </si>
  <si>
    <t>Mendoza, Leonora; Navarro, Freddy; Melo, Ricardo; Baez, Francisco; Milena, Cotoras</t>
  </si>
  <si>
    <t>CHARACTERIZATION OF POLYPHENOL PROFILE OF EXTRACTS OBTAINED FROM GRAPE POMACE AND SYNERGISTIC EFFECT OF THESE EXTRACTS AND FUNGICIDES AGAINST Botrytis Cinerea</t>
  </si>
  <si>
    <t>Botrytis cinerea is a phytopathogenic fungus that infects the aerial parts of approximately 250 plant species. Control of this fungus is based on synthetic fungicide application. However, it has been reported the detection of isolates of B. cinerea resistant to all fungicides. Due to the emergence of resistant isolates of phytopathogenic fungi to commercial fungicides and the concomitant reduction in the efficacy of fungicides, various strategies have been developed to prevent or delay this problem. One of them is the use of synergistic mixtures among fungicides and plant extracts. In this work, extracts obtained from grape pomace of Syrah, Cinsault, or Cabernet Sauvignon varieties were analyzed. The phenolic composition in the fractions was different. Quercetin and kaempferol were observed in all fractions, in exception of Cinsault/chloroform fraction. Interestingly, gallic acid was found only in Cinsault extracts. The flavan-3-ols catechin and (-)-epicatechin are only found in Cinsault/ethyl acetate fraction. The effect of mixtures among these extracts and the fungicides Tercel and Cantus on mycelial growth of B. cinerea was analyzed. Mixtures of chloroform and ethyl acetate fractions from Cinsault grape pomace extracts and the fungicide Tercel at 0.1 ppm showed a synergistic interaction.</t>
  </si>
  <si>
    <t>Navarro, Freddy/KIA-4345-2024</t>
  </si>
  <si>
    <t>Navarro, Freddy/0000-0003-0056-5266</t>
  </si>
  <si>
    <t>WOS:000509863600005</t>
  </si>
  <si>
    <t>Wendel, S; Geiger, A; Liegmann, E; Arancibia, D; Durán, E; Kreppel, T; Rojas, F; Popp-Nowak, F; Diaz, M; Dietz, A; Kennel, R; Wagner, B</t>
  </si>
  <si>
    <t>Wendel, Sebastian; Geiger, Andreas; Liegmann, Eyke; Arancibia, David; Duran, Esteban; Kreppel, Thomas; Rojas, Felix; Popp-Nowak, Flaviu; Diaz, Matias; Dietz, Armin; Kennel, Ralph; Wagner, Bernhard</t>
  </si>
  <si>
    <t>UltraZohm - a Powerful Real-Time Computation Platform for MPC and Multi-Level Inverters</t>
  </si>
  <si>
    <t>2019 IEEE INTERNATIONAL SYMPOSIUM ON PREDICTIVE CONTROL OF ELECTRICAL DRIVES AND POWER ELECTRONICS (PRECEDE 2019)</t>
  </si>
  <si>
    <t>IEEE International Symposium on Predictive Control of Electrical Drives and Power Electronics (PRECEDE)</t>
  </si>
  <si>
    <t>MAY 31-JUN 02, 2019</t>
  </si>
  <si>
    <t>Chinese Acad Sci, Haixi Inst, Quanzhou Inst Equipment Mfg, Quanzhou, PEOPLES R CHINA</t>
  </si>
  <si>
    <t>Inst Elect &amp; Elect Engineers,IEEE Power Elect Soc</t>
  </si>
  <si>
    <t>Chinese Acad Sci, Haixi Inst, Quanzhou Inst Equipment Mfg</t>
  </si>
  <si>
    <t>This paper presents the hardware design, software architecture and workflow for rapid control prototyping intended for a wide-range of power electronics based systems. The proposed system is especially useful for computationally intensive algorithms and applications with high demands on the number of required measurements and gate signals. The focus is on a heterogeneous system architecture with minimized latency and jitter as well as a high signal integrity. The software architecture enables a simple, fast and performance driven implementation. A combination of carrier board and exchangeable interfacing adapter boards allows to control a wide range of power electronics applications and converters, i.e., starting with a single switching device, converters with one or several voltage levels and one or several phase legs, up to large modular multilevel converters for grid-tied connection or variable speed drives.</t>
  </si>
  <si>
    <t>Diaz, Matias/0000-0003-4489-9532; Rojas, Felix/0000-0001-6145-2826; Liegmann, Eyke/0000-0003-0884-3494</t>
  </si>
  <si>
    <t>978-1-5386-9414-5</t>
  </si>
  <si>
    <t>10.1109/precede.2019.8753306</t>
  </si>
  <si>
    <t>WOS:000490536300038</t>
  </si>
  <si>
    <t>Herrera, S; Tasca, F; Williams, FJ; Calvo, EJ</t>
  </si>
  <si>
    <t>Herrera, Santiago; Tasca, Federico; Williams, Federico J.; Calvo, Ernesto J.</t>
  </si>
  <si>
    <t>Adsorption of 4,4-Dithiodipyridine Axially Coordinated to Iron(II) Phthalocyanine on Au(111) as a New Strategy for Oxygen Reduction Electrocatalysis</t>
  </si>
  <si>
    <t>CHEMPHYSCHEM</t>
  </si>
  <si>
    <t>The coordination of PySSPy to FePc was monitored by UV/Vis spectroscopy while the adsobed FePc, anchored by PyS-Au(111), was examined by insitu STM in 0.1M HClO4 and X-ray photoelectron spectroscopy (XPS). Rotating-disc-electrode (RDE) and linear-sweep-voltammetry (LSV) studies on the resulting FePc-modified Au(111) electrodes in an oxygen-saturated 0.1M NaOH electrolyte exhibit excellent electrocatalytic properties for the oxygen reduction reaction (ORR), with a smaller overpotential than that observed for Au(111) with FePc deposited by direct adsorption from a benzene solution.</t>
  </si>
  <si>
    <t>Calvo, Ernesto/E-5696-2016; Tasca, Federico/J-4134-2015; Williams, Federico/E-5801-2016</t>
  </si>
  <si>
    <t>Williams, Federico/0000-0002-6194-2734; Herrera, Santiago E./0000-0002-8327-3914</t>
  </si>
  <si>
    <t>1439-4235</t>
  </si>
  <si>
    <t>1439-7641</t>
  </si>
  <si>
    <t>10.1002/cphc.201800139</t>
  </si>
  <si>
    <t>WOS:000437731700007</t>
  </si>
  <si>
    <t>Silva, N; Calderón, S; Páez, MA; Oyarzún, MP; Koper, MTM; Zagal, JH</t>
  </si>
  <si>
    <t>Silva, Nataly; Calderon, Sebastian; Paez, Maritza A.; Oyarzun, Maria P.; Koper, Marc T. M.; Zagal, Jose H.</t>
  </si>
  <si>
    <t>Probing the Fen +/Fe(n-1)+ redox potential of Fe phthalocyanines and Fe porphyrins as a reactivity descriptor in the electrochemical oxidation of cysteamine</t>
  </si>
  <si>
    <t>JOURNAL OF ELECTROANALYTICAL CHEMISTRY</t>
  </si>
  <si>
    <t>The Mn +/M(n - 1)+ redox potential of MN4 macrocyclic molecular catalysts is a very good reactivity descriptor for several electrochemical reactions. One important feature about this reactivity descriptor is that it can be determined experimentally under the same conditions of the kinetic measurements in contrast to other descriptors like intermediate binding energies that are estimated from DFT calculations. However a linear correlation between both descriptors seems to exist. Plots of activity as (logj)(E) at constant E versus the Mn +/M(n - 1)+ redox potential gives volcano correlations. Another important aspect about this parameter is that it is possible to tune the Mn +/M(n - 1)+ redox potential of the MN4 catalyst by manipulating the structure of the macrocyclic complex and tailoring the electron-withdrawing power of the ligands to obtain the maximum activity. In this work we have probed the redox potential as a reactivity descriptor for the oxidation of cysteamine studying a series of substituted Fe phthalocyanines and Fe porphyrins adsorbed on glassy carbon and pyrolytic graphite in alkaline media. As expected the catalytic activity of these FeN4 species varies strongly with the Fe (II)/(I) redox potential of the different Fe phthalocyanines and a plot of activity as (logj)(E) versus E degrees Fe(II/I) gives a volcano shaped correlation so a formal potential value exists for which the highest activity can be achieved demonstrating that the formal potential of the complexes seems to be an universal reactivity descriptor for electrochemical reactions.</t>
  </si>
  <si>
    <t>zagal, jose/L-9648-2014; Koper, Marc/C-5026-2009; Paez, Maritza/M-2010-2014</t>
  </si>
  <si>
    <t>paez, maritza/0000-0001-5881-884X; Zagal, Jose/0000-0002-5276-1042; Oyarzun, Maria Paz/0000-0001-6477-3385; Silva, Nataly/0000-0002-1830-5182</t>
  </si>
  <si>
    <t>1572-6657</t>
  </si>
  <si>
    <t>1873-2569</t>
  </si>
  <si>
    <t>10.1016/j.jelechem.2017.12.068</t>
  </si>
  <si>
    <t>WOS:000435619700064</t>
  </si>
  <si>
    <t>Chi-Durán, I; Enríquez, J; Manquian, C; Wrighton-Araneda, K; Cañon-Mancisidor, W; Venegas-Yazigi, D; Herrera, F; Singh, DP</t>
  </si>
  <si>
    <t>Chi-Duran, Ignacio; Enriquez, Javier; Manquian, Carolina; Wrighton-Araneda, Kerry; Canon-Mancisidor, Walter; Venegas-Yazigi, Diego; Herrera, Felipe; Singh, Dinesh Pratap</t>
  </si>
  <si>
    <t>pH-Controlled Assembly of 3D and 2D Zinc-Based Metal-Organic Frameworks with Tetrazole Ligands</t>
  </si>
  <si>
    <t>We report the synthesis and structural diversity of Zn(II) metal-organic framework (MOF) with in situ formation of tetrazole ligand 3-ptz [3-ptz = 5-(3-pyridyl) tetrazolate] as a function pH. By varying the initial reaction pH, we obtain highquality crystals of the noncentrosymmetric three-dimensional MOF Zn(3-ptz)(2), mixed phases involving the zinc-aqua complex [Zn(H2O)(4)(3-ptz)(2)]center dot 4H(2)O, and two-dimensional MOF crystals Zn(OH)(3-ptz) with a tunable microrod morphology, keeping reaction time, temperature, and metal-ligand molar ratio constant. Structures are characterized by X-ray diffraction, scanning electron microscopy, Fourier transform infrared spectroscopy, and UV-vis spectroscopy. We discuss the observed structural diversity in terms of the relative abundance of hydroxo-zinc species in solution for different values of pH.</t>
  </si>
  <si>
    <t>Herrera, Felipe/KHD-8453-2024; SINGH, DINESH/A-2509-2011; Venegas-Yazigi, Diego/C-5022-2009; Canon-Mancisidor, Walter/K-8764-2014; Wrighton-Araneda, Kerry Jeffry/X-2381-2019</t>
  </si>
  <si>
    <t>Chi-Duran, Ignacio/0000-0002-3327-2825; SINGH, DINESH/0000-0002-2893-7749; Manquian Villalobos, Carolina/0000-0003-1329-7790; Venegas-Yazigi, Diego/0000-0001-7816-2841; Canon-Mancisidor, Walter/0000-0003-1703-8729; ENRIQUEZ, JAVIER/0000-0002-2502-5787; Wrighton-Araneda, Kerry Jeffry/0000-0003-4872-8976</t>
  </si>
  <si>
    <t>10.1021/acsomega.7b01792</t>
  </si>
  <si>
    <t>WOS:000427933200088</t>
  </si>
  <si>
    <t>Aracena, A; Rezende, MC; Encinas, MV; Vergara, C; Vásquez, SO</t>
  </si>
  <si>
    <t>Aracena, A.; Rezende, M. C.; Encinas, M. V.; Vergara, C.; Vasquez, S. O.</t>
  </si>
  <si>
    <t>Aggregation phenomena in photobicyclised pyridinium salts</t>
  </si>
  <si>
    <t>The possible formation of aggregates in a solution of two planar heterocyclic salts, 2-phenylbenzo[8,9]quinolizino[ 4,5,6,7-fed] phenanthridinylium tetrafluoroborate (PQPBF(4)) and thienyl-substituted 2-phenylbenzo[ij]pyrido[2,1,6-de] dithieno[3,2-b: 2',3'-g] quinolizin-13-ium perchlorate (BPDTQClO(4)), was investigated in organic solvents and in water, by the analysis of their UV-Vis and fluorescence spectra. The results provided evidence for the formation of H-aggregates in water, a conclusion supported by theoretical calculations of the transition energies of the cationic monomers (PQP(+) and BPDTQ(+)) and of the dicationic p-stacked H-dimers in water.</t>
  </si>
  <si>
    <t>Caroli, Marcos/H-3570-2019; Encinas, Maria/L-9686-2014; Vasquez, Sergio/I-4092-2016; Aracena, Andres/MCK-0713-2025</t>
  </si>
  <si>
    <t>Rezende, Marcos/0000-0003-2040-9009; Aracena, Andres/0000-0002-8367-3520</t>
  </si>
  <si>
    <t>DEC 7</t>
  </si>
  <si>
    <t>10.1039/c7nj02788e</t>
  </si>
  <si>
    <t>WOS:000415839300069</t>
  </si>
  <si>
    <t>Borguesan, B; Inostroza-Ponta, M; Dorn, M</t>
  </si>
  <si>
    <t>Borguesan, Bruno; Inostroza-Ponta, Mario; Dorn, Marcio</t>
  </si>
  <si>
    <t>NIAS-Server: Neighbors Influence of Amino acids and Secondary Structures in Proteins</t>
  </si>
  <si>
    <t>JOURNAL OF COMPUTATIONAL BIOLOGY</t>
  </si>
  <si>
    <t>The exponential growth in the number of experimentally determined three-dimensional protein structures provide a new and relevant knowledge about the conformation of amino acids in proteins. Only a few of probability densities of amino acids are publicly available for use in structure validation and prediction methods. NIAS (Neighbors Influence of Amino acids and Secondary structures) is a web-based tool used to extract information about conformational preferences of amino acid residues and secondary structures in experimental-determined protein templates. This information is useful, for example, to characterize folds and local motifs in proteins, molecular folding, and can help the solution of complex problems such as protein structure prediction, protein design, among others. The NIAS-Server and supplementary data are available at http://sbcb.inf.ufrgs.br/nias.</t>
  </si>
  <si>
    <t>Inostroza-Ponta, Mario/G-7548-2012; Dorn, Marcio/D-3696-2009</t>
  </si>
  <si>
    <t>Borguesan, Bruno/0000-0001-9325-5253; Inostroza-Ponta, Mario/0000-0003-1295-8972; Dorn, Marcio/0000-0001-8534-3480</t>
  </si>
  <si>
    <t>1066-5277</t>
  </si>
  <si>
    <t>1557-8666</t>
  </si>
  <si>
    <t>10.1089/cmb.2016.0074</t>
  </si>
  <si>
    <t>WOS:000395582600007</t>
  </si>
  <si>
    <t>Gárate, F; Betz, T; Pertusa, M; Bernal, R</t>
  </si>
  <si>
    <t>Garate, Fernanda; Betz, Timo; Pertusa, Maria; Bernal, Roberto</t>
  </si>
  <si>
    <t>Time-resolved neurite mechanics by thermal fluctuation assessments</t>
  </si>
  <si>
    <t>PHYSICAL BIOLOGY</t>
  </si>
  <si>
    <t>Eighth q-bio Conference</t>
  </si>
  <si>
    <t>AUG 13-16, 2014</t>
  </si>
  <si>
    <t>Santa Fe, MEXICO</t>
  </si>
  <si>
    <t>New Mexico Consortium (NMC),Los Alamos Center for Nonlinear Studies (CNLS),STMC</t>
  </si>
  <si>
    <t>In the absence of simple noninvasive measurements, the knowledge of temporal and spatial variations of axons mechanics remains scarce. By extending thermal fluctuation spectroscopy (TFS) to long protrusions, we determine the transverse amplitude thermal fluctuation spectra that allow direct and simultaneous access to three key mechanics parameters: axial tension, bending flexural rigidity and plasma membrane tension. To test our model, we use PC12 cell protrusions-a well-know biophysical model of axons-in order to simplify the biological system under scope. For instance, axial and plasma membrane tension are found in the range of nano Newton and tens of pico Newtons per micron respectively. Furthermore, our results shows that the TFS technique is capable to distinguish quasi-identical protrusions. Another advantage of our approach is the time resolved nature of the measurements. Indeed, in the case of long term experiments on PC12 protrusions, TFS has revealed large temporal, correlated variations of the protrusion mechanics, displaying extraordinary feedback control over the axial tension in order to maintain a constant tension value.</t>
  </si>
  <si>
    <t>Betz, Timo/JCE-4467-2023; Bernal, Roberto/E-5275-2011</t>
  </si>
  <si>
    <t>Betz, Timo/0000-0002-1548-0655; Pertusa, Maria/0000-0003-3856-9019; Bernal, Roberto/0000-0002-4295-270X</t>
  </si>
  <si>
    <t>1478-3967</t>
  </si>
  <si>
    <t>1478-3975</t>
  </si>
  <si>
    <t>10.1088/1478-3975/12/6/066020</t>
  </si>
  <si>
    <t>WOS:000368186300026</t>
  </si>
  <si>
    <t>Arias, P; Arza, A; Döbrich, B; Gamboa, J; Méndez, F</t>
  </si>
  <si>
    <t>Arias, Paola; Arza, Ariel; Doebrich, Babette; Gamboa, Jorge; Mendez, Fernando</t>
  </si>
  <si>
    <t>Extracting hidden-photon dark matter from an LC-circuit</t>
  </si>
  <si>
    <t>EUROPEAN PHYSICAL JOURNAL C</t>
  </si>
  <si>
    <t>We point out that a cold dark matter condensate made of gauge bosons from an extra hidden U(1) sector-dubbed hidden photons-can create a small, oscillating electric density current. Thus, they could also be searched for in the recently proposed LC-circuit setup conceived for axion cold dark matter search by Sikivie, Sullivan and Tanner. We estimate the sensitivity of this setup for hidden-photon cold dark matter and we find it could cover a sizable, so far unexplored parameter space.</t>
  </si>
  <si>
    <t>Gamboa, Jorge/R-8744-2019; Arias, Paola/Q-5912-2017</t>
  </si>
  <si>
    <t>Arias, Paola/0000-0001-5551-9182; Mendez, Fernando/0000-0002-9257-9552; Arza, Ariel/0000-0002-2254-7408; Dobrich, Babette/0000-0002-6008-8601</t>
  </si>
  <si>
    <t>1434-6044</t>
  </si>
  <si>
    <t>1434-6052</t>
  </si>
  <si>
    <t>10.1140/epjc/s10052-015-3536-0</t>
  </si>
  <si>
    <t>WOS:000357481200001</t>
  </si>
  <si>
    <t>García, K; Ramírez-Araya, S; Díaz, A; Reyes-Cerpa, S; Espejo, RT; Higuera, G; Romero, J</t>
  </si>
  <si>
    <t>Garcia, Katherine; Ramirez-Araya, Sebastian; Diaz, Alvaro; Reyes-Cerpa, Sebastian; Espejo, Romilio T.; Higuera, Gaston; Romero, Jaime</t>
  </si>
  <si>
    <t>Inactivated E. coli transformed with plasmids that produce dsRNA against infectious salmon anemia virus hemagglutinin show antiviral activity when added to infected ASK cells</t>
  </si>
  <si>
    <t>Infectious salmon anemia virus (ISAV) has caused great losses to the Chilean salmon industry, and the success of prevention and treatment strategies is uncertain. The use of RNA interference (RNAi) is a promising approach because during the replication cycle, the ISAV genome must be transcribed to mRNA in the cytoplasm. We explored the capacity of E. coli transformed with plasmids that produce double-stranded RNA (dsRNA) to induce antiviral activity when added to infected ASK cells. We transformed the non-pathogenic Escherichia coli HT115 (DE3) with plasmids that expressed highly conserved regions of the ISAV genes encoding the nucleoprotein (NP), fusion (F), hemagglutinin (HE), and matrix (M) proteins as dsRNA, which is the precursor of the RNAi mechanism. The inactivated transformed bacteria carrying dsRNA were tested for their capacity to silence the target ISAV genes, and the dsRNA that were able to inhibit gene expression were subsequently tested for their ability to attenuate the cytopathic effect (CPE) and reduce the viral load. Of the four target genes tested, inactivated E. coli transformed with plasmids producing dsRNA targeting HE showed antiviral activity when added to infected ASK cells.</t>
  </si>
  <si>
    <t>Espejo, Romilio/J-3183-2015; Higuera Guajardo, Gaston Ariel/GLN-6797-2022; Romero, Jaime/I-2816-2013</t>
  </si>
  <si>
    <t>Espejo, Romilio/0000-0003-0495-4576; Garcia, Katherine/0000-0003-0443-604X; Higuera Guajardo, Gaston Ariel/0000-0002-9786-0087; Romero, Jaime/0000-0001-9614-2393; Reyes, Sebastian/0000-0002-7676-1266</t>
  </si>
  <si>
    <t>APR 16</t>
  </si>
  <si>
    <t>10.3389/fmicb.2015.00300</t>
  </si>
  <si>
    <t>WOS:000353842300001</t>
  </si>
  <si>
    <t>Díaz-Calderón, P; Henríquez, O; Enrione, J; Matiacevich, S</t>
  </si>
  <si>
    <t>GutierrezLopez, GF; AlamillaBeltran, L; DelPilarBuera, M; WeltiChanes, J; ParadaArias, E; BarbosaCanovas, GV</t>
  </si>
  <si>
    <t>Diaz-Calderon, P.; Henriquez, O.; Enrione, J.; Matiacevich, S.</t>
  </si>
  <si>
    <t>Freezing Rate Effect on Thermal Transition of Blueberries</t>
  </si>
  <si>
    <t>Water Stress in Biological, Chemical, Pharmaceutical and Food Systems</t>
  </si>
  <si>
    <t>Food Engineering Series</t>
  </si>
  <si>
    <t>11th Symposium on the Properties of Water (ISOPOW)</t>
  </si>
  <si>
    <t>SEP 05-09, 2010</t>
  </si>
  <si>
    <t>MEXICO</t>
  </si>
  <si>
    <t>IPN,ENCB-IPN,ITESM,IUFoST,CICATA-IPN,UAQ-Mexico,Kasetsart Univ,Government Queretero Anton Paar-Mexico,Coca-Cola Mexico,Asociac Asociac Embotelladoras Mexicanas Coca-Cola,Yakult,Decagon Devices</t>
  </si>
  <si>
    <t>Diaz-Calderon, Paulo/0000-0002-8375-2210</t>
  </si>
  <si>
    <t>978-1-4939-2578-0; 978-1-4939-2577-3</t>
  </si>
  <si>
    <t>10.1007/978-1-4939-2578-0_34</t>
  </si>
  <si>
    <t>WOS:000380529900034</t>
  </si>
  <si>
    <t>Dayyani, I; Friswell, MI; Flores, EIS</t>
  </si>
  <si>
    <t>Dayyani, Iman; Friswell, Michael I.; Saavedra Flores, Erick I.</t>
  </si>
  <si>
    <t>A general super element for a curved beam</t>
  </si>
  <si>
    <t>Corrugated panels have gained considerable popularity in a range of engineering applications, particularly in morphing skin applications. The optimum design of these structures needs simple models of the corrugated panels that may be incorporated into multi-disciplinary system models. Considering the geometric and mechanical properties of the corrugated panel, a generic super element of a corrugated core unit cell with elastomeric coating for morphing structures is investigated in this paper. The super element captures the small deformation of a 2D thin curved beam with variable curvature and is based on an exact analytical equivalent model which avoids any homogenization assumption. The stiffness matrix of a general curved beam element for a corrugated unit cell with elastomeric coating is derived. Different geometries are investigated to verify the accuracy and efficiency of the presented super element. The super element uses the geometric and mechanical properties of the panel as variables that may be applied for further topology optimization studies. The parametric studies of different corrugation shapes demonstrate the suitability of the proposed super element for application in further detailed design investigations. (C) 2014 Elsevier Ltd. All rights reserved.</t>
  </si>
  <si>
    <t>Friswell, Michael/0000-0003-4677-7395; Dayyani, Iman/0000-0001-8956-2090</t>
  </si>
  <si>
    <t>1879-2146</t>
  </si>
  <si>
    <t>10.1016/j.ijsolstr.2014.04.021</t>
  </si>
  <si>
    <t>WOS:000338820000002</t>
  </si>
  <si>
    <t>González, HA; Pino, M</t>
  </si>
  <si>
    <t>Gonzalez, Hernan A.; Pino, Miguel</t>
  </si>
  <si>
    <t>Boundary dynamics of asymptotically flat 3D gravity coupled to higher spin fields</t>
  </si>
  <si>
    <t>We construct a two-dimensional action principle invariant under a spin-three extension of BMS3 group. Such a theory is obtained through a reduction of Chern-Simons action with a boundary. This procedure is carried out by imposing a set of boundary conditions obtained from asymptotically flat spacetimes in three dimensions. When implementing part of this set, we obtain an analog of chiral WZW model based on a contraction of sl(3, ae) x sl(3, ae). The remaining part of the boundary conditions imposes constraints on the conserved currents of the model, which allows to further reduce the action principle. It is shown that a sector of this latter theory is related to a flat limit of Toda theory.</t>
  </si>
  <si>
    <t>González, Hernán Alfredo/S-5915-2019; Pino, Miguel/G-7510-2015; Gonzalez Leiva, Hernan Alfredo/K-2767-2017</t>
  </si>
  <si>
    <t>Pino, Miguel/0000-0002-7612-4515; Gonzalez Leiva, Hernan Alfredo/0000-0001-7025-3116</t>
  </si>
  <si>
    <t>MAY 27</t>
  </si>
  <si>
    <t>10.1007/JHEP05(2014)127</t>
  </si>
  <si>
    <t>WOS:000336978200001</t>
  </si>
  <si>
    <t>Henríquez, HR; Poblete, V; Pozo, JC</t>
  </si>
  <si>
    <t>Henriquez, Hernan R.; Poblete, Veronica; Pozo, Juan C.</t>
  </si>
  <si>
    <t>Mild solutions of non-autonomous second order problems with nonlocal initial conditions</t>
  </si>
  <si>
    <t>JOURNAL OF MATHEMATICAL ANALYSIS AND APPLICATIONS</t>
  </si>
  <si>
    <t>In this paper we establish the existence of mild solutions for a non-autonomous abstract semi-linear second order differential equation submitted to nonlocal initial conditions. Our approach relies on the existence of an evolution operator for the corresponding linear equation and the properties of the Hausdorff measure of non-compactness. (C) 2013 Elsevier Inc. All rights reserved.</t>
  </si>
  <si>
    <t>Poblete, Veronica/D-8810-2015</t>
  </si>
  <si>
    <t>Pozo, Juan Carlos/0009-0003-1910-7895</t>
  </si>
  <si>
    <t>0022-247X</t>
  </si>
  <si>
    <t>1096-0813</t>
  </si>
  <si>
    <t>10.1016/j.jmaa.2013.10.086</t>
  </si>
  <si>
    <t>WOS:000330419500036</t>
  </si>
  <si>
    <t>Hurtado, JP; Díaz, N; Acuña, EI; Fernández, J</t>
  </si>
  <si>
    <t>Hurtado, Juan P.; Diaz, Nicolas; Acuna, Enrique I.; Fernandez, Joaquin</t>
  </si>
  <si>
    <t>Shock losses characterization ventilation circuits for block caving production levels</t>
  </si>
  <si>
    <t>TUNNELLING AND UNDERGROUND SPACE TECHNOLOGY</t>
  </si>
  <si>
    <t>With the tendency of world ore deposits to be deeper and of lower grade, block caving is becoming an increasingly important mining method. As with any underground method, an adequate mine ventilation system is essential to control operational costs while achieving the development and production schedule. This paper presents results obtained from a simulation based on Computational Fluid Dynamics (CFD), in combination with a mine ventilation network solver, to determine the head losses for the ventilation circuits of the production level drifts within the block caving layout at the El Teniente mine. In order to simulate the ventilation network, the airflow path is characterized in terms of shock losses from the intake ventilation sublevel through the drifts to the exhaust ventilation sublevel. Subsequently, these simulated head losses are used for the ventilation model of the drift and solved using a commercial ventilation program, to assess the energy loss. Simple energy saving modifications can then be proposed, generating 25% savings. This methodology assists in the design of production levels having efficient mine ventilation systems. (C) 2013 Elsevier Ltd. All rights reserved.</t>
  </si>
  <si>
    <t>Francos, Joaquin/AAA-7637-2019; Hurtado Cruz, Juan Pablo/K-2568-2013</t>
  </si>
  <si>
    <t>Fernandez-Francos, Joaquin/0000-0003-1495-9848; Hurtado Cruz, Juan Pablo/0000-0001-7602-8278</t>
  </si>
  <si>
    <t>0886-7798</t>
  </si>
  <si>
    <t>10.1016/j.tust.2013.11.010</t>
  </si>
  <si>
    <t>WOS:000334086500010</t>
  </si>
  <si>
    <t>Lizama, C; Rebolledo, R</t>
  </si>
  <si>
    <t>Lizama, Carlos; Rebolledo, Rolando</t>
  </si>
  <si>
    <t>On a Class of Non-Markovian Langevin Equations</t>
  </si>
  <si>
    <t>OPEN SYSTEMS &amp; INFORMATION DYNAMICS</t>
  </si>
  <si>
    <t>This paper proposes a generalized Langevin's equation for a small classical mechanical system embedded in a reservoir. The interaction of the main system with the reservoir is given by a Gaussian transform as introduced in our previous paper [8]. Thus, a first result proves the existence of a strong solution to this equation in the space where the Gaussian transform (or non-Markovian noise) is defined. The interpretation of the noise is obtained by considering a finite number n of oscillating particles with discrete frequencies in the reservoir. The action of this discrete reservoir on the small system is described by a memory kernel and a sequence of zero-mean Gaussian processes. So, an integro-differential equation for the evolution of a generic particle in the main system arises for each n. This equation has a unique solution X-n which converges in distribution towards the solution of the initial non-Markovian Langevin's equation.</t>
  </si>
  <si>
    <t>Rebolledo, Rolando/D-1393-2014; Lizama, Carlos/E-5909-2011</t>
  </si>
  <si>
    <t>Rebolledo, Rolando/0000-0003-3889-6511; Lizama, Carlos/0000-0002-9807-1100</t>
  </si>
  <si>
    <t>1230-1612</t>
  </si>
  <si>
    <t>1793-7191</t>
  </si>
  <si>
    <t>10.1142/S1230161213500169</t>
  </si>
  <si>
    <t>WOS:000327663300005</t>
  </si>
  <si>
    <t>Ehrenfeld, N; Levicán, G; Parada, P</t>
  </si>
  <si>
    <t>Ehrenfeld, Nicole; Levican, Gloria; Parada, Pilar</t>
  </si>
  <si>
    <t>Heterodisulfide reductase from Acidithiobacilli is a key component involved in metabolism of reduced inorganic sulfur compounds</t>
  </si>
  <si>
    <t>Heterodisulfide reductase (Hdr), is an iron-sulfur protein which in anaerobic methanogenic archaea catalyzes the reduction of the disulfide bond between coenzyme M and coenzyme B and is coupled to methane formation. In aerobic acidophilic chemolithotrophic bacteria (e.g., biomining bacteria) the function of this enzyme is unclear. Inspection of the genomic sequences of Acidithiobacillus ferrooxidans DSM 16786 and Acidithiobacillus thiooxidans DSM 17318 and reverse transcriptase-PCR results revealed a cluster of six co-transcribed genes, hdrC1, hdrB1, hdrA, orf1, hdrC2 and hdrB2, encoding proteins with high similarity to catalytic Hdr subunits. Additionally, microarray expression profiling and quantitative RT-PCR experiments demonstrated that the hdr genes of At. ferrooxidans and At. thiooxidans were highly expressed when bacteria are grown in the presence of sulfur and tetrathionate. Moreover, hdr genes in At. ferrooxidans were greatly up-regulated when this microorganism was grown in sulfur compared to ferrous medium. These results strongly support a role for Hdr in oxidative metabolism of reduced sulfur compounds in aerobic chemolithotrophic bacteria.</t>
  </si>
  <si>
    <t>Levican, Gloria/R-5191-2019; Parada, Pilar/JFS-0343-2023</t>
  </si>
  <si>
    <t>Levican, Gloria/0000-0002-1275-7399; Parada, Pilar/0000-0001-8658-1632</t>
  </si>
  <si>
    <t>10.4028/www.scientific.net/AMR.825.194</t>
  </si>
  <si>
    <t>WOS:000336185400046</t>
  </si>
  <si>
    <t>Latorre, H; Harispe, K; Salinas, R; Lefranc, G</t>
  </si>
  <si>
    <t>Latorre, H.; Harispe, K.; Salinas, R.; Lefranc, G.</t>
  </si>
  <si>
    <t>Ontology Model of a Robotics Agents Community</t>
  </si>
  <si>
    <t>This paper presents an Ontology Model of necessities and decisions for a cooperative community of heterogeneous robotic agents. Based on an ant community, it defines the characteristics of a collaborative and cooperative community of robots, using multi agent theory where each robot shares information with others robots in the community, to accomplish a common objective.</t>
  </si>
  <si>
    <t>10.15837/ijccc.2011.1.2207</t>
  </si>
  <si>
    <t>WOS:000285329000012</t>
  </si>
  <si>
    <t>Junqueira-Gonçalves, MP; Galotto, MJ; Valenzuela, X; Dinten, CM; Aguirre, P; Miltz, J</t>
  </si>
  <si>
    <t>Junqueira-Goncalves, Maria P.; Galotto, Maria J.; Valenzuela, Ximena; Dinten, Carolina M.; Aguirre, Paulina; Miltz, Joseph</t>
  </si>
  <si>
    <t>Perception and view of consumers on food irradiation and the Radura symbol</t>
  </si>
  <si>
    <t>RADIATION PHYSICS AND CHEMISTRY</t>
  </si>
  <si>
    <t>The present study was aimed at carrying out a survey on the knowledge and acceptance level of food irradiation. The work was carried out in Santiago, Chile. As an above-average level country in South and Central America, the results may give an indication about the situation in other countries. The survey could also provide an indication about the impression of the public regarding the international Radura symbol, indicating on a food product that has been irradiated. A total of 497 persons were interviewed. Among the interviewed people, 76.5% did not know that irradiation could be used as a method for food preservation: 46% expressed their belief that irradiated food means the same as radioactive food. Nevertheless. 91% claimed that they would become consumers of irradiated food if they knew that irradiated is not radioactive and that proper irradiation enhances food safety; 95.8% of the interviewed persons were not familiar with the Radura symbol. However, 55.8% expressed their opinion that they would buy irradiated food because of the symbol, affirming that the Radura symbol transmits the sensation of confidence and safety. (C) 2010 Elsevier Ltd. All rights reserved.</t>
  </si>
  <si>
    <t>0969-806X</t>
  </si>
  <si>
    <t>10.1016/j.radphyschem.2010.08.001</t>
  </si>
  <si>
    <t>WOS:000283972000019</t>
  </si>
  <si>
    <t>Wortsman, X; Calderón, P; Arellano, J; Orellana, Y</t>
  </si>
  <si>
    <t>Wortsman, Ximena; Calderon, Perla; Arellano, Javier; Orellana, Yessenia</t>
  </si>
  <si>
    <t>High-resolution color Doppler ultrasound of a caliber-persistent artery of the lip, a simulator variant of dermatologic disease: case report and sonographic findings</t>
  </si>
  <si>
    <t>INTERNATIONAL JOURNAL OF DERMATOLOGY</t>
  </si>
  <si>
    <t>Background Caliber-persistent labial artery (CPLA) is a vascular anomaly in which a primary artery penetrates the submucosa without caliber loss. It presents as an asymptomatic papular lesion, usually on the lower lip, which may be misdiagnosed as a malignant skin tumor and can cause severe bleeding during biopsy or surgery. Development of new high-resolution ultrasound equipment has improved its observation. Aim This study was undertaken to assess the scope of ultrasound for the diagnosis of CPLA. Methods We report a case of a 65-year-old woman with a nodule involving the lower lip, initially misdiagnosed as a malignant skin tumor. Diagnosis was confirmed by high-resolution color Doppler ultrasound using a compact linear probe that generates frequencies of 7-15 MHz. Results The clinical presentation of the lesion, ultrasound technique, and sonographic findings are described. A current literature review of CPLA diagnosis was performed. Clinical and sonographic images are given as examples. Conclusions High-resolution color Doppler ultrasound is a reliable noninvasive technique for CPLA diagnosis. It allows direct visualization of this vascular variant in real time without the use of an intravenous contrast agent. It may avoid surgical complications and help in the differential diagnosis. Newer high-resolution equipment allows a clear definition of the cutaneous and muscular layers, as well as the vascularity of the lips.</t>
  </si>
  <si>
    <t>Wortsman, Ximena/F-4432-2010</t>
  </si>
  <si>
    <t>Wortsman, Ximena/0000-0003-3359-5023</t>
  </si>
  <si>
    <t>0011-9059</t>
  </si>
  <si>
    <t>1365-4632</t>
  </si>
  <si>
    <t>10.1111/j.1365-4632.2009.04079.x</t>
  </si>
  <si>
    <t>WOS:000268175400005</t>
  </si>
  <si>
    <t>Acoustical model of small calibre ballistic shock waves in air for automatic sniper localization applications</t>
  </si>
  <si>
    <t>The phenomenon of ballistic shock wave emission by a small calibre projectile at supersonic speed is quite relevant in automatic sniper localization applications. When available, ballistic shock wave analysis makes possible the estimation of the main ballistic features of a gunfire event. The propagation of ballistic shock waves in air is a process which mainly involves nonlinear distortion, or steepening, and atmospheric absorption. Current ballistic shock waves propagation models used in automatic sniper localization systems only consider nonlinear distortion effects. This means that only the rates of change of shock peak pressure and the N-wave duration with distance are considered in the determination of the miss distance. In the present paper we present an improved acoustical model of small calibre ballistic shock wave propagation in air, intended to be used in acoustics-based automatic sniper localization applications. In our approach, we have considered nonlinear distortion, but additionally we have also introduced the effects of atmospheric sound absorption. Atmospheric absorption is implemented in the time domain in order to get faster calculation times than those computed in frequency domain. Furthermore, we take advantage of the fact that atmospheric absorption plays a fundamental role in the rise times of the shocks, and introduce the rate of change of the rise time with distance as a third parameter to be used in the determination of the miss distance. This lead us to a more accurate and robust estimation of the miss distance, and consequently of the projectile trajectory, and the spatial coordinates of the gunshot origin.</t>
  </si>
  <si>
    <t>65381D</t>
  </si>
  <si>
    <t>10.1117/12.718320</t>
  </si>
  <si>
    <t>WOS:000247902200031</t>
  </si>
  <si>
    <t>Peñarroja-Matutano, C; Parada-Bustamante, A; Orihuela, PA; Ríos, M; Velásquez, LA; Croxatto, HB</t>
  </si>
  <si>
    <t>Penarroja-Matutano, C.; Parada-Bustamante, A.; Orihuela, P. A.; Rios, M.; Velasquez, Luis A.; Croxatto, H. B.</t>
  </si>
  <si>
    <t>Genital sensory stimulation shifts estradiol intraoviductal signaling from nongenomic to genomic pathways, independently from prolactin surges</t>
  </si>
  <si>
    <t>Estradiol (132) accelerates oviductal egg transport through nongenomic pathways involving oviductal protein phosphorylation in non-mated rats, and through genomic pathways in mated rats. Here we investigated the ability of cervico-vaginal stimulation (CVS) to switch the mode of action of E 2 in the absence of other male-associated components. Pro-estrous rats were subjected to CVS with a glass rod and 12 hours later were injected subcutaneously with E 2 and intrabursally with the RNA synthesis inhibitor Actinomycin D or the protein phosphorylation inhibitor H-89. The number of eggs in the oviduct, assessed 24 It later, showed that Actinomycin D, but not H-89 blocked the E-2-induced egg transport acceleration. This clearly indicates that CVS alone, without other mating-associated signals, is able to shift E 2 signaling from nongenomic to genomic pathways. Since mating and CVS activate a neuroendocrine reflex that causes iterative prolactin (PRL) surges, the involvement of PRL pathway in this phenomenon was evaluated. Prolactin receptor mRNA and protein expression in the rat oviduct was demonstrated by RT-PCR and Western blot, but their levels were not different on day 2 of the cycle (C2) or pregnancy (P2). Activated STAT 5a/b (phosphorylated) was detected by Western blot on P2 in the ovary, but not in the oviduct, showing that mating does not stimulate this PRL signalling pathway in the oviduct. Other rats subjected to CVS in the evening of pro-estrus were treated with bromoergocriptine to suppress PRL surges. In these rats, H-89 did not block the E-2-induced acceleration of egg transport suggesting that PRL surges are not essential to shift E-2 signaling pathways in the oviduct. We conclude that CVS is one of the components of mating that shifts E-2 signaling in the oviduct from nongenomic to genomic pathways, and this effect is independent of PRL surges elicited by mating.</t>
  </si>
  <si>
    <t>Parada Bustamante, Alexis/0000-0002-3240-4961; Velasquez, Luis/0000-0002-9479-1792</t>
  </si>
  <si>
    <t>WOS:000250812900012</t>
  </si>
  <si>
    <t>Bubnovich, VI; Zhdanok, SA; Dobrego, KV</t>
  </si>
  <si>
    <t>Bubnovich, V. I.; Zhdanok, S. A.; Dobrego, K. V.</t>
  </si>
  <si>
    <t>Analytical study of the combustion waves propagation under filtration of methane-air mixture in a packed bed</t>
  </si>
  <si>
    <t>The study of combustion waves during the filtration of lean methane-air mixtures in inert porous media is carried out using the one-temperature approximation in a semi-infinite canal. The analytical solution is built in three different regions, the pre-heating region, the reaction region and the region occupied by the combustion products. By means of the solution, the temperature and mass fraction profiles of the methane are built for three regions, as well as the longitudinal extension of the reaction region, the ignition temperature of the mixture and the combustion wave propagation velocity in the system. The results obtained are validated by means of comparisons with the known numerical and analytical solutions and experimental results found in literature. Finally, an analysis of the built analytical solution in terms of five dimensionless parameters is made, which define heat and mass transport in mathematical model. (c) 2006 Elsevier Ltd. All rights reserved.</t>
  </si>
  <si>
    <t>, Zhdanok/U-9470-2019; Dobrego, Kirill/HTM-4644-2023</t>
  </si>
  <si>
    <t>15-16</t>
  </si>
  <si>
    <t>10.1016/j.ijheatmasstransfer.2006.01.019</t>
  </si>
  <si>
    <t>WOS:000238245000017</t>
  </si>
  <si>
    <t>Saavedra, CP; Encinas, MV; Araya, MA; Pérez, JM; Tantaleán, JC; Fuentes, DE; Calderón, IL; Pichuantes, SE; Vásquez, CC</t>
  </si>
  <si>
    <t>Biochemical characterization of a thermostable cysteine synthase from Geobacillus stearothermophilus V</t>
  </si>
  <si>
    <t>The cysK gene encoding a cysteine synthase of Geobacillus stearothermophilus V was overexpressed in E coli and the recombinant protein was purified and characterized. The enzyme is a thermostable homodimer (32 kDa/monomer) belonging to the beta family of pyridoxal phosphate (PLP)-dependent enzymes. UV-visible spectra showed absorption bands at 279 and 410 nm. The band at 279 nm is due to tyrosine residues as the enzyme lacks tryptophan. The 410 nm band represents absorption of the coenzyme bound as a Schiff base to a lysine residue of the protein. Fluorescence characteristics of CysK's Schiff base were influenced by temperature changes suggesting different local structures at the cofactor binding site. The emission of the Schiff base allowed the determination of binding constants for products at both 20 degreesC and 50 degreesC. At 50 degreesC and in the absence of sulphide the enzyme catalyzes the decomposition of O-acetyl-L-serine to pyruvate and ammonia. At 20 degreesC, however, a stable a-aminoacrylate intermediate is formed. (C) 2004 Elsevier SAS. All rights reserved.</t>
  </si>
  <si>
    <t>Encinas, Maria/L-9686-2014; Fuentes, Derie/GLS-8773-2022; Calderón, Iván/HJP-5156-2023; Perez-Donoso, Jose/G-3668-2013</t>
  </si>
  <si>
    <t>Fuentes, Derie/0000-0002-8189-8515; TANTALEAN, JUAN/0000-0002-9541-7102; Perez-Donoso, Jose/0000-0002-9506-1716</t>
  </si>
  <si>
    <t>1638-6183</t>
  </si>
  <si>
    <t>10.1016/j.biochi.2004.06.003</t>
  </si>
  <si>
    <t>WOS:000223499900007</t>
  </si>
  <si>
    <t>Nonlinear superconformal symmetry of a fermion in the field of a Dirac monopole</t>
  </si>
  <si>
    <t>We study a longstanding problem of identification of the fermion-monopole symmetries. We show that the integrals of motion of the system generate a nonlinear classical Z(2)-graded Poisson, or quantum superalgebra, which may be treated as a nonlinear. generalization of the osp(2\2) circle plus su(2). In the nonlinear superalgebra, the shifted square of the full angular momentum plays the role of the central charge. Its square root is the even osp(2\2) spin generating the u(1) rotations of the supercharges. Classically, the central charge's square root has an odd counterpart whose quantum analog is, in fact, the same osp(2\2) spin operator. As an odd integral, the osp(2\2) spin generates a nonlinear supersymmetry of De Jonghe, Macfarlane, Peeters and van Holten, and may be identified as a grading operator of the nonlinear superconformal algebra. (C) 2004 Published by Elsevier B.V.</t>
  </si>
  <si>
    <t>FEB 26</t>
  </si>
  <si>
    <t>10.1016/j.physletb.2003.12.041</t>
  </si>
  <si>
    <t>WOS:000188793200020</t>
  </si>
  <si>
    <t>Urzúa, A; Torres, R; Mendoza, L; Delle Monache, F</t>
  </si>
  <si>
    <t>Antibacterial new clerodane diterpenes from the surface of Haplopappas foliosus</t>
  </si>
  <si>
    <t>A biologically monitored fractionation of the resinous exudate extract of Haplopappus foliosus DC. is reported. Purification of the two active fractions yielded 2-alpha-hydroxy-cis-cleroda-3,13(Z),8(17)-trien-15-oic acid (1) and 2-alpha-acetoxy-cis-cleroda-3,13(Z),8(17)-trien-15-oic acid (2), two new clerodane diterpenes.</t>
  </si>
  <si>
    <t>WOS:000184890000017</t>
  </si>
  <si>
    <t>Pacheco, M; León, A; Barticevic, Z</t>
  </si>
  <si>
    <t>Far-infrared optical spectrum of donor impurities in quantum dots in a magnetic field</t>
  </si>
  <si>
    <t>PHYSICA STATUS SOLIDI B-BASIC SOLID STATE PHYSICS</t>
  </si>
  <si>
    <t>International Conference on Shallow-Level Centers in Semiconductors</t>
  </si>
  <si>
    <t>WARSAW, POLAND</t>
  </si>
  <si>
    <t>We report calculations for far-infrared absorption in GaAs/Ga1-xAlxAs quantum dots doped with shallow-donor impurities in the presence of a magnetic field. The wave functions and the eigenvalues are obtained in the effective-mass approximation by using a variational approach in which the ground and excited magneto-impurity states are simultaneously obtained. The allowed intra-donor transitions have been investigated by using far-infrared radiation circularly polarized in the plane perpendicular to the magnetic field. We present results for the absorption coefficient as a function of the photon energy for several field strengths and arbitrary impurity positions. We have found that, as a consequence of the quantum dot confinement the infrared magneto-absorption strongly depends on the position of the impurity in the dot.</t>
  </si>
  <si>
    <t>0370-1972</t>
  </si>
  <si>
    <t>1521-3951</t>
  </si>
  <si>
    <t>10.1002/pssb.200301529</t>
  </si>
  <si>
    <t>WOS:000180751400026</t>
  </si>
  <si>
    <t>Fuster, G; Barticevic, Z; Pacheco, M</t>
  </si>
  <si>
    <t>Electronic properties of quantum rings in the presence of crossed electric and magnetic fields</t>
  </si>
  <si>
    <t>We have studied the effects of external magnetic and electric fields on the electronic spectrum of a semiconductor quantum ring. The calculations are performed in a single-particle formalism using the effective mass approximation. We investigate the electron states as a function of the magnitude of the external fields and for different characteristic confinement-parameters of the quantum ring.</t>
  </si>
  <si>
    <t>WOS:000180065500015</t>
  </si>
  <si>
    <t>Gutiérrez, OA; Salas, E; Hernández, Y; Lissi, EA; Castrillo, G; Reyes, O; Garay, H; Aguilar, A; García, B; Otero, A; Chavez, MA; Duarte, CA</t>
  </si>
  <si>
    <t>An immunoenzymatic solid-phase assay for quantitative determination of HIV-1 protease activity</t>
  </si>
  <si>
    <t>ANALYTICAL BIOCHEMISTRY</t>
  </si>
  <si>
    <t>A novel immunoenzymatic procedure for the quantitative determination of HIV protease activity is provided. An N-terminal biotinylated peptide (DUI) that comprises an HIV-1 protease (HIV-PR) cleavage sequence was bound to streptavidin-coated microtiter plates. The bound peptide can be quantified by an immunoenzymatic procedure (enzyme-linked immunosorbent assay, ELISA) that includes a monoclonal antibody (Mab 332) against the peptide (DUI) C-terminal. The incubation of the bound peptide with HIV-PR in solution resulted in a signal decrement, as the peptide was hydrolyzed and the released C-terminal segment washed away. An equation that relates the amount of added enzyme to the kinetics of the reaction was written in order to describe this heterogeneous enzyme-quasi-saturable system. This equation allows quantitative determination of protease activity, a feature widely underrated in previous similar assays. The assay also allows evaluation of the inhibitory activity of HIV-PR inhibitors. Due to the intrinsic advantages of the ELISA format, this method could be used in high-throughput screening of HIV protease inhibitors. The assay can be extended to other proteolytic enzymes. (C) 2002 Elsevier Science (USA). All rights reserved.</t>
  </si>
  <si>
    <t>Castrillo, Gabriel/Z-6321-2019; Sarduy, Emir/V-5338-2019; Reyes, Otilia/ABE-6975-2021</t>
  </si>
  <si>
    <t>Salas Sarduy, Emir/0000-0002-9709-7552; Castrillo, Gabriel/0000-0002-1557-6614</t>
  </si>
  <si>
    <t>0003-2697</t>
  </si>
  <si>
    <t>PII S0003-2697(02)00009-X</t>
  </si>
  <si>
    <t>10.1016/S0003-2697(02)00009-X</t>
  </si>
  <si>
    <t>WOS:000177498000003</t>
  </si>
  <si>
    <t>Escudey, M; Galindo, G; Förster, JE; Briceño, M; Diaz, P; Chang, A</t>
  </si>
  <si>
    <t>Chemical forms of phosphorus of volcanic ash-derived soils in Chile</t>
  </si>
  <si>
    <t>COMMUNICATIONS IN SOIL SCIENCE AND PLANT ANALYSIS</t>
  </si>
  <si>
    <t>The volcanic ash-derived soils have strong capacity to retain phosphorus (P). The P in 10 virgin Ultisols and Andisols in Southern Chile and their clay size fractions were fractionated into inorganic, fulvic, and humic fractions using an acid and base sequential extraction procedure. These soils had similar mineralogy, and were formed under different climatic conditions, and were under different native vegetation. They are representative of the major agricultural areas. The total content ranges from 733 mg P kg(-1) to 3470 mg P kg(-1). As groups, Andisols had higher total P concentrations than the Ultisols. The organic P content was linearly correlated to organic carbon (C). In general, soils with higher organic C content had higher percentage of its P in the organic form. Clay size fraction accounted for 35 to 60% of the soil and had significantly higher concentrations of P in all fractions. In the clay fraction, the organic P content was also influence by their organic C. Soil depth did not affect the P distribution neither in the soils nor in the clay fractions.</t>
  </si>
  <si>
    <t>0010-3624</t>
  </si>
  <si>
    <t>10.1081/CSS-100103895</t>
  </si>
  <si>
    <t>WOS:000170043700001</t>
  </si>
  <si>
    <t>Cuchacovich, M; Gatica, H; Grigg, DM; Pizzo, SV; GonzalezGronow, M</t>
  </si>
  <si>
    <t>Potential pathogenicity of deglycosylated IgG cross reactive with streptokinase and fibronectin in the serum of patients with rheumatoid arthritis</t>
  </si>
  <si>
    <t>JOURNAL OF RHEUMATOLOGY</t>
  </si>
  <si>
    <t>Objective, Fibronectin (FN) and the streptococcal plasminogen activator streptokinase (SK) share the epitope LTSRPA, This epitope is not reactive in native FN and it reacts with anti-SK antibodies only after plasmin digestion of the protein. To investigate a potential correlation between the high levels of anti-LTSRPA antibodies in sera of patients with rheumatoid arthritis (RA) and the perpetuation of the immune response characteristic of this disease, we analyzed their capacity to activate complement and the process of binding to the serum lectin mannan binding protein (MBP). Methods, We used a radioimmunoassay to evaluate immune complexes between anti-LTSRPA IgG and FN, plasmin degraded FN, or the LTSRPA peptide for their capacity to activate complement C5 to C5a. Purified human serum lectin MBP was used to quantify the degree of exposed mannose or N-acetylglucosamine residues in the Fc region of anti-LTSRPA Ige of patients with RA and healthy controls. Results, Anti-LTSRPA IgG from patients with RA have a greater capacity to activate complement C5 to C5a when bound to either the LTSRPA peptide or plasmin degraded FN in vitro, We found a very strong correlation between the complement activating capacity of the RA immune complexes and their binding to MBP. Conclusion, The enhanced capacity of RA anti-LTSRPA IgG immune complexes to activate complement C5 to C5a is directly correlated with their binding capacity to MBP. As MBP binding depends on exposed mannose or N-acetylglucosamine residues in the Fc region of the IgG molecule, these studies suggest that defective glycosylation of circulating anti-SK IgG may play a role in the etiology of RA.</t>
  </si>
  <si>
    <t>0315-162X</t>
  </si>
  <si>
    <t>WOS:A1996TN51400009</t>
  </si>
  <si>
    <t>LISSI, EA; SALIMHANNA, M; SIR, T; VIDELA, LA</t>
  </si>
  <si>
    <t>IS SPONTANEOUS URINARY VISIBLE CHEMILUMINESCENCE A REFLECTION OF INVIVO OXIDATIVE STRESS</t>
  </si>
  <si>
    <t>FREE RADICAL BIOLOGY AND MEDICINE</t>
  </si>
  <si>
    <t>Based on the characteristics of the visible spontaneous luminescence of human urine, we propose that this luminescence is due to the dark decomposition of long-lived luminescent intermediates produced by oxidations at the cellular level, and that it might reflect the development of oxidative stress conditions in vivo. This hypothesis is consistent with the higher emission levels monitored in the urine of hyperthyroid patients and the correlation observed between urinary thiobarbituric acid reactive substances (TBARS) levels and urinary chemiluminescence.</t>
  </si>
  <si>
    <t>0891-5849</t>
  </si>
  <si>
    <t>1873-4596</t>
  </si>
  <si>
    <t>10.1016/0891-5849(92)90118-Z</t>
  </si>
  <si>
    <t>WOS:A1992HK67800008</t>
  </si>
  <si>
    <t>OGRADY, WE; ZAGAL, JH</t>
  </si>
  <si>
    <t>THE ROLE OF OXYGEN-ADSORPTION IN THE ELECTROCATALYSIS OF O-2 REDUCTION</t>
  </si>
  <si>
    <t>WOS:A1984TU21200023</t>
  </si>
  <si>
    <t>Contreras, RA; Pizarro, M; Zuniga, GE; Valenzuela, C</t>
  </si>
  <si>
    <t>Contreras, Rodrigo A.; Pizarro, Marisol; Zuniga, Gustavo E.; Valenzuela, Cristian</t>
  </si>
  <si>
    <t>Hormonal regulation and physiological adjustments of wheat and pea plants under simulated lunar soil conditions</t>
  </si>
  <si>
    <t>PHYSIOLOGIA PLANTARUM</t>
  </si>
  <si>
    <t>This study investigates the physiological and morphological responses of wheat (Triticum aestivum) and pea (Pisum sativum) grown in a mixture of lunar soil (LS) simulant and organic soil (OS). The experiment compared the growth of both pea and wheat in 100% organic soil (OS) and a 3:2 mixture of OS and LS (OS: LS). Wheat exhibited increased branching and root growth in OS: LS, while pea plants showed enhanced aerial elongation and altered branch morphology. Photochemical efficiency (Fv/Fm) and pigment concentrations were significantly affected, with both pea and wheat showing reduced chlorophyll content in OS: LS. Oxidative stress indicators, such as lipid peroxidation, exhibited higher levels in pea plants than wheat plants, particularly in the OS: LS mixture. Hormonal analysis performed by LC-MS/MS indicated significant increases in abscisic acid (ABA) and its catabolites in both pea and wheat in OS: LS, suggesting an adaptive response to suboptimal conditions. The results highlight species-specific growth strategies, with wheat investing more in root development and pea plants promoting aerial growth. These findings provide important insights into how essential crops could adapt to extraterrestrial soils, contributing to the development of sustainable agricultural practices for space exploration. Future research should focus on optimising crop performance based on species-specific adaptative responses in mixed-soil environments.</t>
  </si>
  <si>
    <t>Contreras, Rodrigo/I-1871-2013; Zuñiga, Gustavo/P-8306-2015; Duarte, Cristian/I-4013-2016</t>
  </si>
  <si>
    <t>Contreras, Rodrigo/0000-0001-9970-3125; Zuniga, Gustavo/0000-0002-8286-9468</t>
  </si>
  <si>
    <t>0031-9317</t>
  </si>
  <si>
    <t>1399-3054</t>
  </si>
  <si>
    <t>e70097</t>
  </si>
  <si>
    <t>10.1111/ppl.70097</t>
  </si>
  <si>
    <t>WOS:001410134100001</t>
  </si>
  <si>
    <t>Zago, S; Scarpetta-Pizo, LC; Zagal, JH; Specchia, S</t>
  </si>
  <si>
    <t>Zago, Stefano; Scarpetta-Pizo, Laura C.; Zagal, Jose H.; Specchia, Stefania</t>
  </si>
  <si>
    <t>PGM-Free Biomass-Derived Electrocatalysts for Oxygen Reduction in Energy Conversion Devices: Promising Materials</t>
  </si>
  <si>
    <t>ELECTROCHEMICAL ENERGY REVIEWS</t>
  </si>
  <si>
    <t>Biomass is a low-cost, abundant and renewable resource that can be used to manufacture porous carbon-based materials for a variety of applications. Different mesoporous carbon supports can be obtained from the various synthetic approaches that are aimed at increasing the specific surface area and functionalization. Currently, most of the biomass is used for energy recovery. The circular economy approach could lead to the development of cheap and sustainable materials, and turning of wastes into a precious resource. In this review, we provide the recent advances in the field of electrochemistry for porous carbon materials derived from biomass, which offers wider applications in proton exchange membrane fuel cells (PEMFCs), anion exchange membrane fuel cells (AEMFCs) and Zn-air batteries (ZABs). The focus is on understanding the required properties of the materials and the role of synthetic pathways in platinum group metal (PGM) free electrocatalysts. The most promising materials are evaluated towards the oxygen reduction reaction (ORR) in PEMFC, AEMFC, and ZAB. The results achieved showed that the expected performances on these energy conversion devices still lack for deployment in practice, especially if compared with commercially available PGM-free electrocatalysts. This review article provides insights on how to improve the actual electrocatalytic activity of biomass-derived materials.</t>
  </si>
  <si>
    <t>zagal, jose/L-9648-2014; Specchia, Stefania/I-4487-2013</t>
  </si>
  <si>
    <t>Zagal, Jose/0000-0002-5276-1042; Specchia, Stefania/0000-0003-3882-3240; Scarpetta-Pizo, Laura/0000-0002-5437-9058; Zago, Stefano/0000-0002-0357-1031</t>
  </si>
  <si>
    <t>2520-8489</t>
  </si>
  <si>
    <t>2520-8136</t>
  </si>
  <si>
    <t>10.1007/s41918-023-00197-3</t>
  </si>
  <si>
    <t>WOS:001142296800002</t>
  </si>
  <si>
    <t>Silva, AJ; López, S</t>
  </si>
  <si>
    <t>Silva, Ana Junca; Lopez, Sergio</t>
  </si>
  <si>
    <t>Who came first, the egg or the chicken? What comes first, psychological contract breach or perceived job insecurity?</t>
  </si>
  <si>
    <t>INTERNATIONAL JOURNAL OF MANPOWER</t>
  </si>
  <si>
    <t>Purpose - This study uses a job-demand resource perspective to test a conceptual model in which psychological contract breach has a negative relation with job performance (adaptivity and proficiency) through perceived job insecurity. Further, it has also been proposed that higher levels of role conflict will strengthen the impact of psychological contract breaches on job performance through job insecurity. Design/methodology/approach-Two-wave data were collected from 449 working adults from the retail sector with managerial occupations in Chile. The moderated mediation models were tested through SPSS macro (developed by Preacher and Hayes, 2004). Findings-The findings supported the hypotheses; first, psychological contract breach negatively influences job performance through job insecurity; and second, role conflict moderates the indirect relationship in a way that lower levels of role conflict buffer the relationship between psychological contract breach and job performance through job insecurity (versus higher levels of role conflict). Originality/value - This study has practical and theoretical implications. On the one hand, it establishes how and when psychological contract breaches might harm individual job performance. On the other hand, it can be a guide to managers and employees who can find evidence about how harmful a breach of employees' psychological contract can be.</t>
  </si>
  <si>
    <t>Bohle, Sergio/P-7698-2014; Junca Silva, Ana/E-6831-2016</t>
  </si>
  <si>
    <t>Junca Silva, Ana/0000-0001-6341-9771</t>
  </si>
  <si>
    <t>0143-7720</t>
  </si>
  <si>
    <t>1758-6577</t>
  </si>
  <si>
    <t>10.1108/IJM-01-2024-0022</t>
  </si>
  <si>
    <t>WOS:001350213900001</t>
  </si>
  <si>
    <t>Pizarro, A; Russotto, M</t>
  </si>
  <si>
    <t>Pizarro, Ana; Russotto, Margara</t>
  </si>
  <si>
    <t>Ana Pizarro: The Latin American Experience and the Life of Books. Conversation with Margara Russotto</t>
  </si>
  <si>
    <t>GRAGOATA-UFF</t>
  </si>
  <si>
    <t>1413-9073</t>
  </si>
  <si>
    <t>2358-4114</t>
  </si>
  <si>
    <t>e65457</t>
  </si>
  <si>
    <t>10.22409/gragoata.v29i65.65457.es</t>
  </si>
  <si>
    <t>WOS:001383080200004</t>
  </si>
  <si>
    <t>Loor, F; Gil-Costa, V; Marin, M</t>
  </si>
  <si>
    <t>Loor, Fernando; Gil-Costa, Veronica; Marin, Mauricio</t>
  </si>
  <si>
    <t>Metric Space Indices for Dynamic Optimization in a Peer to Peer-Based Image Classification Crowdsourcing Platform</t>
  </si>
  <si>
    <t>FUTURE INTERNET</t>
  </si>
  <si>
    <t>Large-scale computer platforms that process users' online requests must be capable of handling unexpected spikes in arrival rates. These platforms, which are composed of distributed components, can be configured with parameters to ensure both the quality of the results obtained for each request and low response times. In this work, we propose a dynamic optimization engine based on metric space indexing to address this problem. The engine is integrated into the platform and periodically monitors performance metrics to determine whether new configuration parameter values need to be computed. Our case study focuses on a P2P platform designed for classifying crowdsourced images related to natural disasters. We evaluate our approach under scenarios with high and low workloads, comparing it against alternative methods based on deep reinforcement learning. The results show that our approach reduces processing time by an average of 40%.</t>
  </si>
  <si>
    <t>Gil-Costa, Veronica/GPT-4785-2022</t>
  </si>
  <si>
    <t>1999-5903</t>
  </si>
  <si>
    <t>10.3390/fi16060202</t>
  </si>
  <si>
    <t>WOS:001255860100001</t>
  </si>
  <si>
    <t>Muñoz, MF; Cavalcanti, RR</t>
  </si>
  <si>
    <t>Munoz, Marisol Facuse; Cavalcanti, Raiza Ribeiro</t>
  </si>
  <si>
    <t>The Museum as a Laboratory: An Approach to the Experience of Public Museums in Chile</t>
  </si>
  <si>
    <t>SOCIAL SCIENCES-BASEL</t>
  </si>
  <si>
    <t>The present article analyzes the recent debates regarding the redefinition of the museum, exploring resonances in reflective practices and processes in public museums in Chile. While these have caused controversy and discord, they appear to converge in the need to rethink the relationship between museums and society, seeking to make them more inclusive, democratic and diverse. The present discussion is based on the preliminary results of LAB_Museums: Contemporary Museums and Museologies, an ongoing interdisciplinary research intervention model promoting processes of co-production of knowledge regarding museums and museography. This paper is the publication of the results of the project. To this end, a collaborative ecosystem of knowledge has been developed between the university, museums and public sector, based on the implementation of laboratories, initially, in five public museums of the Metropolitan Region of Santiago, Chile: the National Museum of Fine Arts, the National Historical Museum, the Museum of Contemporary Art, the Popular Art Museum and the National Center of Contemporary Art. The theoretical/methodological framework used was that of Institutional Analysis (IA), based on which interviews and discussion groups with museum professionals promote dialogues on the present reality and contemporary challenges of museums.</t>
  </si>
  <si>
    <t>2076-0760</t>
  </si>
  <si>
    <t>10.3390/socsci13020090</t>
  </si>
  <si>
    <t>WOS:001172510300001</t>
  </si>
  <si>
    <t>Burshtein, TY; Yasman, Y; Muñoz-Moene, L; Zagal, JH; Eisenberg, D</t>
  </si>
  <si>
    <t>Burshtein, Tomer Y.; Yasman, Yakov; Munoz-Moene, Lisa; Zagal, Jose H.; Eisenberg, David</t>
  </si>
  <si>
    <t>Hydrazine Oxidation Electrocatalysis</t>
  </si>
  <si>
    <t>The electro-oxidation of hydrazine is important for direct hydrazine fuel cells and for fundamental understanding of electrocatalysis in the nitrogen cycle. In this Review, we discuss electrocatalysis of the hydrazine oxidation reaction (HzOR), spanning a vast range of metal surfaces, nanoparticles, atomically dispersed ions, organometallic macrocycles, and enzymes. Emphasis is given to structure-activity correlations and reactivity descriptors, including the formulation of the Zagal principle, an electrochemical corollary of the Sabatier principle. In addition, we identify overarching themes that span the different subfields of HzOR electrocatalysis, hoping to inspire cross-disciplinary research avenues.</t>
  </si>
  <si>
    <t>zagal, jose/L-9648-2014; Eisenberg, David/D-9214-2011</t>
  </si>
  <si>
    <t>Zagal, Jose/0000-0002-5276-1042; Eisenberg, David/0000-0001-5568-337X</t>
  </si>
  <si>
    <t>JAN 29</t>
  </si>
  <si>
    <t>10.1021/acscatal.3c05657</t>
  </si>
  <si>
    <t>WOS:001162289900001</t>
  </si>
  <si>
    <t>Marinho, M; Maciel, JD; Torres, ALC</t>
  </si>
  <si>
    <t>Marinho, Marcelo; Maciel, Josemar de Campos; Torres, Anyie Lorena Cajamarca</t>
  </si>
  <si>
    <t>Guimarães Rosa, Latin American spiritual landscapes and ecumenical omelette: ayahuasca and mediumistic trance in Fita verde no cabelo (1964)</t>
  </si>
  <si>
    <t>LETRAS DE HOJE-ESTUDOS E DEBATES EM LINGUISTICA LITERATURA E LINGUA PORTUGUESA</t>
  </si>
  <si>
    <t>This exercise in prospecting possible future oikos, based on the intersection between poetry and the so-called plants of strength, focuses on analyzing the lexical field of spirituality that emerges in Fita verde no cabelo, a short narrative published by Guimar &amp; atilde;es Rosa in the literary supplement of the newspaper O Estado de S &amp; atilde;o Paulo, on February 8, 1964, presented as an innocent adult and transcultural version of Little Red Riding Hood. Based on the author's statement that his entire work is aimed to the preparation of an ecumenical omelette, we analyze the hypothesis that this short story puts on stage the votive ritual of ayahuasca, an entheogenic preparation of Amazonian origin that, as indicated by the Quechua etymology of the term, would have the power to connect people with the spirit of their dead ancestors (aya means spirit or ancestor, while huasca means bond or connection). Thus, we prospected scientific studies, testimonies from shamans and case reports about spiritual communions, in which it is stated that ayahuasca promotes the expansion of consciousness and the attainment of ecstatic experiences of a spiritual nature, from individual self-knowledge to eventual mediumistic events. Images and expressions from the Rosian story are then analyzed in comparison with the liturgy, the creeds and the results of such a spiritual experience of Amerindian origin, which transcends the possibility of explanation through reason, the Cartesian shrew as conceived the medical doctor and novelist from Minas Gerais.</t>
  </si>
  <si>
    <t>0101-3335</t>
  </si>
  <si>
    <t>1984-7726</t>
  </si>
  <si>
    <t>JAN-DEC</t>
  </si>
  <si>
    <t>e45723</t>
  </si>
  <si>
    <t>10.15448/1984-7726.2024.1.45723</t>
  </si>
  <si>
    <t>WOS:001307678400004</t>
  </si>
  <si>
    <t>Reyes, JR; Inzunza, LM; Contreras, MB; Valenzuela, CA; González, VM</t>
  </si>
  <si>
    <t>Reyes, Jennifer Rojas; Inzunza, Lylian Macias; Contreras, Marcela Baeza; Valenzuela, Carolina Arevalo; Gonzalez, Viviana Munilla</t>
  </si>
  <si>
    <t>Formation of Interpersonal Competencies Through Interprofessional Simulation Nursing and Medicine</t>
  </si>
  <si>
    <t>NURSING EDUCATION PERSPECTIVES</t>
  </si>
  <si>
    <t>AIMThe aim of this study was to analyze the process of interpersonal competencies formation in nursing and medical students who participated in a standardized interprofessional clinical simulation.BACKGROUNDInterprofessional education in health sciences has had an important impact on the development of relational qualities centered on the patient.METHODThe study followed a qualitative interpretive approach with students. Students who participated in clinical simulation activities were asked about their experiences and their learning process with respect to interpersonal competencies. A thematic analysis of the data was performedRESULTSThree themes emerged: 1) approaching the practice with uncertainty and fear of new relationships, 2) reflecting on decisions while recognizing distinctive roles, and 3) recognizing the human sense of practice while developing skills for caring and curing.CONCLUSIONStudents underwent this process and learned about empathy, communication, critical reflexive thinking, and teamwork.</t>
  </si>
  <si>
    <t>Munilla, Viviana/IWM-6508-2023</t>
  </si>
  <si>
    <t>Munilla, Viviana/0000-0002-4301-7836; Rojas Reyes, Jennifer/0000-0001-8962-5135</t>
  </si>
  <si>
    <t>1536-5026</t>
  </si>
  <si>
    <t>1943-4685</t>
  </si>
  <si>
    <t>10.1097/01.NEP.0000000000001104</t>
  </si>
  <si>
    <t>WOS:000985346600006</t>
  </si>
  <si>
    <t>Frodden, E; Hidalgo, D</t>
  </si>
  <si>
    <t>Frodden, Ernesto; Hidalgo, Diego</t>
  </si>
  <si>
    <t>The first law for the Kerr-NUT spacetime</t>
  </si>
  <si>
    <t>We show that the first law for the Kerr-NUT is straightforwardly established with the surface charge method. The entropy is explicitly found as a charge and its value is not proportional to the horizon area. We conclude that there are unavoidable contributions from the Misner strings to the charges, still the mass and angular momentum gets standard values. However, there are no independent charges associated with the Misner strings. (C) 2022 Published by Elsevier B.V.</t>
  </si>
  <si>
    <t>Hidalgo, Diego/AAN-8601-2020</t>
  </si>
  <si>
    <t>Hidalgo, Diego/0000-0002-5617-1410</t>
  </si>
  <si>
    <t>10.1016/j.physletb.2022.137264</t>
  </si>
  <si>
    <t>WOS:000847214300011</t>
  </si>
  <si>
    <t>Velásquez-Yévenes, L; Malverde, S; Quezada, V</t>
  </si>
  <si>
    <t>Velasquez-Yevenes, Lilian; Malverde, Sebastian; Quezada, Victor</t>
  </si>
  <si>
    <t>A Sustainable Bioleaching of a Low-Grade Chalcopyrite Ore</t>
  </si>
  <si>
    <t>This paper reports on a study of column bioleaching of a low-grade chalcopyrite ore that is currently dump-leached under natural biological conditions without any control over microbial populations. The experimental methodology was focused on the effect of managing the bacterial populations in a raffinate solution sourced from a dump-leach operation. This study presents results from columns of two heights (0.45 and 1.0 m). We demonstrated that intermittent irrigation enhanced the chalcopyrite dissolution during column leaching, but excessively long rest periods negatively affected the chemical and bacterial activity due to the shortage of oxidizing agents and/or nutrients for microorganisms. The recovery of low-grade chalcopyrite ore was enhanced by increasing the microbial cell density. The addition of 1.5 x 10(8) cells/mL to the 0.45 m column and 5.0 x 10(7) cells/mL to the 1 m column resulted in increased extraction, with the copper dissolution increasing from 32% to 44% in the 0.45 m column and from 30% to 40% in the 1.0 m column over 70 days of leaching. Under these conditions, the pH level remained constant at similar to 1.8, and the redox potential was around 840 mV vs. the SHE throughout the experiment. These results provided useful insights for evaluating a sustainable controlled dump-based technology for mineral bioprocessing.</t>
  </si>
  <si>
    <t>Quezada, Víctor/HGD-1444-2022; , LILIAN/JGD-3871-2023</t>
  </si>
  <si>
    <t>Quezada Reyes, Victor/0000-0001-6211-6082; , LILIAN/0000-0002-2617-8566</t>
  </si>
  <si>
    <t>10.3390/min12040487</t>
  </si>
  <si>
    <t>WOS:000785508800001</t>
  </si>
  <si>
    <t>Zuniga, L; Cayo, A; Gonzalez, W; Vilos, C; Zuniga, R</t>
  </si>
  <si>
    <t>Zuniga, Leandro; Cayo, Angel; Gonzalez, Wendy; Vilos, Cristian; Zuniga, Rafael</t>
  </si>
  <si>
    <t>Potassium Channels as a Target for Cancer Therapy: Current Perspectives</t>
  </si>
  <si>
    <t>ONCOTARGETS AND THERAPY</t>
  </si>
  <si>
    <t>Potassium (K+) channels are highly regulated membrane proteins that control the potassium ion flux and respond to different cellular stimuli. These ion channels are grouped into three major families, Kv (voltage-gated K+ channel), Kir (inwardly rectifying K+ channel) and K2P (two-pore K+ channels), according to the structure, to mediate the K+ currents. In cancer, alterations in K+ channel function can promote the acquisition of the so-called hallmarks of cancer - cell proliferation, resistance to apoptosis, metabolic changes, angiogenesis, and migratory capabilities - emerging as targets for the development of new therapeutic drugs. In this review, we focus our attention on the different K+ channels associated with the most relevant and prevalent cancer types. We summarize our knowledge about the potassium channels structure and function, their cancer dysregulated expression and discuss the K+ channels modulator and the strategies for designing new drugs.</t>
  </si>
  <si>
    <t>Vilos, Cristian/KPA-9958-2024</t>
  </si>
  <si>
    <t>Vilos, Cristian/0000-0001-5619-3348</t>
  </si>
  <si>
    <t>1178-6930</t>
  </si>
  <si>
    <t>10.2147/OTT.S326614</t>
  </si>
  <si>
    <t>WOS:000831686000001</t>
  </si>
  <si>
    <t>Gamboa, J; López-Sarrión, J</t>
  </si>
  <si>
    <t>Gamboa, J.; Lopez-Sarrion, J.</t>
  </si>
  <si>
    <t>Nonperturbative aspects of spontaneous symmetry breaking</t>
  </si>
  <si>
    <t>Spontaneous symmetry breaking is studied in the ultralocal limit of a scalar quantum field theory, that is when E approximate to m (or infrared limit). In this infrared approximation the theory phi(4) is formally two-dimensional and its Euclidean solutions are instantons. For BPST-like solutions with A(mu)(a) = A (a)(mu)(x(2)), the map between phi(4) in two dimensions and self-dual Yang-Mills theory is carefully discussed.</t>
  </si>
  <si>
    <t>MAY 10</t>
  </si>
  <si>
    <t>10.1142/S0217751X21500743</t>
  </si>
  <si>
    <t>WOS:000653684000006</t>
  </si>
  <si>
    <t>Ojeda, KH</t>
  </si>
  <si>
    <t>Gonzalez, RS; Barraza, GM; Magana, FI; Calquin, DC; Castillo, D</t>
  </si>
  <si>
    <t>Henriquez Ojeda, Karla</t>
  </si>
  <si>
    <t>Observations in the academy: we teachers are also experiencing the pandemic and the social explosion 2019</t>
  </si>
  <si>
    <t>CHILE EN EL VERTICE DE LA TRANSFORMACION SOCIAL: (Re) Planteamientos Psicosociales en Tiempos de Crisis Global. Aportes y Miradas Con-movedoras sobre Conflictividad Social y Pandemia. (Re) Psychosocial Approaches in Times of Global Crisis. Contributions and Con-moving Looks on Social Conflict and Pandemic</t>
  </si>
  <si>
    <t>Henriquez, Karla/JAJ-1284-2023</t>
  </si>
  <si>
    <t>978-956-303-478-3</t>
  </si>
  <si>
    <t>WOS:000651158400016</t>
  </si>
  <si>
    <t>Ortiz, JA; Catalina, F; Corrales, T; Soto, C; Zapata, PA</t>
  </si>
  <si>
    <t>Andres Ortiz, J.; Catalina, Fernando; Corrales, Teresa; Soto, Camila; Zapata, Paula A.</t>
  </si>
  <si>
    <t>Thermo-responsive microfibrillar graft copolymer based on carboxymethylagarose and N-isopropylacrylamide</t>
  </si>
  <si>
    <t>POLYMER TESTING</t>
  </si>
  <si>
    <t>Carboxymethylation of agarose with ClCH2COOH in 2-propanol, formamide or dimethyl sulfoxide were evaluated in order to obtain water soluble derivatives. Higher yield (86%) and degree of substitution of carboxymethylation in primary alcoholic groups (0.70) were obtained using dimethyl sulfoxide. Carboxymethylagarose-g-PNIPAAm copolymers were synthesized by free radical graft copolymerization using Ce4+ and S2O82/TEMED as initiators via conventional or microwave-assisted methods. Carboxymethyl derivatives and graft copolymers were characterized by FT-IR and NMR spectroscopies, elemental analysis, TGA and DSC and morphology analysis by SEM and AFM. High nitrogen content (9.7%) was found with Ce4+ by conventional method and the obtained analysis allowed to confirm the NIPAAm grafting on the carboxymethylagarose chain. Thermoresponsive materials have a low critical solution temperature between 32 and 34 degrees C. Thermal stability increased ca. 60% with PNIPAAm grafting. Surface analysis of copolymers reveals a microfibrillar type morphology with diameter of 4-6 mu m. Synthesized glycoconjugates could find applications in bioactive compounds transport in biological systems.</t>
  </si>
  <si>
    <t>Munoz, Camila/MCJ-4945-2025; Ortiz, J. Andrés/R-4060-2019; corrales, teresa/AAN-5978-2020</t>
  </si>
  <si>
    <t>Ortiz, J. Andres/0000-0002-3142-9470; Zapata, Paula Andrea/0000-0003-3361-6226</t>
  </si>
  <si>
    <t>0142-9418</t>
  </si>
  <si>
    <t>1873-2348</t>
  </si>
  <si>
    <t>10.1016/j.polymertesting.2019.106266</t>
  </si>
  <si>
    <t>WOS:000525303900052</t>
  </si>
  <si>
    <t>Leiva, F; Rojas-Herrera, M; Reyes, D; Bravo, S; Garcia, KK; Moya, J; Vidal, R</t>
  </si>
  <si>
    <t>Leiva, Francisco; Rojas-Herrera, Marcelo; Reyes, Daniela; Bravo, Scarleth; Garcia, Killen Ko; Moya, Javier; Vidal, Rodrigo</t>
  </si>
  <si>
    <t>Identification and characterization of miRNAs and lncRNAs of coho salmon (Oncorhynchus kisutch) in normal immune organs</t>
  </si>
  <si>
    <t>GENOMICS</t>
  </si>
  <si>
    <t>MicroRNAs (miRNAs) and long noncoding RNAs (lncRNAs) are two relevant non-coding RNAs (ncRNAs) class. Oncorhynchus kisutch (coho salmon) is an important aquaculture pacific salmon species without report of miRNAs and a very limited register of lncRNAs. To gain knowledge about the interaction and discovery of miRNAs and lncRNAs in coho salmon we used high-throughput sequencing technology to sequence small and transcriptome libraries from three immune organs. A total of 163 mature miRNAs and 4,975 lncRNAs were discovered. The profiles of expression of both ncRNAs indicated that liver and head-kidney share relatively similar expression patterns. We identified 814 and 181 putative target sequences for 1048 lncRNAs and 47 miRNAs, respectively. The results obtained provide new information and enlarge our understanding of the diversities of ncRNAs in coho salmon.</t>
  </si>
  <si>
    <t>Rojas-Herrera, Marcelo/0000-0003-1464-2277</t>
  </si>
  <si>
    <t>0888-7543</t>
  </si>
  <si>
    <t>1089-8646</t>
  </si>
  <si>
    <t>10.1016/j.ygeno.2019.07.015</t>
  </si>
  <si>
    <t>WOS:000506628500005</t>
  </si>
  <si>
    <t>Tapia, J; Gomez-Barrero, M; Busch, C</t>
  </si>
  <si>
    <t>Tapia, Juan; Gomez-Barrero, Marta; Busch, Christoph</t>
  </si>
  <si>
    <t>An Efficient Super-Resolution Single Image Network using Sharpness Loss Metrics for Iris</t>
  </si>
  <si>
    <t>2020 IEEE INTERNATIONAL WORKSHOP ON INFORMATION FORENSICS AND SECURITY (WIFS)</t>
  </si>
  <si>
    <t>IEEE International Workshop on Information Forensics and Security</t>
  </si>
  <si>
    <t>IEEE International Workshop on Information Forensics and Security (WIFS)</t>
  </si>
  <si>
    <t>DEC 06-11, 2020</t>
  </si>
  <si>
    <t>Most of the state of the art super-resolution methods use deep networks with large filter sizes. Therefore, they need to train and store a correspondingly large number of parameters, thereby making their use difficult for mobile devices applications such as recognition of individuals from selfie images. To achieve an efficient super-resolution method, we propose an Efficient Single Image Super-Resolution (ESISR) algorithm, which takes into account a trade-off among the efficiency of the deep neural network, the size of the filters, and the sharpness of the images. To that end, the method implements a novel loss function based on the Sharpness metric. This metric turns out to be more suitable for recovering the quality of the eye images. Our method drastically reduces the number of parameters when compared with Deep CNNs with Skip Connection and Network (DCSCN): from 1,754,942 to 27,209 parameters when the image size is increased by a factor of 2 (x2), from 2,170,142 to 28,654 parameters when increased by 3 (x3), and from 2,087,102 to 64,201 parameters when increased by 4 (x4). Furthermore, the proposed method maintains the sharpness quality of the images.</t>
  </si>
  <si>
    <t>Busch, Christoph/AAF-8176-2019; Gomez-Barrero, Marta/ABA-4498-2020; Tapia, Juan/KVZ-0330-2024</t>
  </si>
  <si>
    <t>Tapia, Juan/0000-0001-9159-4075</t>
  </si>
  <si>
    <t>2157-4766</t>
  </si>
  <si>
    <t>978-1-7281-9930-6</t>
  </si>
  <si>
    <t>10.1109/WIFS49906.2020.9360886</t>
  </si>
  <si>
    <t>WOS:000679149300006</t>
  </si>
  <si>
    <t>Fuentealba, O; González, HA; Pino, M; Troncoso, R</t>
  </si>
  <si>
    <t>Fuentealba, Oscar; Gonzalez, Hernan A.; Pino, Miguel; Troncoso, Ricardo</t>
  </si>
  <si>
    <t>The anisotropic chiral boson</t>
  </si>
  <si>
    <t>We construct the theory of a chiral boson with anisotropic scaling, characterized by a dynamical exponent z that takes positive odd integer values. The action reduces to that of Floreanini and Jackiw in the isotropic case (z = 1). The standard free boson with Lifshitz scaling is recovered when both chiralities are nonlocally combined. Its canonical structure and symmetries are also analyzed. As in the isotropic case, the theory is also endowed with a current algebra. Noteworthy, the standard conformal symmetry is shown to be still present, but realized in a nonlocal way. The exact form of the partition function at finite temperature is obtained from the path integral, as well as from the trace over (u) over cap (1) descendants. It is essentially given by the generating function of the number of partitions of an integer into z-th powers, being a well-known object in number theory. Thus, the asymptotic growth of the number of states at fixed energy, including subleading corrections, can be obtained from the appropriate extension of the renowned result of Hardy and Ramanujan.</t>
  </si>
  <si>
    <t>Troncoso, Ricardo/AAJ-9410-2021; Fuentealba, Oscar/JDN-0465-2023; Pino, Miguel/G-7510-2015; González, Hernán Alfredo/S-5915-2019; Gonzalez Leiva, Hernan Alfredo/K-2767-2017</t>
  </si>
  <si>
    <t>Pino, Miguel/0000-0002-7612-4515; Gonzalez Leiva, Hernan Alfredo/0000-0001-7025-3116; Troncoso, Ricardo/0000-0003-3659-1140</t>
  </si>
  <si>
    <t>NOV 21</t>
  </si>
  <si>
    <t>10.1007/JHEP11(2019)123</t>
  </si>
  <si>
    <t>WOS:000499476000003</t>
  </si>
  <si>
    <t>The Art of Solidarity: Visual and Performative Politics in Cold War Latin America.</t>
  </si>
  <si>
    <t>10.1017/tam.2019.94</t>
  </si>
  <si>
    <t>WOS:000488837000023</t>
  </si>
  <si>
    <t>Villalta, MA; Vera-Villarroel, P; Assael, C; Segovia, A</t>
  </si>
  <si>
    <t>Villalta, Marco Antonio; Vera-Villarroel, Pablo; Assael, Cecilia; Segovia, Ariel</t>
  </si>
  <si>
    <t>EYE TRACKING AND CONVERSATIONAL STRUCTURES IN CHILEAN RURAL AND URBAN ELEMENTARY EDUCATION CLASSROOMS</t>
  </si>
  <si>
    <t>INTERCIENCIA</t>
  </si>
  <si>
    <t>There are not many studies involving teacher-student communication processes in classrooms of rural and urban contexts. The aim of this research is to know the relationship between conversational structures that mediate autonomous learning and teachers' ocular activity in elementary education first grade classrooms in different socio-educational contexts of Chile. The method used is descriptive and consisted in recording teacher-student conversations in classes given by 15 teachers from schools located in urban and rural contexts. The records were analyzed through six conversational structures called 'mediation exchanges' (IcM): expository, regulatory, co-formed, explanatory, cooperative and collaborative. In the IcM the teacher's eye movement was measured in the face of the students by using eye tracking technology. The results indicate significant differences in the time teachers spend looking at the students in the various IcM categories. The post hoc analysis shows that these differences are expressed between the explanatory IcM and the other five kinds of IcM. These differences remain regardless the urban/rural context of the school.</t>
  </si>
  <si>
    <t>Vera-Villarroel, Pablo/A-1134-2011; Villalta Paucar, Marco Antonio/B-9555-2012</t>
  </si>
  <si>
    <t>Villalta Paucar, Marco Antonio/0000-0002-7553-925X</t>
  </si>
  <si>
    <t>0378-1844</t>
  </si>
  <si>
    <t>WOS:000471118300003</t>
  </si>
  <si>
    <t>Verga, AD; Elías, RG</t>
  </si>
  <si>
    <t>Verga, Alberto D.; Gabriel Elias, Ricardo</t>
  </si>
  <si>
    <t>Entanglement and interaction in a topological quantum walk</t>
  </si>
  <si>
    <t>SCIPOST PHYSICS</t>
  </si>
  <si>
    <t>We study the quantum walk of two interacting particles on a line with an interface separating two topologically distinct regions. The interaction induces a localization-delocalization transition of the edge state at the interface. We characterize the transition through the entanglement between the two particles.</t>
  </si>
  <si>
    <t>Elias, Ricardo/F-2608-2012</t>
  </si>
  <si>
    <t>Verga, Alberto/0000-0002-7825-3353</t>
  </si>
  <si>
    <t>2542-4653</t>
  </si>
  <si>
    <t>10.21468/SciPostPhys.5.2.019</t>
  </si>
  <si>
    <t>WOS:000443745100006</t>
  </si>
  <si>
    <t>Rodríguez-Pérez, MY; de la Garza-Garza, M; Almeraya-Calderón, F; Artigas, A; Monsalve, A; Pérez-González, FA; Ramírez-Ramírez, JH; Colás, R; Garza-Montes-de-Oca, NF</t>
  </si>
  <si>
    <t>Rodriguez-Perez, Mayra Y.; de la Garza-Garza, Maribel; Almeraya-Calderon, Facundo; Artigas, Alfredo; Monsalve, Alberto; Perez-Gonzalez, Francisco A.; Ramirez-Ramirez, Javier H.; Colas, Rafael; Garza-Montes-de-Oca, Nelson F.</t>
  </si>
  <si>
    <t>Gravimetric and electrochemical methods to evaluate the performance of corrosion inhibitors for galvanized steel strips</t>
  </si>
  <si>
    <t>CORROSION REVIEWS</t>
  </si>
  <si>
    <t>Corrosion inhibitors with Cr+6 and Cr+3 are applied on the surface of metals to increase their chemical resistance when they are exposed to severe degradation conditions. For galvanized low-carbon steel strip, these compounds are applied to reduce corrosion mainly during transport operations of this metal. The performance of corrosion inhibitors deposited on the surface of galvanized steel strip was evaluated through combined physical and electrochemical modeling. The physical model takes into account direct exposure of specimens to different conditions including simulated marine, industrial and rain environments for periods up to 8 weeks. The efficacy of the experimental method was also evaluated using polarization resistance and gravimetric means. A good correlation between the evolution of the degradation phenomenon obtained directly from the physical model and the electrochemical and gravimetric data was found. The results showed that this method is an effective tool that allows the comparison of the performance of different corrosion inhibitors that could be used to prevent surface degradation of galvanized steel strip.</t>
  </si>
  <si>
    <t>Almeraya, Facundo/J-7703-2017; Artigas, Alfredo/Y-1185-2019</t>
  </si>
  <si>
    <t>Almeraya, Facundo/0000-0002-3014-2814; Colas, Rafael/0000-0001-6017-7244; Monsalve, Alberto/0000-0002-5772-8815; Ramirez-Ramirez, Javier H./0000-0002-4952-1478</t>
  </si>
  <si>
    <t>0334-6005</t>
  </si>
  <si>
    <t>2191-0316</t>
  </si>
  <si>
    <t>10.1515/corrrev-2017-0083</t>
  </si>
  <si>
    <t>WOS:000433911200005</t>
  </si>
  <si>
    <t>Rannou, FR; Vega-Acevedo, N; El Bitar, Z</t>
  </si>
  <si>
    <t>Rannou, F. R.; Vega-Acevedo, N.; El Bitar, Z.</t>
  </si>
  <si>
    <t>A parallel computational model for GATE simulations</t>
  </si>
  <si>
    <t>COMPUTER METHODS AND PROGRAMS IN BIOMEDICINE</t>
  </si>
  <si>
    <t>GATE/Geant4 Monte Carlo simulations are computationally demanding applications, requiring thousands of processor hours to produce realistic results. The classical strategy of distributing the simulation of individual events does not apply efficiently for Positron Emission Tomography (PET) experiments, because it requires a centralized coincidence processing and large communication overheads. We propose a parallel computational model for GATE that handles event generation and coincidence processing in a simple and efficient way by decentralizing event generation and processing but maintaining a centralized event and time coordinator. The model is implemented with the inclusion of a new set of factory classes that can run the same executable in sequential or parallel mode. A Mann-Whitney test shows that the output produced by this parallel model in terms of number of tallies is equivalent (but not equal) to its sequential counterpart. Computational performance evaluation shows that the software is scalable and well balanced. (c) 2013 Elsevier Ireland Ltd. All rights reserved.</t>
  </si>
  <si>
    <t>Rannou, Fernando/G-5749-2019</t>
  </si>
  <si>
    <t>Rannou, Fernando/0000-0002-3244-1893</t>
  </si>
  <si>
    <t>0169-2607</t>
  </si>
  <si>
    <t>1872-7565</t>
  </si>
  <si>
    <t>10.1016/j.cmpb.2013.07.030</t>
  </si>
  <si>
    <t>WOS:000325750100030</t>
  </si>
  <si>
    <t>Bonacic, C; Marin, M</t>
  </si>
  <si>
    <t>Kurland, O; Lewenstein, M; Porat, E</t>
  </si>
  <si>
    <t>Bonacic, Carolina; Marin, Mauricio</t>
  </si>
  <si>
    <t>Simulation Study of Multi-threading in Web Search Engine Processors</t>
  </si>
  <si>
    <t>STRING PROCESSING AND INFORMATION RETRIEVAL (SPIRE 2013)</t>
  </si>
  <si>
    <t>20th International Symposium on String Processing and Information Retrieval (SPIRE)</t>
  </si>
  <si>
    <t>OCT 07-09, 2013</t>
  </si>
  <si>
    <t>Jerusalem, ISRAEL</t>
  </si>
  <si>
    <t>Yahoo,Google,Bar Ilan Univ,I Core</t>
  </si>
  <si>
    <t>Modern cluster processors have been steadily increasing the number of cores able to execute concurrent threads. Web search engines critically rely on multithreading to efficiently process user queries and document insertions to support real-time search. This requires synchronization of readers and writers which, for large number of threads, poses the question of what concurrency control strategies are capable of scaling to hundreds of cores and more. This paper presents a comparative study of a number of such strategies. To this end, we focus on the development of suitable simulation models for performance evaluation of search algorithms on dedicated single-purpose multi-threaded processors. We validate our model against actual implementations of the multi-threading strategies to then go further on studying performance on very large processors. We conclude that intra-query parallelism scales up more efficiently than inter-query parallelism.</t>
  </si>
  <si>
    <t>978-3-319-02432-5; 978-3-319-02431-8</t>
  </si>
  <si>
    <t>WOS:000335220100004</t>
  </si>
  <si>
    <t>Zagal, JH; Geraldo, DA; Sancy, M; Paez, MA</t>
  </si>
  <si>
    <t>Zagal, Jose H.; Geraldo, Daniela A.; Sancy, Mamie; Paez, Maritza A.</t>
  </si>
  <si>
    <t>Unusual behaviour of perfluorinated cobalt phthalocyanine compared to unsubstituted cobalt phthalocyanine for the electrocatalytic oxidation of hydrazine. Effect of the surface concentration of the catalyst on a graphite surface</t>
  </si>
  <si>
    <t>JOURNAL OF THE SERBIAN CHEMICAL SOCIETY</t>
  </si>
  <si>
    <t>It was found that CoPc and 16(F)CoPc when adsorbed on a graphite electrode exhibited voltammograms in alkaline solution (0.2 M NaOH) that show the typical redox peaks attributable to the reversible Co(II)/(I) redox process. The peak potential for CoPc was independent of the surface concentration of the catalyst. In contrast, for 16(F)CoPc, the Co(II)/(I) redox process shifted to more negative potentials with increasing surface concentration of the catalyst. In a volcano correlation of log (i/Gamma)(E) (activity per active site) versus the Co(II)/(I) formal potential of the catalyst (using several CoN4 chelates), CoPc appeared in the ascending portion (the activity increased with the Co (II)/(I) redox potential), whereas 16(F)CoPc appeared in the region where the activity decreases with the redox potential. In a plot of log (i/Gamma)(E) versus the Co(II)/(I) formal potential of 16(F)CoPc, the declining portion of the volcano was reproduced for one single complex. Thus, 16(F)CoPc at different surface concentrations behaved as Co complexes, having different redox potential in the declining portion of the volcano plot, when the activity is normalized to the surface concentration. This was not observed for CoPc.</t>
  </si>
  <si>
    <t>zagal, jose/L-9648-2014; Sancy, Mamié/L-6270-2014; Paez, Maritza/M-2010-2014</t>
  </si>
  <si>
    <t>paez, maritza/0000-0001-5881-884X; Geraldo, Daniela/0000-0001-6029-5697</t>
  </si>
  <si>
    <t>0352-5139</t>
  </si>
  <si>
    <t>10.2298/JSC131024123Z</t>
  </si>
  <si>
    <t>WOS:000329261200016</t>
  </si>
  <si>
    <t>Ureta-Zañartu, MS; Berríos, C; González, T; Fernández, F; Báez, D; Salazar, R; Gutiérrez, C</t>
  </si>
  <si>
    <t>Soledad Ureta-Zanartu, Maria; Berrios, Cristhian; Gonzalez, Thais; Fernandez, Francisco; Baez, Daniela; Salazar, Ricardo; Gutierrez, Claudio</t>
  </si>
  <si>
    <t>Electrocatalytic Oxidation of Alcohols at Gold Electrodes in Alkaline Media</t>
  </si>
  <si>
    <t>INTERNATIONAL JOURNAL OF ELECTROCHEMICAL SCIENCE</t>
  </si>
  <si>
    <t>The electrooxidation in a pH 11 carbonate/hydrogen carbonate buffer of an aromatic (benzyl alcohol (BA)) alcohol and of several aliphatic alcohols on massive gold and on gold/quartz electrodes has been studied by cyclic voltammetry (CV), electrochemical impedance spectroscopy (EIS) and electrochemical quartz crystal microbalance (EQCM). The activity of gold is high for BA, lower for ethylene glycol (EG), and very low for propanol and butanol. Based on the fact that the double-layer capacity with BA is about one third of that for the aliphatic alcohols, which points to an expulsion of water from the Au surface due to the hydrophobic character of BA, we suggest that BA removes water molecules from the electrode surface, this removal facilitating its electrooxidation. The electrooxidation of BA started at the same potential, at -0.1 V, at which a surface redox process, corresponding to the adsorption-desorption of OH, appeared in the cyclic voltammogram of gold in the pH 11 buffer at higher temperatures, which indicates that the oxidation of BA occurs by its reaction with surface OH groups, in spite of their very low coverage at room temperature. BA adsorbs on Au, as shown by the EQCM: when BA was added to the cell while the Au/Q electrode was held at -0.2 V, no mass change was observed with 4.3 mM BA, while with 23.3 mM BA the mass increased by 70 ng cm(-2). The fairly high activity of Au for EG electrooxidation is attributed to the presence of two OH groups in the molecule. For the monohydroxylic alcohols the activity increases in the order ethanol</t>
  </si>
  <si>
    <t>Fernandez, Francisco/K-5532-2014; Ureta-Zañartu, Maria/G-5239-2019; Salazar, Ricardo/L-7870-2013</t>
  </si>
  <si>
    <t>Salazar-Gonzalez, Ricardo/0000-0003-2180-6022</t>
  </si>
  <si>
    <t>1452-3981</t>
  </si>
  <si>
    <t>WOS:000309206900084</t>
  </si>
  <si>
    <t>Falomir, H; Gamboa, J; López-Sarrión, J; Méndez, F; Pisani, PAG</t>
  </si>
  <si>
    <t>Falomir, H.; Gamboa, J.; Lopez-Sarrion, J.; Mendez, F.; Pisani, P. A. G.</t>
  </si>
  <si>
    <t>Magnetic-dipole spin effects in noncommutative quantum mechanics</t>
  </si>
  <si>
    <t>A general three-dimensional noncommutative quantum mechanical system mixing spatial and spin degrees of freedom is proposed. The analogous of the harmonic oscillator in this description contains a magnetic dipole interaction and the ground state is explicitly computed and we show that it is infinitely degenerated and implying a spontaneous symmetry breaking. The model can be straightforwardly extended to many particles and the main above properties are retained. Possible applications to the Bose-Einstein condensation with dipole-dipole interactions are briefly discussed. (C) 2009 Elsevier B.V. All rights reserved.</t>
  </si>
  <si>
    <t>Lopez Sarrion, Justo Javier/0000-0002-2868-194X; Mendez, Fernando/0000-0002-9257-9552; Falomir, Horacio/0000-0001-8188-1062</t>
  </si>
  <si>
    <t>OCT 5</t>
  </si>
  <si>
    <t>10.1016/j.physletb.2009.09.007</t>
  </si>
  <si>
    <t>WOS:000271360100016</t>
  </si>
  <si>
    <t>Castro, SA; Jaksic, FM</t>
  </si>
  <si>
    <t>Castro, Sergio A.; Jaksic, Fabian M.</t>
  </si>
  <si>
    <t>Role of non-established plants in determining biotic homogenization patterns in Pacific Oceanic Islands</t>
  </si>
  <si>
    <t>BIOLOGICAL INVASIONS</t>
  </si>
  <si>
    <t>Numerous organisms have been relocated by human agency among remote regions of the world. One of the consequences of alien invasions (and associated native extinctions) is that the taxonomic similarity between areas trends to increase, a process called biotic homogenization. This process is studied in plants using naturalized species, while the role of non-established (but nevertheless present) plants is not investigated. Here we evaluate if adding the non-established component to the pool of alien plants modifies similarity patterns recorded in a preceding study of biotic homogenization in six Oceanic Islands of the South-eastern Pacific. Although our analyses confirm previous findings of floristic homogenization for these Islands, the effect of adding the non-established component results in several changes. By consideration of only naturalized plants we detected two cases of increased similarity (i.e. floristic homogenization), while the other 13 comparisons yielded non-significant changes. By adding non-established plants, four pairs of Islands show increased similarity, while in one case there is decreased similarity (i.e. floristic differentiation). These results support the hypothesis that non-established species can modify qualitative and quantitative trends of floristic change, revealing the complexity of biotic change. Although discrimination between only native and naturalized species appears reasonable for some groups, among plants it becomes a critical decision because of the importance of non-established species as ecological players and as purveyors of early information on future biotic change.</t>
  </si>
  <si>
    <t>Jaksic, Fabian M./G-1705-2014</t>
  </si>
  <si>
    <t>Jaksic, Fabian M./0000-0003-0098-0291</t>
  </si>
  <si>
    <t>1387-3547</t>
  </si>
  <si>
    <t>1573-1464</t>
  </si>
  <si>
    <t>10.1007/s10530-007-9204-z</t>
  </si>
  <si>
    <t>WOS:000260306700010</t>
  </si>
  <si>
    <t>De La Maza, MP; Bravo, A; Leiva, L; Gattás, V; Petermann, M; Garrido, F; Bunout, D; Hirsch, S; Barrera, G; Fernández, M</t>
  </si>
  <si>
    <t>De La Maza, M. P.; Bravo, A.; Leiva, L.; Gattas, V.; Petermann, M.; Garrido, F.; Bunout, D.; Hirsch, S.; Barrera, G.; Fernandez, M.</t>
  </si>
  <si>
    <t>Fluorescent serum and urinary advanced glycoxidation end-products in non-diabetic subjects</t>
  </si>
  <si>
    <t>Introduction: Advanced glycoxidation end-products (AGEs) are involved in age-related conditions and diabetic complications. Diet intake contributes to their circulating concentrations. Aim: To measure serum and urinary AGEs in non-diabetic volunteers and relate their concentration to body composition, blood chemistry and dietary ingestion. Methods: We studied 41 adult men (31 middle-aged adults and 10 elderly). A nutritional assessment including a dietary recall designed for detection of AGE ingestion (specifically carboxyinethyl-lysine(CML)), and anthropometric measurements were performed. Also serum lipoproteins, insulin, glucose, leptin and C reactive protein (CRP). AGEs were measured in serum and urine samples using size exclusion chromatography and flow injection assay (FIA); the technical procedures were first employed in 11 heterogeneous diabetics, as positive controls for this methodology. Results: Serum and urinary chromatograms indicated that areas under the curve were not different in younger compared with elderly adults. AGEs did not correlate with dietary intake, body composition, nor metabolic parameters, however they correlated significantly with renal function and CRP concentration. Discussion: In these non-diabetic volunteers, with low CML intake, serum and urinary concentration of AGEs were not related to dietary intake. AGEs were related to renal function and CRP, but not to body composition, lipoproteins, insulin and glucose.</t>
  </si>
  <si>
    <t>WOS:000250812900011</t>
  </si>
  <si>
    <t>Reyes, EG</t>
  </si>
  <si>
    <t>Correspondence theorems for hierarchies of equations of pseudo-spherical type</t>
  </si>
  <si>
    <t>JOURNAL OF DIFFERENTIAL EQUATIONS</t>
  </si>
  <si>
    <t>Hierarchies of evolution equations of pseudo-spherical type are introduced, thereby generalizing the notion of a single equation describing pseudo-spherical surfaces due to S.S. Chem and K. Tenenblat, and providing a connection between differential geometry and the study of hierarchies of equations which are the integrability condition of sl (2, R)-valued linear problems. As an application, it is shown that there exist local correspondences between any two (suitably generic) solutions of arbitrary hierarchies of equations of pseudo-spherical type. (c) 2006 Elsevier Inc. All rights reserved.</t>
  </si>
  <si>
    <t>0022-0396</t>
  </si>
  <si>
    <t>10.1016/j.jde.2006.02.007</t>
  </si>
  <si>
    <t>WOS:000238045600002</t>
  </si>
  <si>
    <t>Reyes, Enrique G.</t>
  </si>
  <si>
    <t>Pseudo-potentials, nonlocal symmetries and integrability of some shallow water equations</t>
  </si>
  <si>
    <t>SELECTA MATHEMATICA-NEW SERIES</t>
  </si>
  <si>
    <t>Zero curvature formulations, pseudo-potentials, modified versions, Miura transformations, conservation laws, and nonlocal symmetries of the Korteweg-de Vries, Camassa-Holm and Hunter-Saxton equations are investigated from a unified point of view: these three equations belong to a two-parameter family of equations describing pseudo-spherical surfaces, and therefore their basic integrability properties can be studied by geometrical means.</t>
  </si>
  <si>
    <t>1022-1824</t>
  </si>
  <si>
    <t>1420-9020</t>
  </si>
  <si>
    <t>10.1007/s00029-006-0024-2</t>
  </si>
  <si>
    <t>WOS:000243362000003</t>
  </si>
  <si>
    <t>Martínez, V; Ordoñez, S; Castro, F; Olivares, L; Marín, J</t>
  </si>
  <si>
    <t>Wetting of silicon carbide by copper alloys</t>
  </si>
  <si>
    <t>JOURNAL OF MATERIALS SCIENCE</t>
  </si>
  <si>
    <t>This work reports on a study of the wetting of SiC by some Copper alloys. The work is intended to gain a deeper understanding on the weeting behaviour of selected CuTi alloys in contact with a polycristalline silicon carbide substrate. Although the main body of this work deals with the CuTi/SiC system a few observations are also reported on the interaction between a CuZr alloy and a silicon infiltrated SiC grade. The contact angles established between the liquid alloys and silicon carbide at 1200degreesC were measured by the sessile drop method using a vacuum between 10(-4) and 10(-5) Pa. Since the interface generated between the metallic and ceramic phases in a composite material is a region that plays a critical role in determining its mechanical properties the obtained specimens were subsequently characterised using a SEM fitted with EDS facilities. X-ray diffraction was used to determine the phases formed while DSC analyses were employed to determine the temperatures for the formation of reaction products. (C) 2003 Kluwer Academic Publishers.</t>
  </si>
  <si>
    <t>0022-2461</t>
  </si>
  <si>
    <t>10.1023/A:1026270819828</t>
  </si>
  <si>
    <t>WOS:000185963000018</t>
  </si>
  <si>
    <t>Religion and the awakening of indigenous people in Latin America</t>
  </si>
  <si>
    <t>The awakening of the indigenous people of Latin America raises the following question: is it accompanied by a religious revitalization and a return to ancestral beliefs and rituals? Religion is, indeed, present in protests and visible movements such as those in Mexico or Ecuador, but religion does not appear to be the principal factor or the deepest source of these movements. Thus, alongside the rapid expansion of evangelicals (especially Pentecostals) among the indigenous communities, we also observe the higher profile and the increased respect achieved by ancestral indigenous religious traditions. Elsewhere, intense missionary activity by various churches has contributed to the emergence of new indigenous leaders, and shamanic rituals function as a means of reaffirmation of ethnic identity and in support of the struggle to recover ancestral lands, a struggle which is acquiring a sacred character. The battle is political and ethnic; it is fought for recognition of indigenous rights, for the specificity, of people and their communities, for their ancestral lands, and for their cultural expression. Belief is by, no means uniform among indigenous peoples. But there is no doubt that religion is a part of the process of recovery of ethnic identity, even though it is under threat from globalization.</t>
  </si>
  <si>
    <t>Parker G., Cristian/J-4947-2017</t>
  </si>
  <si>
    <t>Parker G., Cristian/0000-0001-8041-9642</t>
  </si>
  <si>
    <t>10.1177/0037768602049001006</t>
  </si>
  <si>
    <t>WOS:000174817600006</t>
  </si>
  <si>
    <t>Mimica, D; Zagal, JH; Bedioui, F</t>
  </si>
  <si>
    <t>Electrocatalysis of nitric oxide reduction by hemoglobin entrapped in surfactant films</t>
  </si>
  <si>
    <t>We have investigated the electrochemical reduction of NO catalyzed by hemoglobin, HbFe, trapped within a dimethyldidodecylammonium, bromide (DDAB) film cast on a glassy carbon electrode. The presence of NO in the electrolyte drastically changes the voltammetric response of the DDAB/HbFe film. Two reduction waves, with intensity proportional to NO concentration, are observed at -0.6 and -1.0 V versus SCE, respectively. The reduction wave at -1.0 V is a mass-transport controlled one. The typical voltammetric behavior of HbFe is discussed in terms of reactivity of the iron-heme enzyme toward NO, giving ferrous nitrosyl and nitroxyl adducts. (C) 2001 Elsevier Science B.V. All rights reserved.</t>
  </si>
  <si>
    <t>10.1016/S1388-2481(01)00196-5</t>
  </si>
  <si>
    <t>WOS:000170224400012</t>
  </si>
  <si>
    <t>Crisóstomo, J; Troncoso, R; Zanelli, J</t>
  </si>
  <si>
    <t>Black hole scan -: art. no. 084013</t>
  </si>
  <si>
    <t>Gravitation theories selected by requiring that they have a unique anti-de Sitter vacuum with a fixed cosmological constant are studied. For a given dimension d, the Lagrangians under consideration are labeled by an integer k = 1,2,...,[(d-1)/2]. Black holes for each d and k are found and are used to rank these theories. A minimum possible size for a localized electrically charged sourer is predicted in the whole set of theories, except general relativity. It is found that the thermodynamic behavior falls into two classes: If d-2k = 1, these solutions resemble the three dimensional black hole; otherwise, their behavior is similar to the Schwarzschild-AdS(4) geometry.</t>
  </si>
  <si>
    <t>Troncoso, Ricardo/H-5051-2013</t>
  </si>
  <si>
    <t>Troncoso, Ricardo/0000-0003-3659-1140</t>
  </si>
  <si>
    <t>10.1103/PhysRevD.62.084013</t>
  </si>
  <si>
    <t>WOS:000089977200038</t>
  </si>
  <si>
    <t>Martínez, C; Teitelboim, C; Zanelli, J</t>
  </si>
  <si>
    <t>Charged rotating black hole in three spacetime dimensions -: art. no. 104013</t>
  </si>
  <si>
    <t>The generalization of the black hole in three-dimensional spacetime to include an electric charge Q in addition to the mass M and the angular momentum J is given. The field equations are first solved explicitly when Q is small and the general form of the field at large distances is established. The total hairs M, J and Q are exhibited as boundary terms at infinity. It is found that the inner horizon of the rotating uncharged black hole is unstable under the addition of a small electric charge. Next it is shown that when Q=0 the spinning black hole may be obtained from the one with J=0 by a Lorentz boost in the phi-t plane. This boost is an illegitimate coordinate transformation because it changes the physical parameters of the solution. The extreme black hole appears as the analog of a particle moving with the speed of light. The same boost may be used when Q not equal 0 to generate a solution with angular momentum from that with J=0, although the geometrical meaning of the transformation is much less transparent since in the charged case the black holes are not obtained by identifying points in anti-de Sitter space. The metric is given explicitly in terms of three parameters, (M) over tilde, (Q) over tilde and omega which are the rest mass'' and rest charge'' and the angular velocity of the boost. These parameters are related to M, J and Q through the solution of an algebraic cubic equation. Altogether, even without angular momentum, the electrically charged 2+1 black hole is somewhat pathological since (i) it exists for arbitrarily negative values of the mass, and (ii) there is no upper bound on the electric charge.</t>
  </si>
  <si>
    <t>Martinez, Cristian/G-9899-2012</t>
  </si>
  <si>
    <t>Martinez, Cristian/0000-0002-7874-0602</t>
  </si>
  <si>
    <t>0556-2821</t>
  </si>
  <si>
    <t>10.1103/PhysRevD.61.104013</t>
  </si>
  <si>
    <t>WOS:000087046300032</t>
  </si>
  <si>
    <t>Patton, JT; Chnaiderman, J; Spencer, E</t>
  </si>
  <si>
    <t>Open reading frame in rotavirus mRNA specifically promotes synthesis of double-stranded RNA: Template size also affects replication efficiency</t>
  </si>
  <si>
    <t>The 11 rotavirus mRNAs are capped, but not polyadenylated, have a high AU content, and serve as templates for the synthesis of double-stranded (ds)RNA. Earlier studies using a cell-free replication system showed that the 5'- and 3'-untranslated regions (UTRs) of the mRNAs have cis-acting signals that promote minus-strand synthesis. To identify additional factors that affect RNA replication, chimeric RNAs were made that consisted of portions of the gene 8 mRNA of SA11 rotavirus and of the gene for green fluorescent protein (gfp) or for the N protein of respiratory syncytial virus. Analysis of the chimeras in the cell-free replication system under noncompetitive conditions showed that the open reading frame (ORF) of viral mRNAs contains information that specifically promotes minus-strand synthesis. Results were also obtained indicating that a high AU content may increase the replication efficiency of RNAs and that, in general, an inverse correlation exists between replication efficiency and the length of the RNA template. Replication assays performed under competitive conditions showed that nonviral RNAs can interfere significantly with the replication of viral mRNAs, mostly likely by sequestering nonspecific RNA-binding proteins that are of limited concentration in the replication system and that are essential for dsRNA synthesis. In summary, rotavirus dsRNA synthesis is affected by many factors including cis-acting replication signals located in the 5'-UTR, 3'-UTR, and ORF of the mRNA as well as the size and possibly the AU content of the mRNA. (C) 1999 Academic Press.</t>
  </si>
  <si>
    <t>Spencer, Eugenio/0000-0001-6109-140X; Patton, John/0000-0003-1572-0732</t>
  </si>
  <si>
    <t>NOV 10</t>
  </si>
  <si>
    <t>10.1006/viro.1999.9989</t>
  </si>
  <si>
    <t>WOS:000083673300019</t>
  </si>
  <si>
    <t>Fernandez, MA; Meza, M; Mediavilla, M; Longo, C; Moya, SA; Lopez, F; Baricelli, P; Pardey, AJ</t>
  </si>
  <si>
    <t>Kinetics of the water gas shift reaction catalyzed by cis-[Ir(CO)2(4-pic)2]PF6 in aqueous 4-picoline</t>
  </si>
  <si>
    <t>ANALES DE QUIMICA-INTERNATIONAL EDITION</t>
  </si>
  <si>
    <t>Described is a kinetics study of the homogeneous water gas shift reaction catalyzed by the cis[Ir(CO)(2)(4-pic)(2)]PF6 complex in 4-picoline aqueous solution. The activity proved to be nonlinear in iridium total concentration, [Ir](tot), over the range 5 to 80 mM. This result was interpreted in terms of the presence of active mononuclear and polynuclear iridium species in the system, being the mononuclear the more active. The rate displays a first order dependence on CO pressure, P(CO), over the range 0.7 to 1.9 atm. The kinetics behavior with respect to P(CO) leads to propose the CO addition to the catalytic species prior to the rate-limiting step.</t>
  </si>
  <si>
    <t>1130-2283</t>
  </si>
  <si>
    <t>WOS:000076824500002</t>
  </si>
  <si>
    <t>Alguacil, FJ; Magne, L; Navarro, P; Simpson, J</t>
  </si>
  <si>
    <t>Hydrometallurgical treatment of copper smelter dusts. Desarsenification of leaching solutions</t>
  </si>
  <si>
    <t>Copper smelter dusts contain along with this metal, which is amenable for its recovery, a number of other metals (especially arsenic) which are considered as toxics. Different alternatives have been proposed for the treatment of such metallurgical residues and among them Hydrometallurgy shows good perspectives for its application in this field. In the present work different hydrometallurgical processes proposed for the treatment of copper smelter dusts an described and evaluated together with different alternatives given for the desarsenification of the leaching solutions.</t>
  </si>
  <si>
    <t>10.3989/revmetalm.1996.v32.i6.888</t>
  </si>
  <si>
    <t>WOS:A1996WE47600007</t>
  </si>
  <si>
    <t>Mediavilla, M; Pardey, AJ; Paricelli, P; LongoPardey, C; Moya, SA</t>
  </si>
  <si>
    <t>Homogeneous catalysis of the water gas shift reaction by RhCl3 center dot 3H(2)O in aqueous piperidine</t>
  </si>
  <si>
    <t>RHODIUM EXPRESS</t>
  </si>
  <si>
    <t>This paper reports the quantitative studies of the water gas shift reaction catalysis by homogeneous solution of RhCl3 . 3H(2)O in aqueous piperidine, 2/8, v/v. This system is stable, low active catalyst displaying turnover frequencies for H-2 production (TF(H-2)) of about 19 moles H-2 per mole Rh per day for [Rh] = 10 mM, P(CO) = 0.9 atm, and T = 100 degrees C.</t>
  </si>
  <si>
    <t>0869-7876</t>
  </si>
  <si>
    <t>WOS:A1996VZ21200003</t>
  </si>
  <si>
    <t>REYES, RA; GASKELL, DR</t>
  </si>
  <si>
    <t>THE THERMODYNAMIC ACTIVITY OF ZNO IN SILICATE MELTS</t>
  </si>
  <si>
    <t>METALLURGICAL TRANSACTIONS B-PROCESS METALLURGY</t>
  </si>
  <si>
    <t>0360-2141</t>
  </si>
  <si>
    <t>10.1007/BF02653959</t>
  </si>
  <si>
    <t>WOS:A1983RV13700022</t>
  </si>
  <si>
    <t>Jara, G; Sánchez-González, R; Olguín, CF; Candia, CP; Pavez, J; Silva, CP; Imbarack, E</t>
  </si>
  <si>
    <t>Jara, Geraldine; Sanchez-Gonzalez, Rodrigo; Olguin, Camila F.; Candia, Carolina P.; Pavez, Jorge; Silva, Carlos P.; Imbarack, Elizabeth</t>
  </si>
  <si>
    <t>Trace level detection of the azo base of organic dye by surface-enhanced Raman spectroscopy</t>
  </si>
  <si>
    <t>VIBRATIONAL SPECTROSCOPY</t>
  </si>
  <si>
    <t>Water pollution with synthetic pigments is becoming an emerging problem due to the potential damage to aquatic sources and its consequences for flora, fauna, and human health. Currently, techniques to detect the presence of these pollutant pigments in water reach concentrations of mu g/L and require pretreatment to detect them. In this work, we present a quick and easy methodology to determine the presence of the basic unit used in textile pigments, 4-(pyridin-4-yldiazenyl)phenyl-amine (4-PDPA), in a synthetic seawater matrix and a real one from the coast of the city of Valparaiso, Chile, using Surface Enhanced Raman Spectroscopy (SERS). Colloidal gold was used as the active surface, spectra corresponding to the pigment profile were recorded without pretreatment of the matrix used, and the pigment was detected at concentrations 0.00198 mu g/L up to two orders of magnitude lower than current methods (0.0198 mu g/L).</t>
  </si>
  <si>
    <t>Imbarack, Elizabeth/0000-0003-3501-9388</t>
  </si>
  <si>
    <t>0924-2031</t>
  </si>
  <si>
    <t>1873-3697</t>
  </si>
  <si>
    <t>10.1016/j.vibspec.2024.103750</t>
  </si>
  <si>
    <t>WOS:001371396600001</t>
  </si>
  <si>
    <t>Covacevich, L; Aguilera, JM; Moreno, MC; Brossard, N; Osorio, F</t>
  </si>
  <si>
    <t>Covacevich, Leyla; Aguilera, Jose Miguel; Moreno, M. Carolina; Brossard, Natalia; Osorio, Fernando</t>
  </si>
  <si>
    <t>Rheological and tribological properties of seaweed powders as thickeners for liquid foods</t>
  </si>
  <si>
    <t>FOOD HYDROCOLLOIDS</t>
  </si>
  <si>
    <t>Thickened liquid foods are particularly interesting in culinary applications and the management of swallowing disorders. Polysaccharide molecules and suspended soft particles play a major role in increasing viscosity and mouthfeel. In this work, tribo-rheological effects of finely ground particles (less than 75 mu m) of Durvillaea antarctica seaweed (SP) as a minimally processed and natural alternative to commercial thickeners were studied. Shear viscosity (eta), viscoelastic moduli (G ', G ''), and the coefficient of friction (CoF) were determined for SP dispersions, using as controls two commercial thickeners: modified maize starch-based (TE) and xanthan gum-based (TU). SP and SP dispersions were characterized microstructurally and evaluated at concentrations of 1.2%, 2.4%, and 4.8% w/v, with and without artificial saliva (AS). SP dispersions exhibited a pseudoplastic behavior in the range of shear rates 0.1-100 s(-1) and viscoelasticity (G'&gt;G) in the 0.1-80 rad/s frequency range. The incorporation of AS had a dilution effect in SP and TU dispersions, but additionally, in the case of TE, a hydrolyzing effect decreased the values of the responses. In the tribology experiments, all samples followed a Stribeck curve. SP dispersions were more lubricating than AS and controls in the physiological range of velocities during oral processing and swallowing (e.g.,&gt;100 mm/s). The thickening, viscoelastic, and lubrication behavior of SP dispersions were attributed to the soluble solids released from the SP (37%-51% d. w.) and interactions with ghosts of SP particles in the continuous aqueous phase. Fine seaweed particles may be a sustainable and low-cost alternative to commercial thickeners in some food applications.</t>
  </si>
  <si>
    <t>Aguilera, Jose/D-1383-2014; Moreno Constenla, María Carolina/IAM-2189-2023; Brossard, Natalia/ABH-2990-2021; osorio, fernando/AAY-7304-2021</t>
  </si>
  <si>
    <t>Aguilera, Jose Miguel/0000-0001-5754-2722; osorio, fernando/0000-0001-7206-0924; Covacevich, Leyla/0009-0006-4617-9546; Moreno Constenla, Maria Carolina/0000-0002-0135-9600; Brossard, Natalia/0000-0001-7444-8869</t>
  </si>
  <si>
    <t>0268-005X</t>
  </si>
  <si>
    <t>1873-7137</t>
  </si>
  <si>
    <t>10.1016/j.foodhyd.2024.110116</t>
  </si>
  <si>
    <t>APR 2024</t>
  </si>
  <si>
    <t>WOS:001238304900001</t>
  </si>
  <si>
    <t>Sales, D; da Silva, JP Jr; Bergamo, RR; de Oliveira, LC; Ferrari, G; Matsudo, V</t>
  </si>
  <si>
    <t>Sales, Diego; da Silva Jr, Joao Pedro; Bergamo, Raiany Rosa; de Oliveira, Luis Carlos; Ferrari, Gerson; Matsudo, Victor</t>
  </si>
  <si>
    <t>Association between school environment with sedentary behavior and physical activity intensity in children</t>
  </si>
  <si>
    <t>We examined the association between indicators of the school environment with sedentary behavior and different intensities of physical activity in children. The study that included 515 children (265 boys) aged 9-11 years old from public and private schools in the city of Sao Caetano do Sul. Sedentary behavior and different intensities of physical activity were evaluated with an accelerometer. Inside school environment (policies, supervision committee, extracurricular activities, breaks, and access to school facilities) was evaluated using a questionnaire. Policies and practice (beta: 8.49; 95% CI: 3.62-13.36), supervision committee (5.42; 0.64-10.19), inter-school competitions (2.40, 2.25-2.55), breaks of 15-29 min/day (6.87; 2.20-10.75), and outdoor sports field (5.40; 0.37-10.44), were positively associated with moderate-to-vigorous-intensity physical activity. Furthermore, crossing guards (7.65; 3.00-12.30) were positively associated with moderate-to-vigorous-intensity physical activity. We concluded that an association was found between school environment indicators with higher levels of physical activity and greater odds of meeting physical activity guidelines.</t>
  </si>
  <si>
    <t>Ferrari, Gerson/HHM-6173-2022; DE OLIVEIRA, LUIS/AAL-8064-2020; Ferrari, Gerson/P-1152-2014</t>
  </si>
  <si>
    <t>Ferrari, Gerson/0000-0003-3177-6576</t>
  </si>
  <si>
    <t>10.1038/s41598-023-33732-9</t>
  </si>
  <si>
    <t>WOS:000985908500012</t>
  </si>
  <si>
    <t>García-Muñoz, F; Alfaro, M; Fuertes, G; Vargas, M</t>
  </si>
  <si>
    <t>Garcia-Munoz, Fernando; Alfaro, Miguel; Fuertes, Guillermo; Vargas, Manuel</t>
  </si>
  <si>
    <t>DC Optimal Power Flow Model to Assess the Irradiance Effect on the Sizing and Profitability of the PV-Battery System</t>
  </si>
  <si>
    <t>The decreasing cost of renewable energy resources and the developments in storage system technologies over recent years have increased the penetration of photovoltaic systems to face the high rise in the electricity load. Likewise, there has also been an increase in the demand for tools that make this integration process in the current power systems profitable. This paper proposes a mathematical model based on the DC optimal power flow equations to find the optimal capacity of the PV panels and batteries for a standalone system or a system supported by the grid, while the investment and the energy required by the grid are minimized. In this regard, five different locations have been used as case studies to measure the influence of the irradiance level on the PV-Battery capacity installed and on the economic indicators such as CAPEX, OPEX, NPV, IRR, and the payback period. Thus, a modified 14-bus system has been used to replicate the grid technical limitations and show that a PV-Battery system connected to the grid could produce 26.9% more savings than a standalone PV-Battery and that a location with irradiance levels over 6.08 (kWh/m(2)/yr) could reduce the payback period for two years.</t>
  </si>
  <si>
    <t>vargas, manuel/AAG-4780-2020; García-Muñoz, Fernando/AAX-9963-2020; Fuertes, Guillermo/Q-2341-2016</t>
  </si>
  <si>
    <t>Fuertes, Guillermo/0000-0003-3044-5919; Vargas Guzman, Manuel Eduardo/0000-0003-4161-6621; Garcia-Munoz, Fernando/0000-0001-9376-4357</t>
  </si>
  <si>
    <t>10.3390/en15124408</t>
  </si>
  <si>
    <t>WOS:000816539800001</t>
  </si>
  <si>
    <t>de Moura, BF; da Mata, AMM; Martins, MF; Palma, FHS; Ramos, R</t>
  </si>
  <si>
    <t>de Moura, B. F.; da Mata, A. M. M.; Martins, M. F.; Palma, F. H. S.; Ramos, R.</t>
  </si>
  <si>
    <t>A novel methodology to measure the film thickness profile based on current stimulation for two-phase flow</t>
  </si>
  <si>
    <t>MEASUREMENT SCIENCE AND TECHNOLOGY</t>
  </si>
  <si>
    <t>The film thickness of a two-phase flow is a parameter of interest since it is of importance to the heat and mass transfer phenomena. A novel method is proposed based on electrical impedance tomography (EIT) and conductance sensors to measure this quantity. An analytical equation is developed to relate the differential voltage associated with a current injection on the domain and the angular film thickness profile. A characteristic of the measuring procedure is that it presents a high sensitivity when the thickness is small, with the possibility of adjustment using different magnitudes of current. This model is compared experimentally and by the complete electrode model (CEM), solved by finite elements method (FEM). Results presented a good agreement with the FEM simulations, and the experimental results presented systematic error caused by the fringe effect.</t>
  </si>
  <si>
    <t>Ferreia Martins, Marcio/0000-0002-3023-222X; de Moura, Bruno Furtado/0000-0003-1912-3732; Sepulveda Palma, Francisco Hernan/0000-0002-1930-3859; da Mata, Adriana/0000-0002-9076-456X; Ramos, Rogerio/0000-0003-4493-2435</t>
  </si>
  <si>
    <t>0957-0233</t>
  </si>
  <si>
    <t>1361-6501</t>
  </si>
  <si>
    <t>10.1088/1361-6501/ac2437</t>
  </si>
  <si>
    <t>WOS:000697840400001</t>
  </si>
  <si>
    <t>Ortega, E; Castillo, E; Cabrales, RC; Moraga, NO</t>
  </si>
  <si>
    <t>Ortega, E.; Castillo, E.; Cabrales, R. C.; Moraga, N. O.</t>
  </si>
  <si>
    <t>Effect of time integration scheme in the numerical approximation of thermally coupled problems: From first to third order</t>
  </si>
  <si>
    <t>The advantages of using high-order time integration schemes for thermally coupled flows are assessed numerically. First-, second-, and third-order backward difference schemes are evaluated. The problem is solved in a decoupled manner using a nested iterative algorithm for the Navier-Stokes and energy equations to eliminate decoupling errors. For the space discretization, a stabilized finite element formulation of the variational multiscale type is applied to enable the use of equal order interpolation between the problem unknowns and ensure stable solutions for convection-dominated cases. The integration schemes are compared by solving the flow over a confined square including mixed heat convection in two and three dimensions. Improved numerical approximation of dynamic solutions using high-order schemes is demonstrated in the Richardson number range of 0 &lt; |Ri | &lt; 10 up to a Reynolds number of Re = 225.</t>
  </si>
  <si>
    <t>; Castillo, Ernesto/D-1612-2015</t>
  </si>
  <si>
    <t>Cabrales, Roberto Carlos/0000-0003-4090-5413; Castillo, Ernesto/0000-0001-7013-6008; Ortega, Elias/0000-0002-8103-7870</t>
  </si>
  <si>
    <t>10.1016/j.camwa.2021.08.018</t>
  </si>
  <si>
    <t>WOS:000700062700005</t>
  </si>
  <si>
    <t>Students of Revolution: Youth, Protest, and Coalition Building in Somoza-Era Nicaragua</t>
  </si>
  <si>
    <t>BULLETIN OF LATIN AMERICAN RESEARCH</t>
  </si>
  <si>
    <t>0261-3050</t>
  </si>
  <si>
    <t>1470-9856</t>
  </si>
  <si>
    <t>10.1111/blar.13202</t>
  </si>
  <si>
    <t>WOS:000589896800017</t>
  </si>
  <si>
    <t>Alaniz, AJ; Núñez-Hidalgo, I; Carvajal, MA; Alvarenga, TM; Gómez-Cantillana, P; Vergara, PM</t>
  </si>
  <si>
    <t>Alaniz, Alberto J.; Nunez-Hidalgo, Ignacio; Carvajal, Mario A.; Alvarenga, Thiago M.; Gomez-Cantillana, Paulina; Vergara, Pablo M.</t>
  </si>
  <si>
    <t>Current and future spatial assessment of biological control as a mechanism to reduce economic losses and carbon emissions: the case of Solanum sisymbriifolium in Africa</t>
  </si>
  <si>
    <t>PEST MANAGEMENT SCIENCE</t>
  </si>
  <si>
    <t>BACKGROUND Solanum sisymbriifolium is a native plant of South America introduced into Africa, which has detrimental effects on crop yields, and on the environment due to weed control treatment by burning. In South America, S. sisymbriifolium is naturally controlled by the beetle Gratiana spadicea, making this a potential option for its control in Africa. Here, we aim to generate current and future scenarios for the introduction of G. spadicea as a biocontrol agent in Africa, analysing: (i) current and future effective biocontrol areas; (ii) potentially avoided economic losses (AEL), and chemical control costs and savings; and (iii) avoided carbon emissions (ACE) associated with the non-burning of crop fields. We combine species distribution models (SDM) with land cover maps to estimate current and future effective biocontrol considering Representative Concentration Pathways (RCP) 4.5 and 8.5 climate change scenarios. We then estimate AEL and ACE using biocontrol, and chemical control costs and savings. RESULTS The effective biocontrol area reached 392 405 km(2) in 18 countries, representing 40% of potentially affected croplands. Climate change induced a decrease in affected croplands and effective biocontrol. The estimated AEL reached US$45 447.2 +/- 5617.3 billion distributed across 16 countries, while the estimated chemical control costs and savings reached US$1988.5 billion and 1411.8 billion, respectively. Potential ACE reached 36.3 +/- 5.4 Tg. CONCLUSIONS Our study provides evidence for the potential benefits of biological controllers on economic losses and carbon emissions, which can be incorporated into sustainable development in low-income countries.</t>
  </si>
  <si>
    <t>Alvarenga, Thiago/HMP-2333-2023; Nuñez-Hidalgo, Ignacio/O-6585-2015; Vergara, Pablo/F-2519-2010; Alaniz, Alberto/J-3104-2019; Carvajal, Mario/GYU-2659-2022</t>
  </si>
  <si>
    <t>Nunez-Hidalgo, Ignacio/0000-0002-8337-2840; Vergara, Pablo/0000-0002-0024-1678; M. Alvarenga, Thiago/0000-0001-8768-8570; Alaniz, Alberto J./0000-0003-4878-8848</t>
  </si>
  <si>
    <t>1526-498X</t>
  </si>
  <si>
    <t>1526-4998</t>
  </si>
  <si>
    <t>10.1002/ps.5776</t>
  </si>
  <si>
    <t>FEB 2020</t>
  </si>
  <si>
    <t>WOS:000514207400001</t>
  </si>
  <si>
    <t>Guzmán, CF; Flores, EIS; Habraken, AM</t>
  </si>
  <si>
    <t>Felipe Guzman, Carlos; Saavedra Flores, Erick I.; Habraken, Anne Marie</t>
  </si>
  <si>
    <t>Damage characterization in a ferritic steel sheet: Experimental tests, parameter identification and numerical modeling</t>
  </si>
  <si>
    <t>The Gurson-Tvergaard-Needleman (GTN) model includes several parameters of different nature. Some of them have micromechanical roots while others are strictly phenomenological. Hence, a methodology should be developed in order to obtain a robust set of parameters with both numerical and physical meaning. The material parameters of the GTN model are found using an identification methodology based on experimental-numerical results. The method is applied on a DC01 ferritic steel sheet. An extended version of the Gurson model, incorporating plastic anisotropy, mixed isotropic-kinematic hardening, void nucleation, growth, coalescence and shear is used. Material parameters are obtained based on an inverse optimization and a sensitivity analysis on specimens with different geometries. The onset of coalescence, reflected as the loss of load carrying capacity in the force-displacement curve, is correctly predicted by the extended GTN model. The strain distribution, obtained by digital image correlation, is also correctly simulated. Nevertheless, the model does not to predict the increase of strain observed experimentally, because of the decoupling between hardening and the damage variable. In this respect, the article provides experimental evidence of the limitations of a GTN model based on a strain-controlled nucleation law with heuristic extensions of hardening. (C) 2018 Elsevier Ltd. All rights reserved.</t>
  </si>
  <si>
    <t>Flores, Erick/I-7646-2012; Guzman, Carlos Felipe/D-7722-2013</t>
  </si>
  <si>
    <t>Guzman, Carlos Felipe/0000-0002-5537-3854</t>
  </si>
  <si>
    <t>DEC 15</t>
  </si>
  <si>
    <t>10.1016/j.ijsolstr.2018.07.014</t>
  </si>
  <si>
    <t>WOS:000453114100009</t>
  </si>
  <si>
    <t>New Perspectives in Iron Chelation Therapy for the Treatment of Neurodegenerative Diseases</t>
  </si>
  <si>
    <t>PHARMACEUTICALS</t>
  </si>
  <si>
    <t>Iron chelation has been introduced as a new therapeutic concept for the treatment of neurodegenerative diseases with features of iron overload. At difference with iron chelators used in systemic diseases, effective chelators for the treatment of neurodegenerative diseases must cross the blood-brain barrier. Given the promissory but still inconclusive results obtained in clinical trials of iron chelation therapy, it is reasonable to postulate that new compounds with properties that extend beyond chelation should significantly improve these results. Desirable properties of a new generation of chelators include mitochondrial destination, the center of iron-reactive oxygen species interaction, and the ability to quench free radicals produced by the Fenton reaction. In addition, these chelators should have moderate iron binding affinity, sufficient to chelate excessive increments of the labile iron pool, estimated in the micromolar range, but not high enough to disrupt physiological iron homeostasis. Moreover, candidate chelators should have selectivity for the targeted neuronal type, to lessen unwanted secondary effects during long-term treatment. Here, on the basis of a number of clinical trials, we discuss critically the current situation of iron chelation therapy for the treatment of neurodegenerative diseases with an iron accumulation component. The list includes Parkinson's disease, Friedreich's ataxia, pantothenate kinase-associated neurodegeneration, Huntington disease and Alzheimer's disease. We also review the upsurge of new multifunctional iron chelators that in the future may replace the conventional types as therapeutic agents for the treatment of neurodegenerative diseases.</t>
  </si>
  <si>
    <t>Chana-Cuevas, Pedro/AAM-8215-2020; Nunez, Marco T./H-6348-2014</t>
  </si>
  <si>
    <t>Nunez, Marco T./0000-0002-1967-8570</t>
  </si>
  <si>
    <t>1424-8247</t>
  </si>
  <si>
    <t>10.3390/ph11040109</t>
  </si>
  <si>
    <t>WOS:000455626400020</t>
  </si>
  <si>
    <t>Theory of Nanoscale Organic Cavities: The Essential Role of Vibration-Photon Dressed States</t>
  </si>
  <si>
    <t>ACS PHOTONICS</t>
  </si>
  <si>
    <t>The interaction of organic molecules and molecular aggregates with electromagnetic fields that are strongly confined in nanoscale optical cavities has allowed the observation of exotic quantum regimes of light matter interaction at room temperature, for a wide variety of cavity materials and geometries. Understanding the universal features of such organic cavities represents a significant challenge for theoretical modeling, as experiments show that these systems are characterized by an intricate competition between coherent and dissipative processes involving entangled nuclear, electronic and photonic degrees of freedom. In this review, we discuss a new theoretical framework that can successfully describe organic cavities under strong light-matter coupling. The theory combines standard concepts in chemical physics and quantum optics to provide a microscopic description of vibronic organic polaritons that is fully consistent with available experiments, and yet is profoundly different from the common view of organic polaritons. We show that by introducing a new class of vibronic polariton wave functions with a photonic component that is dressed by intramolecular vibrations, the new theory can offer a consistent solution to some of the long-standing puzzles in the interpretation of organic cavity photoluminescence. Throughout this review, we confront the predictions of the model with spectroscopic observations, and describe the conditions under which the theory reduces to previous approaches. We finally discuss possible extensions of the theory to account for realistic complexities of organic cavities such spatial inhomogeneities and the multimode nature of confined electromagnetic fields.</t>
  </si>
  <si>
    <t>Spano, Frank/0000-0003-3044-6727</t>
  </si>
  <si>
    <t>2330-4022</t>
  </si>
  <si>
    <t>10.1021/acsphotonics.7b00728</t>
  </si>
  <si>
    <t>WOS:000423140300006</t>
  </si>
  <si>
    <t>Uriarte, M; Rojas, F; Díaz, M; Mirzaeva, G; Droguett, G</t>
  </si>
  <si>
    <t>Uriarte, Matias; Rojas, Felix; Diaz, Matias; Mirzaeva, Galina; Droguett, Gabriel</t>
  </si>
  <si>
    <t>An Overmodulation Algorithm based on SVM for Power Quality Applications</t>
  </si>
  <si>
    <t>This paper proposes a new overmodulation algorithm based on SVM in which the overmodulation region is avoided to reduce harmonic distortion and do not incorporate additional unexpected harmonics. Thereby, when the reference signal exceeds the modulation zone, then the algorithm reduces the fundamental signal component and maintains the magnitude of the reference harmonic components, preventing the reference signal scape from the modulation limits. The algorithm is validated by the simulation of a three-phase voltage source converter operating as a shunt active filter in a three-wire network with a highly inductive and non-linear load.</t>
  </si>
  <si>
    <t>Rojas, Felix/0000-0001-6145-2826; Droguett, Gabriel/0000-0003-4858-0369; Diaz, Matias/0000-0003-4489-9532; Mirzaeva, Galina/0000-0002-1351-1649</t>
  </si>
  <si>
    <t>WOS:000458417600054</t>
  </si>
  <si>
    <t>Barbe, J; Espinoza, L; Gellert, U</t>
  </si>
  <si>
    <t>Barbe, Joaquim; Espinoza, Lorena; Gellert, Uwe</t>
  </si>
  <si>
    <t>The mathematical impoverishment of recommendations for teaching in official physics textbooks at high-school level</t>
  </si>
  <si>
    <t>ENSENANZA DE LAS CIENCIAS</t>
  </si>
  <si>
    <t>This article presents an analysis of physics textbooks for 7(th)-grade primary school and 2(nd)-grade high-school students (aged 11 to 15 years) in Chile. The didactical structuring of the teaching units displayed in the textbooks is analyzed with aim of identifying curricular features that hinder the students' transition from primary school (grades 1 to 8) to high-school (grades 1 to 4) and that obstruct the expected learning achievements declared in the study programs. The research is embedded in the theoretical framework of Anthropological Theory of Didactics (Chevallard 1999), particularly important is its concept of &lt;&lt; praxeology &gt;&gt;. Based on the result of the analysis, the article establishes a didactical phenomenon to be named &lt;&lt; the demathematisation of recommendations for the teaching of high-school physics &gt;&gt; in Chile. We believe that this is not an isolated event in Chile and a more common didactical phenomenon, as already mentioned by Chevallard (2013).</t>
  </si>
  <si>
    <t>espinoza, lorena/I-2215-2015; Barbe, Joaquim/Q-5419-2017</t>
  </si>
  <si>
    <t>Barbe, Joaquim/0000-0002-7260-5178</t>
  </si>
  <si>
    <t>0212-4521</t>
  </si>
  <si>
    <t>2174-6486</t>
  </si>
  <si>
    <t>10.5565/rev/ensciencias.1730</t>
  </si>
  <si>
    <t>WOS:000396501800004</t>
  </si>
  <si>
    <t>Figueroa, JA; Teillier, S; Guerrero-Leiva, N; Ray-Bobadilla, C; Rivano, S; Saavedra, D; Castro, SA</t>
  </si>
  <si>
    <t>Figueroa, Javier A.; Teillier, Sebastian; Guerrero-Leiva, Nicole; Ray-Bobadilla, Cristian; Rivano, Simone; Saavedra, Diego; Castro, Sergio A.</t>
  </si>
  <si>
    <t>Vascular flora in public spaces of Santiago, Chile</t>
  </si>
  <si>
    <t>GAYANA BOTANICA</t>
  </si>
  <si>
    <t>After an extensive two-year long research effort, the results document the diversity of vascular plants that grow in the public spaces of Santiago, Chile. We analyze the taxonomic composition, life-forms and phytogeographic origin of the vascular flora of Santiago and, finally, we compare the results with those of urban areas in the Northern Hemisphere. We identified 508 species, 100 families, and 338 genera. The families that showed the greatest richness were Asteraceae and Poaceae. We found that at least 85.1% of the species are exotic. The life-forms are similarly represented, although chamaephytes and geophytes are poorly represented. We conclude that the composition of the urban flora of Santiago differs from that of most Northern Hemisphere cities, due to the increased presence of exotic species, which is likely a consequence of the historical and cultural patterns of ornamentation. Therefore it is likely that this urban area would be an adverse environment for the establishment and development of native species.</t>
  </si>
  <si>
    <t>Figueroa, Javier/I-3451-2019; Saavedra, Diego/IST-8137-2023</t>
  </si>
  <si>
    <t>0717-6643</t>
  </si>
  <si>
    <t>10.4067/S0717-66432016000100011</t>
  </si>
  <si>
    <t>WOS:000383443500011</t>
  </si>
  <si>
    <t>Ureta-Zañartu, MS; González, T; Fernández, F; Báez, D; Berríos, C; Gutiérrez, C</t>
  </si>
  <si>
    <t>Soledad Ureta-Zanartu, Maria; Gonzalez, Thais; Fernandez, Francisco; Baez, Daniela; Berrios, Cristhian; Gutierrez, Claudio</t>
  </si>
  <si>
    <t>Electro-Oxidation of Benzyl and Aliphatic Alcohols on polyNiTSPc- and Ni(OH)2-Modified Glassy-Carbon and Gold Electrodes</t>
  </si>
  <si>
    <t>The electrooxidation in a pH 11 carbonate/hydrogen carbonate buffer electrolyte of benzyl alcohol (BA) and several primary and secondary aliphatic alcohols on polyNiTSPc- and Ni(OH)(2)-modified glassy-carbon (GC) and gold electrodes was studied by cyclic voltammetry (CV) and with an electrochemical quartz crystal microbalance (EQCM). The films were formed by repetitive cyclic voltammetry in Ni(II)tetrasulphophthalocyanine (NiTSPc) and nickel(II) nitrate solutions, respectively. Although previous XPS results indicated a very similar environment for the Ni(II) ion in polyNiTSPc and Ni(OH)(2) electrodeposited films, their electrochemical behaviour is different, which is probably associated with the hydrophobic-hydrophilic character of the film. The aliphatic alcohols are oxidized on both polyNiTSPc/GC and Ni(OH)(2)/GC, whereas BA is oxidized only on the former. Probably the high hydration of Ni(OH)(2) prevents the expulsion of water from the interface required for the oxidation of BA. On polyNiTSPc/Au/Q the oxidation of BA takes place exclusively, and with high efficiency, on the Au substrate. We attribute this lack of activity of Ni(III) in polyNiTSPc/Au/Q to the high activity of the gold substrate, which depletes the concentration of BA to such an extent as to preclude its reaction with Ni(III). The oxidation of primary and secondary aliphatic alcohols on polyNiTSPc/Au/Q also occurs at the gold surface only, although the current is higher in the presence of the film.</t>
  </si>
  <si>
    <t>Ureta-Zañartu, Maria/G-5239-2019; Fernandez, Francisco/K-5532-2014</t>
  </si>
  <si>
    <t>WOS:000309206900076</t>
  </si>
  <si>
    <t>Andrade, RD; Skurtys, O; Osorio, FA</t>
  </si>
  <si>
    <t>Andrade, Ricardo D.; Skurtys, Olivier; Osorio, Fernando A.</t>
  </si>
  <si>
    <t>Atomizing Spray Systems for Application of Edible Coatings</t>
  </si>
  <si>
    <t>COMPREHENSIVE REVIEWS IN FOOD SCIENCE AND FOOD SAFETY</t>
  </si>
  <si>
    <t>The use of edible coatings on fresh and processed food products as a means of extending shelf life by preventing or delaying spoilage, providing a partial barrier to moisture, oxygen, and carbon dioxide, improving the mechanical handling properties, and even as carriers of many functional ingredients, is rapidly growing. Edible coatings can be applied by different methods such as panning, fluidized bed, dipping, and spraying. This review presents and discusses some aspects of the application of edible coatings on food products using spraying, which is the most commonly used technique for applying food coatings and to obtain uniform layers.</t>
  </si>
  <si>
    <t>osorio, fernando/0000-0001-7206-0924; Andrade-Pizarro, Ricardo/0000-0002-1673-0361; skurtys, olivier/0000-0003-1432-7242</t>
  </si>
  <si>
    <t>1541-4337</t>
  </si>
  <si>
    <t>10.1111/j.1541-4337.2012.00186.x</t>
  </si>
  <si>
    <t>WOS:000302539100003</t>
  </si>
  <si>
    <t>Jara, DH; Lemus, L; Farías, L; Freire, E; Baggio, R; Guerrero, J</t>
  </si>
  <si>
    <t>Jara, Danilo H.; Lemus, Luis; Farias, Liliana; Freire, Eleonora; Baggio, Ricardo; Guerrero, Juan</t>
  </si>
  <si>
    <t>Spectroscopic Evidence in Solid and Solution of a Discrete Copper(I) Tetrahedral Complex Dimer Supported by Supramolecular Interactions</t>
  </si>
  <si>
    <t>EUROPEAN JOURNAL OF INORGANIC CHEMISTRY</t>
  </si>
  <si>
    <t>The first study of the self-association of a copper(I) tetrahedral complex ([Cu(N-{4-nitrophenyl}pyridine-2-yl-methanimine)(PPh3)Br]) has been performed. The formation of a discrete dimer supported by supramolecular pi-pi stacking and C-H center dot Br interactions was established by X-ray diffraction techniques. 1D- and 2D NMR techniques were used for the structural characterization of this compound in solution. Unexpected 1H1H NOE effects are coherent with the presence of a dimer in solution, whose structure replicates that found in the crystal. Dimerization constants obtained by VT-1H NMR spectroscopy allowed the determination ofthe thermodynamic parameters for the self-association process, namely Delta S = 0.67 +/- 0.21 cal?mol1?K1, Delta H = 2.00 +/- 0.05 kcal mol1 and Delta G(298 K) = 1.79 kcal mol(1). Consequently, this association process is enthalpy driven.</t>
  </si>
  <si>
    <t>Jara, Danilo/A-6090-2017</t>
  </si>
  <si>
    <t>Jara Quinteros, Danilo/0000-0001-9752-4465; LEMUS, LUIS/0000-0002-5499-8115; Freire Espeleta, Eleonora/0000-0002-6026-8696</t>
  </si>
  <si>
    <t>1434-1948</t>
  </si>
  <si>
    <t>10.1002/ejic.201101356</t>
  </si>
  <si>
    <t>WOS:000301986600002</t>
  </si>
  <si>
    <t>Sepulveda, W; Wong, AE; Sepulveda, S; Corral, E</t>
  </si>
  <si>
    <t>Sepulveda, Waldo; Wong, Amy E.; Sepulveda, Sergio; Corral, Edgardo</t>
  </si>
  <si>
    <t>Fetal Scalp Cyst or Small Meningocele: Differential Diagnosis with Three-Dimensional Ultrasound</t>
  </si>
  <si>
    <t>FETAL DIAGNOSIS AND THERAPY</t>
  </si>
  <si>
    <t>Background: Prenatal differential diagnosis of fetal scalp cystic masses is challenging and mainly includes small meningoceles and epidermal cysts. Case: A second-trimester anatomy scan revealed an extracranial cystic mass measuring 17 x 12 x 10 mm in the fetal occipital region. Three-dimensional datasets were obtained transabdominally and off-line analysis revealed a connection between the cyst and the subarachnoid space through a 5-mm skull defect. The diagnosis of a small meningocele was further confirmed by magnetic resonance imaging in the infant. Conclusion: Prenatal three-dimensional ultrasound can be a useful adjunct in the prenatal differentiation between small meningoceles and epidermal cysts. Copyright (C) 2011 S. Karger AG, Basel</t>
  </si>
  <si>
    <t>1015-3837</t>
  </si>
  <si>
    <t>10.1159/000322918</t>
  </si>
  <si>
    <t>WOS:000293592400012</t>
  </si>
  <si>
    <t>Naranjo, JA; Henríquez, F; Nyström, JO</t>
  </si>
  <si>
    <t>Naranjo, Jose A.; Henriquez, Fernando; Nystrom, Jan O.</t>
  </si>
  <si>
    <t>Subvolcanic contact metasomatism at El Laco Volcanic Complex, Central Andes</t>
  </si>
  <si>
    <t>ANDEAN GEOLOGY</t>
  </si>
  <si>
    <t>Studies of drill cores from the Pasos Blancos area at El Laco in the central Andes, northern Chile, give evidence of an intense and extensive subvolcanic contact-metasomatic process. This process resulted from shallow-level emplacement of very volatile-rich iron-oxide magma, with discharge of volatiles that resulted in extensive fracturing of overlying volcanic rocks. The brecciated rocks were altered (mainly extensive scapolitization and formation of pyroxene) by hot magmatic fluids emitted from the cooling intrusion, and accompanied by magnetite deposition. With time and decreasing temperature, the metasomatic fluids evolved to fluids of hydrothermal character, and a final recent geothermal event took place that deposited superficial gypsum over a large part of the El Laco Volcanic Complex.</t>
  </si>
  <si>
    <t>Henriquez, Fernando/0000-0002-8494-1435</t>
  </si>
  <si>
    <t>0718-7106</t>
  </si>
  <si>
    <t>10.4067/S0718-71062010000100005</t>
  </si>
  <si>
    <t>WOS:000274067300005</t>
  </si>
  <si>
    <t>Martin, I; Aspée, A; Torres, P; Lissi, E; López-Alarcón, C</t>
  </si>
  <si>
    <t>Martin, I.; Aspee, A.; Torres, P.; Lissi, E.; Lopez-Alarcon, C.</t>
  </si>
  <si>
    <t>Influence of the Target Molecule on the Oxygen Radical Absorbance Capacity Index: A Comparison Between Alizarin Red- and Fluorescein-Based Methodologies</t>
  </si>
  <si>
    <t>JOURNAL OF MEDICINAL FOOD</t>
  </si>
  <si>
    <t>A comparison of alizarin red (AR) and fluorescein (FL) as target molecules in oxygen radical absorbance capacity (ORAC)-like methods is reported. Galangin, apigenin, ferulic acid, and coumaric acid decreased AR initial consumption rate, whereas quercetin, kaempferol, luteolin, caffeic acid, and sinapic acid inhibited its consumption through an induction time, associated with a repair mechanism. On the other hand, all compounds protected FL with a clear induction time. AR was more selective and provides ORAC-AR values considerably smaller for compounds of low reactivity. The ORAC-AR value for luteolin was nearly 200 times that of coumaric acid. However, the ratio of ORAC-FL values for luteolin and coumaric acid was only 1.2. This different selectivity implies that AR provides ORAC values more related to reactivity than FL. ORAC-AR values of infusions were considerably smaller than the corresponding ORAC-FL values. These differences are interpreted in terms of the capacity of FL to generate induction times, irrespective of the reactivity of the additive. It is proposed that comparison of ORAC-AR and ORAC-FL values could afford a rough estimation of the average reactivity of the antioxidants titrated by the ORAC-FL methodology.</t>
  </si>
  <si>
    <t>1096-620X</t>
  </si>
  <si>
    <t>1557-7600</t>
  </si>
  <si>
    <t>10.1089/jmf.2009.0024</t>
  </si>
  <si>
    <t>WOS:000273180900031</t>
  </si>
  <si>
    <t>Vanegas, ME; Quijada, R; Serafini, D</t>
  </si>
  <si>
    <t>Vanegas, Ma. Eulalia; Quijada, Raul; Serafini, Daniel</t>
  </si>
  <si>
    <t>Microporous membranes prepared via thermally induced phase separation from metallocenic syndiotactic polypropylenes</t>
  </si>
  <si>
    <t>POLYMER</t>
  </si>
  <si>
    <t>Microporous membranes were prepared by thermally induced phase separation (TIPS) using different tailor-made syndiotactic polypropylenes (sPP) synthesized by metallocene catalysts. The phase diagrams of sPP samples in diphenyl ether (DPE) were determined. The polymer microstructure effect on the thermodynamic and kinetic properties of the sPP-DPE systems were also determined and correlated with membrane pore size. The crystal structure which developed in the matrix of the porous membranes was investigated by wide-angle X-ray diffraction (WXRD). The cloud points were found to be slightly affected by molecular weight (M-w) and the influence of syndiotacticy was negligible. The dynamic crystallization curves depended solely on the syndiotacticity of the samples, shifting to lower temperatures as the stereoregularity of the sPP decreased, and no relation with M-w was found. The viscosity of sPP-DPE solutions increased with M-w and stereoregularity of the sPP. Membrane pore sizes were correlated with droplet growth period, crystallization behaviour, and sample viscosity, the latter being an important parameter for low polymer solution concentration (15 wt%) but not so at higher concentration (40 wt%). The results showed that by controlling polymer microstructure it is possible to control membrane pore size. (C) 2009 Elsevier Ltd. All rights reserved.</t>
  </si>
  <si>
    <t>Serafini, Daniel/0000-0002-1764-5900; Vanegas, Maria Eulalia/0000-0003-1976-8346; QUIJADA, RAUL/0000-0003-0791-6954</t>
  </si>
  <si>
    <t>0032-3861</t>
  </si>
  <si>
    <t>1873-2291</t>
  </si>
  <si>
    <t>APR 24</t>
  </si>
  <si>
    <t>10.1016/j.polymer.2009.03.006</t>
  </si>
  <si>
    <t>WOS:000265433700012</t>
  </si>
  <si>
    <t>Guzmán, D; Ordoñez, S; Serafini, D; Rojas, P; Bustos, O</t>
  </si>
  <si>
    <t>Guzman, D.; Ordonez, S.; Serafini, D.; Rojas, P.; Bustos, O.</t>
  </si>
  <si>
    <t>Effect of the milling energy on the production and thermal stability of amorphous Mg50Ni50</t>
  </si>
  <si>
    <t>The effect of milling energy on the amorphisation process and subsequent thermal crystallization of Mg50Ni50 was investigated. The amorphous Mg50Ni50 was produced using a planetary mill (medium energy) with a ball to material weight ratio of 13:1, and a SPEX mill (high energy) with a ball to material weight ratio of 20:1. The results obtained by means of X-ray diffraction showed that it is possible to obtain an amorphous Mg50Ni50 alloy, through both milling processes, starting of Ni powders and Mg turnings. However, the amorphisation process requires more time in the planetary mill (80-90 h) than in the SPEX mill (15-20 h), due to the difference in energy level and milling mechanism between these mills. The phase evolution during the amorphisation process is practically independent of the mill energy. In this way, it was observed that the mill conditions promoted an extensive refinement of the microstructure during the first hours of milling. The defects produced during this time led to the amorphisation of part of the system. This amorphous precursor suffers a mechanically induced crystallization into Mg2Ni, which is subsequently destabilized into amorphous Mg50Ni50. Based on the results obtained, it is proposed that the formation of amorphous precursor during mechanical milling of Mg and Ni is a characteristic of the Mg-Ni system, over a wide composition range, rather than of a particular composition. In relation to the thermal crystallization of the amorphous produced, the results of the differential thermal analysis applied to the amorphous samples showed that the formation enthalpy for both amorphous is the same, however, the amorphous produced in a planetary mill presented higher crystallization temperatures and apparent activation energies than the amorphous produced in a SPEX mill. The last behavior would be related with iron contamination coming from the erosion of the milling media. Finally, it is possible to conclude, that under the experimental condition employed, the amorphous phases produced in a planetary and SPEX mill, are structurally and energetically similar. (c) 2008 Elsevier B.V. All rights reserved.</t>
  </si>
  <si>
    <t>Rojas, Paula/AFS-1987-2022</t>
  </si>
  <si>
    <t>Rojas, Paula/0000-0002-2529-993X; Guzman Mendez, Danny/0000-0002-8020-9247; Serafini, Daniel/0000-0002-1764-5900</t>
  </si>
  <si>
    <t>10.1016/j.jallcom.2008.03.130</t>
  </si>
  <si>
    <t>WOS:000265086300096</t>
  </si>
  <si>
    <t>Vera-Villarroel, P; Sánchez, AI; Buela-Casal, G</t>
  </si>
  <si>
    <t>Vera-Villarroel, Pablo; Sanchez, Ana I.; Buela-Casal, Gualberto</t>
  </si>
  <si>
    <t>Sleep and immune system:: differences in immunological variables in subjects with apnea and controls</t>
  </si>
  <si>
    <t>REVISTA ECUATORIANA DE NEUROLOGIA</t>
  </si>
  <si>
    <t>Recently, interest for studying the relationship between sleep and immunological system has increased. The Obstructive Sleep Apnea Syndrome (OSAS) is a disorder characterized by repetitive episodes of respiratory cessation that occur during sleep. Recent studies have suggested the need to study the relation between OSAS and immune system. The objective of this study was to analyze the differences between subjects with OSAS and healthy ones in their immunological system. The sample was composed of thirteen patients with OSAS selected from a medical centre and sixteen healthy subjects. An index apnea/hypopnea (IAH) &gt;= to 10 confirmed the OSAS diagnosis. In order to establish a diagnosis of OSAS a cardio-respiratory polygraph was applied during all the sleep hours to each patient. The results revealed significant differences in leukocytes (P&lt; 0.01), and lymphocytes (P &lt; 0.01) between subjects with OSAS and those healthy. No significant differences were found between groups in monolithic.</t>
  </si>
  <si>
    <t>Sanchez, Ana/K-8732-2014; Vera-Villarroel, Pablo/A-1134-2011</t>
  </si>
  <si>
    <t>1019-8113</t>
  </si>
  <si>
    <t>WOS:000256248400004</t>
  </si>
  <si>
    <t>Yates, M; Martin, JC; Avila, P; Gil-Llambias, FJ</t>
  </si>
  <si>
    <t>Llewellyn, PL; Rodriquez Reinoso, F; Rouqerol, J; Seaton, N</t>
  </si>
  <si>
    <t>Yates, M.; Martin, J. C.; Avila, P.; Gil-Llambias, F. J.</t>
  </si>
  <si>
    <t>Influence of the Bentonite/Titania ratio on the textural characteristics of incorporated ceramics for photocatalytic destruction of volatile organic compounds</t>
  </si>
  <si>
    <t>CHARACTERIZATION OF POROUS SOLIDS VII - PROCEEDINGS OF THE 7TH INTERNATIONAL SYMPOSIUM ON THE CHARACTERIZATION OF POROUS SOLIDS (COPS-VII), AIX-EN-PROVENCE, FRANCE, 26-28 MAY 2005</t>
  </si>
  <si>
    <t>Studies in Surface Science and Catalysis</t>
  </si>
  <si>
    <t>7th International Symposium on the Characterisation of Porous Solids</t>
  </si>
  <si>
    <t>MAY 25-28, 2005</t>
  </si>
  <si>
    <t>Aix en Provence, FRANCE</t>
  </si>
  <si>
    <t>Univ Provence</t>
  </si>
  <si>
    <t>Titania in its anatase form has been shown to have a high photocatalytic activity for the degradation of volatile organic compounds at low temperature. This property is especially important when these compounds contain chlorine where catalytic oxidation or conventional combustion at higher temperatures can lead to the formation of highly toxic dioxins and furans. In systems with large volumes of gas to be treated the conformation of titania as open channelled monoliths, extrudates or sheets can ease the handling characteristics and improve the abrasion resistance. However, it is practically impossible to extrude titania without the inclusion of agglomerating agents. In this study bentonite, a natural silicate, was chosen as the agglomerating agent in order to conform the incorporated type ceramic bodies. A series of titania/bentonite materials ranging from 0 to 80% titania by weight were prepared. The inclusion of bentonite was found to increase the total specific surface area, abrasion resistance and mechanical strength of the monoliths, although causing a reduction in the total pore volume. The relationship between the surface coverage and the composition was determined by measuring the zero point charge as photocatalytic activity is a surface phenomenon since the photons can only penetrate the first 2 mu m.</t>
  </si>
  <si>
    <t>Avila, Pedro/S-7588-2017; Yates, Malcolm/H-5152-2015</t>
  </si>
  <si>
    <t>Avila, Pedro/0000-0002-0212-941X; Yates, Malcolm/0000-0001-5128-1218</t>
  </si>
  <si>
    <t>0167-2991</t>
  </si>
  <si>
    <t>978-0-444-52022-7</t>
  </si>
  <si>
    <t>WOS:000283583800030</t>
  </si>
  <si>
    <t>Roginsky, V; Lissi, EA</t>
  </si>
  <si>
    <t>Review of methods to determine chain-breaking antioxidant activity in food</t>
  </si>
  <si>
    <t>The beneficial influence of many foodstuffs and beverages including fruits, vegetables, tea, red wine, coffee, and cacao on human health has been recently recognized to originate from the chain-breaking antioxidant activity (AOA) of natural polyphenols, a significant constituent of the above products. For this reason, the dietary value of such products is determined to a large extent by their AOA. The latter stimulated the development of effective and reliable methods for determining AOA. Although the kinetic approach provides the basis of the majority of these methods, only a few of them have been analyzed from the viewpoint of chemical kinetics. This review is intended to close down this gap, at least partly. The most popular methods for determining chain-breaking AOA of food are considered with the aim to estimate their reliability and limitations. The main requirements imposed on these methods have been suggested. The main attention has been paid to the repeatability of the data obtained. Along with the methods that are currently popular among researchers working in food chemistry and biomedical sciences, perspectives of the application of the methods used to studying industrial antioxidants have also been considered. The review consists of two main sections. In the first general section, definitions of the main parameters used to characterize AOA are given and the kinetic basis of the methods applied is considered in some detail. The second section is devoted to particular methods including some technical details. In conclusion the data on AOA obtained by various methods are correlated with each other. (c) 2004 Elsevier Ltd. All rights reserved.</t>
  </si>
  <si>
    <t>10.1016/j.foodchem.2004.08.004</t>
  </si>
  <si>
    <t>WOS:000228422700006</t>
  </si>
  <si>
    <t>Peña, O; Bodenez, V; Guizouarn, T; Meza, E; Gautier, JL</t>
  </si>
  <si>
    <t>Influence of the cation substitution on the magnetic properties of LiCo2O4 and Li(Me,Co)2O4 spinels</t>
  </si>
  <si>
    <t>BOLETIN DE LA SOCIEDAD ESPANOLA DE CERAMICA Y VIDRIO</t>
  </si>
  <si>
    <t>Lithium-based cells LiCo2O4 have been characterized by magnetic techniques, looking at the influence of the partial substitution of cobalt by 3d or 4d transition metal elements (Fe, Ni, Cu, Cr, Mo). The non-substituted compound LiCo2O4 behaves as an antiferromagnet, with a Neel temperature T-N of 30 K, although antiferromagnetic interactions are much more important, as suggested by a Weiss parameter Theta of the order of -225 K. In the solid solution Li(NixCo2-x)O-4 the Weiss parameter Theta changes with x(Ni), reaching large positive values (e.g., Theta similar to +230 K, for x = 0.5). This phenomenon suggests the existence of a canted-antiferromagnetic or ferrimagnetic structures with large ferromagnetic components. Substitution of cobalt by other 3d or 4d transition metals in the LiMe0.5Co1.5O4 series shows dramatic effects with respect to the non-substituted LiCo2O4 compound: copper completely suppresses the magnetic order, while iron increases T-N to almost room temperature. No modifications are observed when molybdenum substitutes cobalt, while chromium transforms the AF order in a ferromagnetic one, with T-c of about 90 K.</t>
  </si>
  <si>
    <t>bodenez, vincent/C-1139-2008</t>
  </si>
  <si>
    <t>0366-3175</t>
  </si>
  <si>
    <t>10.3989/cyv.2004.v43.i4.420</t>
  </si>
  <si>
    <t>WOS:000223052500003</t>
  </si>
  <si>
    <t>Guarda, A; Rosell, CM; Benedito, C; Galotto, MJ</t>
  </si>
  <si>
    <t>Different hydrocolloids as bread improvers and antistaling agents</t>
  </si>
  <si>
    <t>Supplementation of several hydrocolloids with different chemical structure and from diverse origin to the breadmaking process is presented, The effect of hydrocolloids (sodium alginate, xanthan, kappa-carrageenan and hydroxypropylmethycellulose) on fresh bread quality and its influence on bread staling were studied. Physical properties (moisture, hardness, volume) and sensory properties of fresh bread and after storage of 24 It were analysed. Hydrocolloids affected in different extent to the fresh bread quality, and concentrations of 0.1% (w/w, flour basis) were sufficient for obtaining the observed effects. Although different improvements were observed associated to specific hydrocolloid, HPMC was the hydrocolloid with an improvement effect on all the parameters tested, specific volume index, width/height ratio, and crumb hardness; in addition good sensory properties for visual appearance, aroma, flavour, crunchiness and overall acceptability was obtained. All hydrocolloids were also able to reduce the loss of moisture content during bread storage, reducing the dehydration rate of crumb. In addition, during storage, alginate and HPMC showed an anti-staling effect, retarding the crumb hardening. (C) 2003 Elsevier Ltd. All rights reserved.</t>
  </si>
  <si>
    <t>Rosell, Cristina M/F-4888-2010</t>
  </si>
  <si>
    <t>Rosell, Cristina M/0000-0001-7197-5874</t>
  </si>
  <si>
    <t>10.1016/S0268-005X(03)00080-8</t>
  </si>
  <si>
    <t>WOS:000188883300007</t>
  </si>
  <si>
    <t>Sanhueza, PA; Reed, GD; Davis, WT; Miller, TL</t>
  </si>
  <si>
    <t>An environmental decision-making tool for evaluating ground-level ozone-related health effects</t>
  </si>
  <si>
    <t>A computer model called the Ozone Risk Assessment Model (ORAM) was developed to evaluate the health effects caused by ground-level ozone (O-3) exposure. ORAM was coupled with the U.S. Environmental Protection Agency's (EPA) Third-Generation Community Multiscale Air Quality model (Models-3/CMAQ), the state-of-the-art air quality model that predicts O-3 concentration and allows the examination of various scenarios in which emission rates of O-3 precursors (basically, oxides of nitrogen [NOx] and volatile organic compounds) are varied. The principal analyses in ORAM are exposure model performance evaluation, health-effects calculations (expected number of respiratory hospital admissions), economic valuation, and sensitivity and uncertainty analysis through a Monte Carlo simulation. As a demonstration of the system, ORAM was applied to the eastern Tennessee region, and the entire O-3 season was simulated for a base case (typical emissions) and three different emission scenarios. The results indicated that a synergism occurs when reductions in NOx emissions from mobile and point sources were applied simultaneously. A 12.9% reduction in asthma hospital admissions is expected when both mobile and point source NOx emissions are reduced (50 and 70%, respectively) versus a 5.8% reduction caused by mobile source and a 3.5% reduction caused by point sources when these emission sources are reduced individually.</t>
  </si>
  <si>
    <t>10.1080/10473289.2003.10466324</t>
  </si>
  <si>
    <t>WOS:000187112200003</t>
  </si>
  <si>
    <t>Torres, R; Urbina, F; Morales, C; Modak, B; Delle Monache, F</t>
  </si>
  <si>
    <t>Antioxidant properties of lignans and ferulic acid from the resinous exudate of Larrea nitida</t>
  </si>
  <si>
    <t>From the resinous exudate of twigs end leaves of Larrea nitida, two lignans nor isoguaiacine 1 and meso-nor-dihydroguaiaretic acid 2 and ferulic acid 3 were isolated. The antioxidant activities of resin and pure compounds were assesed by bleaching of the ABTS derived radical-cation.</t>
  </si>
  <si>
    <t>WOS:000185071000012</t>
  </si>
  <si>
    <t>Romero, J; Rios, GM; Sanchez, J; Bocquet, S; Savedra, A</t>
  </si>
  <si>
    <t>Modeling heat and mass transfer in osmotic evaporation process</t>
  </si>
  <si>
    <t>AICHE JOURNAL</t>
  </si>
  <si>
    <t>A model for the mass- and heat-transfer phenomena in an osmotic evaporation process was developed based on the transfer of solvent from one aqueous solution to be concentrated to a second one separated by a macroporous hydrophobic membrane. The transfer is realized in vapor phase through the membrane porosity as a consequence of the gradient on water activity between both solutions. This technique has the major advantage to work at relatively low temperature and in nearly isothermal conditions, which is very useful to treat thermosensitive products such as fruits and vegetable juices, or other solutions from biotech industries. A series-resistance model for mass and heat transfer was developed considering four regions, which include the membrane layers and different boundary regions at interfaces. The high values of flow measured in a previous experimental work are compared with those obtained by simulation. In addition, the relative importance of various resistances to overall process performance is established. Basic mechanisms that help optimize membrane structural characteristics, plant design and scale-up are also discussed.</t>
  </si>
  <si>
    <t>Sanchez-Marcano, Jose/0000-0003-1783-2092; Romero, Julio/0000-0002-1229-1592</t>
  </si>
  <si>
    <t>0001-1541</t>
  </si>
  <si>
    <t>10.1002/aic.690490203</t>
  </si>
  <si>
    <t>WOS:000180958100002</t>
  </si>
  <si>
    <t>Nerey, MD; Pichuantes, SE; Saavedra, CP; Araya, MA; Tantaleán, JC; Vásquez, CC</t>
  </si>
  <si>
    <t>Expression of Bacillus stearothermophilus LV cadmium resistance genes in Escherichia coli causes hypersensitivity to cadmium chloride</t>
  </si>
  <si>
    <t>Determination of the nucleotide sequence of a 4.5-kb chromosomal DNA fragment of Bacillus stearothermophilus LV revealed two open reading frames (ORFs) of 121 and 727 amino acids (aa) that exhibit a high degree of similarity with the cadC and cadA cadmium resistance genes of a number of microorganisms. Transfer and expression of the B. stearothermophilus LV cadA or cadClcadA genes in E. coli caused increased cadmium chloride susceptibility in the bacterial host. Transfer of cadC alone did not result in any detectable phenotypic change in E. coli.</t>
  </si>
  <si>
    <t>TANTALEAN, JUAN/0000-0002-9541-7102</t>
  </si>
  <si>
    <t>10.1007/s00284-001-0114-5</t>
  </si>
  <si>
    <t>WOS:000176960000007</t>
  </si>
  <si>
    <t>Quezada, A; Mallol, J; Moreno, J; Rodriguez, J</t>
  </si>
  <si>
    <t>Effect of different inhaled bronchodilators on recovery from methacholine-induced bronchoconstriction in asthmatic children</t>
  </si>
  <si>
    <t>PEDIATRIC PULMONOLOGY</t>
  </si>
  <si>
    <t>Two hundred fourteen children with mild to moderate asthma were studied to determine bronchodilator effects 5 min after administration of five different metered dose inhaler (MDI) aerosol formulations available in our country, and results were compared to placebo. Methacholine bronchial challenge was performed by the tidal breathing method, using increasing concentrations until a fall in forced expired volume in 1 s (FEV1) greater than or equal to 20% was achieved (PC20). Immediately after FEV1 had fallen 20% or more, children were randomly allocated into 1 of 6 groups to receive: salbutamol 200 mu g (S), fenoterol 200 mu g (F), salbutamol 200 mu g + beclomethasone 100 mu g (S + B), fenoterol 200 mu g + ipratropium bromide 80 mu g (F + IB), salmeterol 50 mu g (SM), and placebo (P). The bronchodilator effect was determined by measuring FEV1 5 min after inhalation of medications. Nonparametric tests were used for statistical analysis. The six groups were similar in anthropometric and in respiratory characteristics. All five inhaled aerosols containing beta-agonists caused a significant bronchodilator effect as compared to placebo. However, the effect was significantly greater in the groups treated with F or F + IB (P &lt; 0.05) compared to other formulations. We conclude that the five types of aerosols used in this study are able to reverse methacholine-induced bronchoconstriction 5 min after inhalation of a bronchodilator. Pediatr Pulmonol, 1999; 28:125-129. (C) 1999 Wiley-Liss, Inc.</t>
  </si>
  <si>
    <t>Moreno Escobar, Jesus Jaime/Y-1886-2019</t>
  </si>
  <si>
    <t>Moreno Escobar, Jesus Jaime/0000-0003-4032-0511; Mallol, Javier/0000-0003-2528-8672</t>
  </si>
  <si>
    <t>8755-6863</t>
  </si>
  <si>
    <t>10.1002/(SICI)1099-0496(199908)28:2&lt;125::AID-PPUL8&gt;3.0.CO;2-Y</t>
  </si>
  <si>
    <t>WOS:000081699100008</t>
  </si>
  <si>
    <t>Llesuy, S; Travacio, M; Evelson, P; Lissi, E</t>
  </si>
  <si>
    <t>Kinetic analysis and double quenching experiments as tools to elucidate the action mechanism of antioxidants (vol 43, pg 329, 1998)</t>
  </si>
  <si>
    <t>WOS:000078428600018</t>
  </si>
  <si>
    <t>Jorquera, H; Perez, R; Cipriano, A; Espejo, A; Letelier, MV; Acuna, G</t>
  </si>
  <si>
    <t>Forecasting ozone daily maximum levels at Santiago, Chile</t>
  </si>
  <si>
    <t>ATMOSPHERIC ENVIRONMENT</t>
  </si>
  <si>
    <t>In major urban areas, air pollution impact on health is serious enough to include it in the group of meteorological variables that are forecast daily. This work focusses on the comparison of different forecasting systems for daily maximum ozone levels at Santiago, Chile. The modelling tools used for these systems were linear time series, artificial neural networks and fuzzy models. The structure of the forecasting model was derived from basic principles and it includes a combination of persistence and daily maximum air temperature as input variables. Assessment of the models is based on two indices: their ability to forecast well an episode, and their tendency to forecast an episode that did not occur at the end (a false positive). All the models tried in this work showed good forecasting performance, with 70-95% of successful forecasts at two monitor sites: Downtown (moderate impacts) and Eastern (downwind, highest impacts). The number of false positives was not negligible, but this may be improved by expressing the forecast in broad classes:low, average, high, very high impacts; the fuzzy model was the most reliable forecast, with the lowest number of false positives among the different models evaluated. The quality of the results and the dynamics of ozone formation suggest the use of a forecast to warn people about excessive exposure during episodic days at Santiago. (C) 1998 Elsevier Science Ltd. All rights reserved.</t>
  </si>
  <si>
    <t>Cipriano, Aldo/F-8282-2013; Perez-Correa, Jose/I-5565-2012; Jorquera, Hector/B-8645-2014</t>
  </si>
  <si>
    <t>Perez-Correa, Jose/0000-0002-1278-7782; Jorquera, Hector/0000-0002-7462-7901</t>
  </si>
  <si>
    <t>1352-2310</t>
  </si>
  <si>
    <t>10.1016/S1352-2310(98)00035-1</t>
  </si>
  <si>
    <t>WOS:000076086300005</t>
  </si>
  <si>
    <t>ZUNIGA, GE; COPAJA, SV; BRAVO, HR; ARGANDONA, VH</t>
  </si>
  <si>
    <t>HYDROXAMIC ACIDS ACCUMULATION BY WHEAT CALLUS</t>
  </si>
  <si>
    <t>Hydroxyamic acids were quantified by HPLC in leaves of one-week-old seedlings and in 30 day-old callus tissues of four wheat cultivars. Leaves accumulated preferentially 2,4-dihydroxy-7-methoxy-1,4-benzoxazin-3-one (DIMBOA). 2,4-Dihydroxy-1,4 (DIBOA) was detected only in cv SNA-3. By contrast, callus tissues accumulated both compounds and in cv Millaleu the only compound detected was DIBOA. The amount of hydroxyamic acids in 30-day-old callus tissues was higher than in seven-day-old leaves in all cultivars. In addition, as cv SNA-3 callus aged the concentration of DIBOA decreased, and DIMBOA concentration increased. The results suggest that DIMBOA originates from DIBOA.</t>
  </si>
  <si>
    <t>10.1016/0031-9422(90)83023-T</t>
  </si>
  <si>
    <t>WOS:A1990DH35500021</t>
  </si>
  <si>
    <t>ESCUDEY, M; GALINDO, G; ERVIN, J</t>
  </si>
  <si>
    <t>EFFECT OF IRON-OXIDE DISSOLUTION TREATMENT ON THE ISOELECTRIC POINT OF ALLOPHANIC SOILS</t>
  </si>
  <si>
    <t>CLAYS AND CLAY MINERALS</t>
  </si>
  <si>
    <t>0009-8604</t>
  </si>
  <si>
    <t>10.1346/CCMN.1986.0340116</t>
  </si>
  <si>
    <t>WOS:A1986A492600016</t>
  </si>
  <si>
    <t>GILLLAMBIAS, FJ; ESCUDEYCASTRO, AM; AGUDO, AL; GARCIAFIERRO, JL</t>
  </si>
  <si>
    <t>MULTILAYER STRUCTURE OF MOLYBDENUM-GAMMA-ALUMINUM CATALYSTS PREPARED USING DIFFERENT METHODS</t>
  </si>
  <si>
    <t>Garcia Fierro, Jose Luis/C-4774-2014</t>
  </si>
  <si>
    <t>Garcia Fierro, Jose Luis/0000-0002-6880-3737</t>
  </si>
  <si>
    <t>10.1016/0021-9517(84)90260-4</t>
  </si>
  <si>
    <t>WOS:A1984TW43200014</t>
  </si>
  <si>
    <t>Velásquez, CLYG; León, JM; Martínez, JL; Castillo, AJD; Zavala, JLC; Rivero, AEG; Medina, SEL; Torres, CAL; Bardales-Vásquez, CB</t>
  </si>
  <si>
    <t>Velasquez, Carmen Lizbeth Yurac Gonzales; Leon, Jose Mostacero; Martinez, Jose L.; Castillo, Anthony J. De la Cruz; Zavala, Jose Luis Castillo; Rivero, Armando Efrain Gil; Medina, Segundo Eloy Lopez; Torres, Carlos Alberto Leon; Bardales-Vasquez, Cecilia B.</t>
  </si>
  <si>
    <t>[Ethnobotanical evaluation in the province of Pacasmayo, La Libertad, Peru]</t>
  </si>
  <si>
    <t>The study aimed to determine the importance of ethnobotany in the province of Pacasmayo, La Libertad, Peru, in 2022. Semi-structured interviews were conducted with 95 villagers over 20 years of age, collecting information on 73 useful plant species, distributed in 66 genera and 34 families, with Asteraceae, Fabaceae, Poaceae and Solanaceae being the most representative. Of the total, 67.3% of the species are used for human consumption, 24.6% for medicinal purposes, 1.7% for ornamental uses, 1.2% as animal feed, 2.2% as fuel, 0.75% in construction, 1.9% as bait for wild animals and 0.37% in rituals. Through the Cultural Index (CI), a broad knowledge about plants and their importance in various categories of use was evidenced. The results highlight the relevance of ethnobotanical knowledge for the sustainable use and maintenance of cultural and biological diversity in the region.</t>
  </si>
  <si>
    <t>Gastelú, Carlos/N-2459-2015</t>
  </si>
  <si>
    <t>De La Cruz Castillo, Anthony Jordan/0000-0002-5409-6146; LEON TORRES, CARLOS ALBERTO/0000-0002-9808-186X; Martinez, Jose/0000-0002-0177-4847; GIL RIVERO, ARMANDO EFRAIN/0000-0002-4521-5588</t>
  </si>
  <si>
    <t>10.37360/blacpma.25.24.3.32</t>
  </si>
  <si>
    <t>WOS:001391317300010</t>
  </si>
  <si>
    <t>Urrea, C; Sari, P; Kern, J; Torres, H</t>
  </si>
  <si>
    <t>Urrea, Claudio; Sari, Pablo; Kern, John; Torres, Hugo</t>
  </si>
  <si>
    <t>Enhancing Adaptability and Autonomy in Cooperative Selective Compliance Assembly Robot Arm Robots: Implementation of Coordination and Rapidly Exploring Random Tree Algorithms for Safe and Efficient Manipulation Tasks</t>
  </si>
  <si>
    <t>In this study, a cooperative robotic system comprising two Selective Compliance Assembly Robot Arm (SCARA) robots was developed and simulated. An algorithm was proposed for the coordination of robots in cooperative tasks, along with a Rapidly exploring Random Tree (RRT) path planner for obstacle avoidance. The proposed system proved effective in transferring objects between robots and in handling various scenarios of variable complexity without collisions. The implementation of advanced trajectory planning and coordination algorithms significantly improves the adaptability and autonomy of robotic systems, allowing robots to predict and react to the movements of their counterparts and changes in the environment in real time. This capability is crucial for maintaining a safe and efficient work environment. The importance of synchronization and effective communication between robots is highlighted to avoid collisions and optimize trajectories and cycle times. All tests were conducted in virtual environments, allowing for the evaluation and refinement of the performance of the robots' performance under controlled conditions. The positive results obtained in the simulations suggest that the system is well suited for future practical implementation in industrial and manufacturing applications, such as chemical handling, collaborative welding, quality inspection, among others. These findings underscore the potential of the cooperative SCARA system to improve the efficiency and safety in industrial applications using advanced algorithms and control techniques, establishing a solid foundation for future research and development in the field of cooperative robotics.</t>
  </si>
  <si>
    <t>Claudio, URREA/KWU-1600-2024; Torres, Hugo/AAC-2017-2020</t>
  </si>
  <si>
    <t>Sari Cedillo, Pablo Andres/0009-0008-7528-4390; Torres Salamea, Hugo Marcelo/0000-0001-7814-6251; Urrea, Claudio/0000-0001-7197-8928</t>
  </si>
  <si>
    <t>10.3390/app14156804</t>
  </si>
  <si>
    <t>WOS:001287065800001</t>
  </si>
  <si>
    <t>Olivares, I; Langner, J; Soto, C; Monroy-Sahade, EA; Espinosa-Calderón, A; Pérez, P; Rubio, MA; Arellano, A; Gramsch, E</t>
  </si>
  <si>
    <t>Olivares, I.; Langner, J.; Soto, C.; Monroy-Sahade, E. A.; Espinosa-Calderon, A.; Perez, P.; Rubio, M. A.; Arellano, A.; Gramsch, E.</t>
  </si>
  <si>
    <t>Vertical distribution of PM2.5 in Santiago de Chile studied with an unmanned aerial vehicle and dispersion modelling</t>
  </si>
  <si>
    <t>The vertical structure of temperature in the troposphere is closely related to PM2.5 concentration in polluted regions, with temperature inversions associated to higher PM2.5 at the surface. This fact is more relevant in places surrounded by mountains, like Santiago de Chile, where high pollution events are common in winter. A char-acterization of the vertical profile of PM2.5 and temperature has been carried out in winter and spring with an unmanned aerial vehicle. Temperature inversions up to 400 m were found only in winter, with full inversions associated to the highest PM2.5 at the surface. Days with full inversion are also characterized by very low wind speeds. In most cases, PM2.5 decreased rapidly with altitude, even when there was mixing layer of considerable height. Consequently, PM2.5 above 300 m was always low, in contrast to other studies, indicating that there are factors that influence the vertical concentration of PM2.5 which are still not well understood. Chemistry transport model (CTM) simulated vertical profiles of PM2.5 agrees qualitatively well with observed concentration profiles in spring, but there is a negative bias in comparison to the measured data and also a stronger simulated vertical gradient than observed. In winter, average simulated PM2.5 concentrations at the surface are similar to observed, but with increasing altitude the simulated data decline faster than measured.</t>
  </si>
  <si>
    <t>Olivares, Ignacio/AAU-9355-2021; Munoz, Camila/MCJ-4945-2025; Bajo, Maria/ABF-6991-2020; Gramsch, Ernesto/M-5507-2017; Espinosa-Calderon, Alejandro/ABM-6987-2022</t>
  </si>
  <si>
    <t>Gramsch, Ernesto/0000-0002-6787-7355; Espinosa-Calderon, Alejandro/0000-0002-1758-4212; Olivares, Ignacio/0000-0001-8440-7665</t>
  </si>
  <si>
    <t>1873-2844</t>
  </si>
  <si>
    <t>10.1016/j.atmosenv.2023.119947</t>
  </si>
  <si>
    <t>JUL 2023</t>
  </si>
  <si>
    <t>WOS:001051286900001</t>
  </si>
  <si>
    <t>Topical Reviews</t>
  </si>
  <si>
    <t>10.1007/s44198-023-00122-8</t>
  </si>
  <si>
    <t>JUN 2023</t>
  </si>
  <si>
    <t>WOS:001004477400001</t>
  </si>
  <si>
    <t>Espinoza, LU; López, JN</t>
  </si>
  <si>
    <t>Ubilla Espinoza, Lorena; Navarro Lopez, Jorge</t>
  </si>
  <si>
    <t>MANUEL ROJAS: RADIANT LIFE OF AN ANCIENT ANARCHIST</t>
  </si>
  <si>
    <t>ANALES DE LITERATURA CHILENA</t>
  </si>
  <si>
    <t>0717-6058</t>
  </si>
  <si>
    <t>0719-0913</t>
  </si>
  <si>
    <t>WOS:000913147700018</t>
  </si>
  <si>
    <t>Rojas, O; Gil-Costa, V; Marin, M</t>
  </si>
  <si>
    <t>Rojas, Oscar; Gil-Costa, Veronica; Marin, Mauricio</t>
  </si>
  <si>
    <t>A DFT-Based Running Time Prediction Algorithm for Web Queries</t>
  </si>
  <si>
    <t>Web search engines are built from components capable of processing large amounts of user queries per second in a distributed way. Among them, the index service computes the top-k documents that best match each incoming query by means of a document ranking operation. To achieve high performance, dynamic pruning techniques such as the WAND and BM-WAND algorithms are used to avoid fully processing all of the documents related to a query during the ranking operation. Additionally, the index service distributes the ranking operations among clusters of processors wherein in each processor multi-threading is applied to speed up query solution. In this scenario, a query running time prediction algorithm has practical applications in the efficient assignment of processors and threads to incoming queries. We propose a prediction algorithm for the WAND and BM-WAND algorithms. We experimentally show that our proposal is able to achieve accurate prediction results while significantly reducing execution time and memory consumption as compared against an alternative prediction algorithm. Our proposal applies the discrete Fourier transform (DFT) to represent key features affecting query running time whereas the resulting vectors are used to train a feed-forward neural network with back-propagation.</t>
  </si>
  <si>
    <t>Gil-Costa, Veronica/GPT-4785-2022; Marin, Mauricio/GLR-7700-2022; Rojas, Oscar/ABG-3625-2021</t>
  </si>
  <si>
    <t>Rojas Diaz, Oscar/0000-0002-7754-9996; Marin, Mauricio/0000-0003-0662-7149</t>
  </si>
  <si>
    <t>10.3390/fi13080204</t>
  </si>
  <si>
    <t>WOS:000690608600001</t>
  </si>
  <si>
    <t>Carrasco, EN; Inzunza, LM; Torres, RN; Avilés, ML</t>
  </si>
  <si>
    <t>Nunez Carrasco, Elizabeth; Macias Inzunza, Lylian; Navarro Torres, Rossana; Loyola Aviles, Marcelo</t>
  </si>
  <si>
    <t>Decentralization of nursing care: The Chilean National Health Service and the Professionalization of Nursing 1950-1970</t>
  </si>
  <si>
    <t>CULTURA DE LOS CUIDADOS</t>
  </si>
  <si>
    <t>The article aims to analyze the challenges of the decentralization of nursing care in the historical period from 1950 to 1970. Method: A historical analysis of the professionalization of the nurse and the National Health Service was carried out from its initial phases until 1970 The secondary documentary sources are magazines of the College of Nurses of Chile, reports, unpublished documents and Bulletins of the National Service, the primary sources are life stories of nurses who worked at the end of the decade of the 50s. Results: The following categories, the challenges of the establishment of the National Health Service, lights and shadows of the professionalization of nursing. Conclusions: The National Health Service granted a health structure under the responsibility of the Chilean State for the health of all its inhabitants from Arica to Punta Arenas. In this scenario, professional nurses were recognized by the health authority, granting them structure and decision-making in health. Likewise, the very organization of the National Service allowed progress in the decentralization of care.</t>
  </si>
  <si>
    <t>NAVARRO, rossana/HPD-5686-2023; Núñez, Elizabeth/JDV-5308-2023</t>
  </si>
  <si>
    <t>1138-1728</t>
  </si>
  <si>
    <t>1699-6003</t>
  </si>
  <si>
    <t>10.14198/cuid.2021.60.06</t>
  </si>
  <si>
    <t>WOS:000677642300006</t>
  </si>
  <si>
    <t>Moreno, C; Hermosilla, T; Hardy, P; Aballai, V; Rojas, P; Varela, D</t>
  </si>
  <si>
    <t>Moreno, Cristian; Hermosilla, Tamara; Hardy, Paulina; Aballai, Victor; Rojas, Patricio; Varela, Diego</t>
  </si>
  <si>
    <t>Cav1.2 Activity and Downstream Signaling Pathways in the Hippocampus of An Animal Model of Depression</t>
  </si>
  <si>
    <t>CELLS</t>
  </si>
  <si>
    <t>Functional and morphological modifications in the brain caused by major mood disorders involve many brain areas, including the hippocampus, leading to cognitive and mood alterations. Ca(v)1.2 channel expression has been found to increase in animals with depressive-like behaviors. Calcium influx through these channels is associated with changes in excitation-transcriptional coupling by several intracellular signal pathways that are regulated by its C-terminus region. However, which of these signaling pathways is activated during the development of depressive-like behaviors is not known. Here, we evaluate the phosphorylation and expression levels of crucial kinases and transcription factors at the hippocampus of rats after 21 days of chronic restraint stress. Our results show that rats subjected to CRS protocol achieve less body weight, have heavier adrenal glands, and exhibit depression-like behaviors such as anhedonia, behavioral despair and decreased social interaction. Ca(v)1.2 mRNA and protein expression levels, plus l-type calcium current amplitude, are also increased in treated rats when compared with control animals. Out of the three main signaling pathways activated by l-type currents, we only observed an increment of CaM-NFAT axis activity with the concomitant increment in Fas ligand expression. Thus, our results suggest that CRS activates specific pathways, and the increased expression of Ca(v)1.2 could lead to neuronal death in the hippocampus.</t>
  </si>
  <si>
    <t>Varela, Diego/AAG-7489-2019; Rojas, Patricio/ISS-1091-2023</t>
  </si>
  <si>
    <t>Moreno, Cristian/0009-0008-4390-3417; Varela, Diego/0000-0002-9352-414X</t>
  </si>
  <si>
    <t>2073-4409</t>
  </si>
  <si>
    <t>10.3390/cells9122609</t>
  </si>
  <si>
    <t>WOS:000601634600001</t>
  </si>
  <si>
    <t>Vergara-Ramírez, S; León-Uribe, A</t>
  </si>
  <si>
    <t>Vergara-Ramirez, Sergio; Leon-Uribe, Alejandro</t>
  </si>
  <si>
    <t>Metacognition, attachment and symptomatology in first-episode schizophrenia</t>
  </si>
  <si>
    <t>Subjects with Schizophrenia experience decrements in their ability to form complex ideas about themselves and others, defined as metacognitive deficits. The current study assessed correlations between metacognition, attachment and symptoms in patients with first-episode Schizophrenia. A quantitative, relational, prospective, cross-sectional and observational study was designed. Thirty-one individuals were assessed using the Metacognitive Assessment Scale-Abbreviated for metacognition. Attachment and symptomatology were also measured. Results. Low metacognitive scores were found, and most participants were classified as dismissing attachment. Lower metacognitive abilities were significantly correlated with greater negative and disorganized symptoms. Conclusions. Our results support the inclusion of metacognitive deficits and attachment patterns in Schizophrenia models, which could improve our understanding of negative and disorganized symptoms. In addition, their contribution to the development of psychotherapeutic interventions in Schizophrenia from the first episode is discussed.</t>
  </si>
  <si>
    <t>10.4067/S0718-48082020000200131</t>
  </si>
  <si>
    <t>WOS:000616693800001</t>
  </si>
  <si>
    <t>Isabel Cortez, Maria; Petite, Samuel</t>
  </si>
  <si>
    <t>REALIZATION OF BIG CENTRALIZERS OF MINIMAL APERIODIC ACTIONS ON THE CANTOR SET</t>
  </si>
  <si>
    <t>DISCRETE AND CONTINUOUS DYNAMICAL SYSTEMS</t>
  </si>
  <si>
    <t>In this article we study the centralizer of a minimal aperiodic action of a countable group on the Cantor set (an aperiodic minimal Cantor system). We show that any countable residually finite group is the subgroup of the centralizer of some minimal Z action on the Cantor set, and that any countable group is the subgroup of the normalizer of a minimal aperiodic action of an abelian countable free group on the Cantor set. On the other hand we show that for any countable group G, the centralizer of any minimal aperiodic G-action on the Cantor set is a subgroup of the centralizer of a minimal Z-action.</t>
  </si>
  <si>
    <t>1078-0947</t>
  </si>
  <si>
    <t>1553-5231</t>
  </si>
  <si>
    <t>10.3934/dcds.2020153</t>
  </si>
  <si>
    <t>WOS:000519529100014</t>
  </si>
  <si>
    <t>Santander, P; Oyarce, E; Sánchez, J</t>
  </si>
  <si>
    <t>Santander, Paola; Oyarce, Estefania; Sanchez, Julio</t>
  </si>
  <si>
    <t>New insights in the use of a strong cationic resin in dye adsorption</t>
  </si>
  <si>
    <t>WATER SCIENCE AND TECHNOLOGY</t>
  </si>
  <si>
    <t>The adsorption of methyl orange (MO) in aqueous solution was evaluated using a cationic polymer (Amberlite IRA 402) in batch experiments under different experimental variables such as amount of resin, concentration of MO, optimum interaction time and pH. The maximum adsorption capacity of the resin was 161.3 mg g(-1) at pH 7.64 at 55 degrees C and using a contact time of 300 min, following the kinetics of the pseudo-first-order model in the adsorption process. The infinite solution volume model shows that the adsorption rate is controlled by the film diffusion process. In contrast, the chemical reaction is the decisive step of the adsorption rate when the unreacted core model is applied. A better fit to the Langmuir model was shown for equilibrium adsorption studies. From the thermodynamic study it was observed that the sorption capacity is facilitated when the temperature increases.</t>
  </si>
  <si>
    <t>Sanchez, Julio/AEO-4360-2022; Santander, Paola/ITU-5257-2023</t>
  </si>
  <si>
    <t>Santander, Paola/0000-0002-2084-6658; Sanchez, Julio/0000-0003-4245-0096</t>
  </si>
  <si>
    <t>0273-1223</t>
  </si>
  <si>
    <t>1996-9732</t>
  </si>
  <si>
    <t>10.2166/wst.2020.158</t>
  </si>
  <si>
    <t>WOS:000537967000013</t>
  </si>
  <si>
    <t>San Martín, A; Sepúlveda, M; Guzman, F; Guzmán, H; Patiño, F; Preiss, Y</t>
  </si>
  <si>
    <t>San Martin, Andres; Sepulveda, Matias; Guzman, Felipe; Guzman, Hernan; Patino, Felipe; Preiss, Yudith</t>
  </si>
  <si>
    <t>Surgical Morbidity in the Elderly Bariatric Patient: Does Age Matter?</t>
  </si>
  <si>
    <t>Background Obesity is a global health problem that also affects older adults. In Chile, as in most of the developing countries, more than half of older adults are overweight or obese, and bariatric surgery may be riskier for this group. The aim of this study is to compare our experience in patients over 60 years of age with a control group to determine associated surgical morbidity and mortality. Methods Case-control study of bariatric surgeries performed between 2006 and 2017 in our institution. Patients aged &gt;= 60 years for the case group versus control group for patients &lt;= 50 years selected randomly, matched by body mass index, type 2 diabetes, hypertension, dyslipidemia, surgical technique, and gender (ratio 1:2). Primary endpoint was surgical morbidity, 30-day readmission, and mortality. Results Seventy-two patients in case group were matched with 144 patients in control group. Surgical complications rate was the same for both groups. No differences were observed in the conversion to open surgery rate or 30-day readmission rate. There was no mortality in this series. Conclusion In this case-control study, being elderly does not increase the risk of morbidity and mortality associated with bariatric surgery.</t>
  </si>
  <si>
    <t>10.1007/s11695-019-03876-7</t>
  </si>
  <si>
    <t>WOS:000477590600024</t>
  </si>
  <si>
    <t>Aurenque, D; de la Ravanal, M</t>
  </si>
  <si>
    <t>Aurenque, Diana; de la Ravanal, Martin</t>
  </si>
  <si>
    <t>Citizenship and its political role: models, contexts and currentness</t>
  </si>
  <si>
    <t>WOS:000440942900003</t>
  </si>
  <si>
    <t>Alarcón-Moyano, JK; Bustos, RO; Herrera, ML; Matiacevich, SB</t>
  </si>
  <si>
    <t>Alarcon-Moyano, Jessica K.; Bustos, Ruben O.; Lidia Herrera, Maria; Matiacevich, Silvia B.</t>
  </si>
  <si>
    <t>Alginate edible films containing microencapsulated lemongrass oil or citral: effect of encapsulating agent and storage time on physical and antimicrobial properties</t>
  </si>
  <si>
    <t>Active edible films have been proposed as an alternative to extend shelf life of fresh foods. Most essential oils have antimicrobial properties; however, storage conditions could reduce their activity. To avoid this effect the essential oil (EO) can be microencapsulated prior to film casting. The aim of this study was to determine the effects of the type of encapsulating agent (EA), type of EO and storage time on physical properties and antimicrobial activity of alginate-based films against Escherichia coli ATCC 25922. Trehalose (TH), Capsul(A (R)) (CAP) and Tween 20 (Tw20) were used as EA. Lemongrass essential oil (LMO) and citral were used as active agents. The results showed that the type of EA affected the stability of the film forming-emulsions as well as the changes in opacity and colour of the films during storage but not the antimicrobial activity of them. Both microencapsulated EOs showed a prolonged release from the alginate films during the 28 days of storage. Trehalose was selected to encapsulate both active compounds because the films made with this microencapsulated EA showed the greatest physical stability and the lowest color variation among all the films studied.</t>
  </si>
  <si>
    <t>Bustos, Ruben/AAM-2029-2020</t>
  </si>
  <si>
    <t>Bustos, Ruben/0000-0003-0183-0324; Alarcon Moyano, Jessica Katherine/0000-0003-3262-4312</t>
  </si>
  <si>
    <t>10.1007/s13197-017-2726-1</t>
  </si>
  <si>
    <t>WOS:000409183800028</t>
  </si>
  <si>
    <t>Sandoval, FA; Sepulveda, M; Bellon, L; Melo, F</t>
  </si>
  <si>
    <t>Sandoval, Felipe Aguilar; Sepulveda, Manuel; Bellon, Ludovic; Melo, Francisco</t>
  </si>
  <si>
    <t>High Resolution Viscosity Measurement by Thermal Noise Detection</t>
  </si>
  <si>
    <t>SENSORS</t>
  </si>
  <si>
    <t>An interferometric method is implemented in order to accurately assess the thermal fluctuations of a micro-cantilever sensor in liquid environments. The power spectrum density (PSD) of thermal fluctuations together with Sader's model of the cantilever allow for the indirect measurement of the liquid viscosity with good accuracy. The good quality of the deflection signal and the characteristic low noise of the instrument allow for the detection and corrections of drawbacks due to both the cantilever shape irregularities and the uncertainties on the position of the laser spot at the fluctuating end of the cantilever. Variation of viscosity below 0.03 mPas was detected with the alternative to achieve measurements with a volume as low as 50 L.</t>
  </si>
  <si>
    <t>Melo, Francisco/M-3923-2014; Bellon, Ludovic/B-5213-2008; Aguilar Sandoval, Felipe/G-7545-2015</t>
  </si>
  <si>
    <t>Bellon, Ludovic/0000-0002-2499-8106; Aguilar Sandoval, Felipe/0000-0001-5146-7856; Melo, Francisco Esteban/0000-0001-6818-5476</t>
  </si>
  <si>
    <t>1424-8220</t>
  </si>
  <si>
    <t>10.3390/s151127905</t>
  </si>
  <si>
    <t>WOS:000365686400023</t>
  </si>
  <si>
    <t>Olmos, C; Mancilla, P; Martínez, L; Astudillo, P</t>
  </si>
  <si>
    <t>Olmos, Claudio; Mancilla, Pedro; Martinez, Luis; Astudillo, Pedro</t>
  </si>
  <si>
    <t>Primary care consultations due to respiratory diseases in the period 2003-2008</t>
  </si>
  <si>
    <t>Background: Respiratory diseases are the third cause of death, and the second cause of hospitalization among people aged 65 years or more in Chile. Aim: To analyze the distribution of consultations due to respiratory diseases among adults living in Metropolitan Santiago. Material and Methods: A daily registry of all consultations of patients older than 15 years old in seven public primary care centers, was carried out between January 2003 and December 2008. Consultations were classified as having non-respiratory or respiratory causes. The latter were broke down in upper or lower respiratory diseases, pneumonia, chronic obstructive pulmonary disease (COPD) and asthma. Results: A total of 1,170,941 consultations were registered and 19% were due to respiratory diseases. Of these, 46% were due to upper respiratory diseases, 31% due to lower respiratory diseases, 8% due to COPD, 6% due to pneumonia, 5% due to asthma and 4% due to other respiratory causes. Pneumonia and COPD were more frequent among consultants older than 65 years. Conclusions: Consultations due to respiratory diseases are approximately one fifth of all primary care consultations. Older people often have more chronic and severe diseases.</t>
  </si>
  <si>
    <t>Olmos, Claudio/M-7645-2019</t>
  </si>
  <si>
    <t>Olmos, Claudio/0000-0002-9422-7227</t>
  </si>
  <si>
    <t>10.4067/S0034-98872015000100004</t>
  </si>
  <si>
    <t>WOS:000348557800004</t>
  </si>
  <si>
    <t>Yañez, L; Saavedra, J; Martínez, C; Córdova, A; Ganga, MA</t>
  </si>
  <si>
    <t>Yanez, L.; Saavedra, J.; Martinez, C.; Cordova, A.; Ganga, M. A.</t>
  </si>
  <si>
    <t>Chemometric Analysis for the Detection of Biogenic Amines in Chilean Cabernet Sauvignon Wines: A Comparative Study between Organic and Nonorganic Production</t>
  </si>
  <si>
    <t>JOURNAL OF FOOD SCIENCE</t>
  </si>
  <si>
    <t>In this work, the presence of biogenic amines (BAs) was correlated with the type of wine grape culture (traditional or organic) and their concentration in the different stages of winemaking (must, alcoholic fermentation [AF] and malolactic fermentation [MLF]). The formation of BA occurred mainly during MLF in which the percentages for putrescine, cadaverine, phenylethylamine, histamine, and tyramine were 100%, 70%, 13%, 61%, and 44% for the wines produced with traditional grapes and 100%, 94%, 25%, 88%, and 13% for the wines produced with organic grapes, respectively. In general, these latter wines exhibited a lower concentration of total amines. The principal component analysis and partial least-square discriminate analysis indicated that the generation of BA has a certain behavioral pattern in the wines analyzed, which is associated with the different stages of wine production and with the type of culture (traditional or organic) used in the wine grapes. Practical Application: Chemometrics tools can be useful as a method of characterization and classification in a global overview of the process variables involved in the development of toxic chemicals in foods, such as the production of BA in wine.</t>
  </si>
  <si>
    <t>Martinez, Claudio/MGS-9961-2025; Ganga, Maria/S-8176-2019</t>
  </si>
  <si>
    <t>Cordova, Andres/0000-0001-8572-4857; Martinez, Claudio/0000-0001-8564-9287</t>
  </si>
  <si>
    <t>0022-1147</t>
  </si>
  <si>
    <t>1750-3841</t>
  </si>
  <si>
    <t>T143</t>
  </si>
  <si>
    <t>T150</t>
  </si>
  <si>
    <t>10.1111/j.1750-3841.2012.02796.x</t>
  </si>
  <si>
    <t>WOS:000307385800004</t>
  </si>
  <si>
    <t>Calderon, C; Abuin, E; Lissi, E; Montecinos, R</t>
  </si>
  <si>
    <t>Calderon, Cristian; Abuin, Elsa; Lissi, Eduardo; Montecinos, Rodrigo</t>
  </si>
  <si>
    <t>Effect of Human Serum Albumin on the Kinetics of 4-Methylumbelliferyl-β-D-N-N′-N Triacetylchitotrioside Hydrolysis Catalyzed by Hen Egg White Lysozyme</t>
  </si>
  <si>
    <t>The effect of human serum albumin (HSA) addition on the rate of hydrolysis of the synthetic substrate 4-methylumbelliferyl-beta-D-N-N'-NaEuro(3) triacetylchitotrioside ((NAG)(3)-MUF) catalyzed by hen egg white lysozyme has been measured in aqueous solution (citrate buffer 50 mM pH = 5.2 at 37 A degrees C). The presence of HSA leads to a decrease in the rate of the process. The reaction follows a Michaelis-Menten mechanism under all the conditions employed. The catalytic rate constant decreases tenfold when the albumin concentration increases, while the Michaelis constant remains almost constant in the albumin concentration range employed. Ultracentrifugation experiments indicate that the main origin of the observed variation in the kinetic behavior is related to the existence of an HSA-lysozyme interaction. Interestingly, the dependence of the catalytic rate constant with albumin concentration parallels the decrease of the free enzyme concentration. We interpret these results in terms of the presence in the system of two enzyme populations; namely, the HSA associated enzyme which does not react and the free enzyme reacting as in the absence of albumin. Other factors such as association of the substrate to albumin or macromolecular crowding effects due to the presence of albumin are discarded. Theoretical modeling of the structure of the HSA-lysozyme complex shows that the Glu35 and Asp52 residues located in the active site of lysozyme are oriented toward the HSA surface. This conformation will inactivate lysozyme molecules bound to HSA.</t>
  </si>
  <si>
    <t>Calderon, cristian/GQA-7422-2022</t>
  </si>
  <si>
    <t>Montecinos, Rodrigo/0000-0003-0080-1839</t>
  </si>
  <si>
    <t>1573-4943</t>
  </si>
  <si>
    <t>10.1007/s10930-011-9339-8</t>
  </si>
  <si>
    <t>WOS:000293462400001</t>
  </si>
  <si>
    <t>Andrade, RD; Lemus, R; Pérez, CE</t>
  </si>
  <si>
    <t>Andrade P, Ricardo D.; Lemus M, Roberto; Perez C, Carmen E.</t>
  </si>
  <si>
    <t>MODELS OF SORPTION ISOTHERMS FOR FOOD: USES AND LIMITATIONS</t>
  </si>
  <si>
    <t>VITAE-REVISTA DE LA FACULTAD DE QUIMICA FARMACEUTICA</t>
  </si>
  <si>
    <t>Moisture sorption isotherms describe the relationship between moisture content and water activity in food. This work presents basic concepts related to the sorption thermodynamics of water, the classification of isotherms, uses and limitations of the models, and measurement of sorption isotherms for food materials. The most commonly used models in food are Brunauer-Emmett-Teller and Guggenheim-Anderson-de Boer. The success of the Brunauer-Emmett-Teller model is rather qualitative, considering that almost all cases are linear only in a limited rank of water activity from 0.05 to 0.45, as its main applicability is the estimation of surface areas. And, the use of the Guggenheim-Anderson-de Boer model is generalized by its theoretical bases, mathematical simplicity, and ease to interpret; but it is not frequently used when the water activity greater than 0.93.</t>
  </si>
  <si>
    <t>0121-4004</t>
  </si>
  <si>
    <t>WOS:000298114400013</t>
  </si>
  <si>
    <t>Mattiello, R; Sarria, EE; Mallol, J; Fischer, GB; Rueda, B; Mocelin, HT; Stein, R</t>
  </si>
  <si>
    <t>Mattiello, R.; Sarria, E. E.; Mallol, J.; Fischer, G. B.; Rueda, B.; Mocelin, H. T.; Stein, R.</t>
  </si>
  <si>
    <t>Lung Function in Children and Adolescents with Post-Infectious Bronchiolitis Obliterans from Brazil and Chile</t>
  </si>
  <si>
    <t>AMERICAN JOURNAL OF RESPIRATORY AND CRITICAL CARE MEDICINE</t>
  </si>
  <si>
    <t>Stein, Ricardo/W-4387-2019; Mattiello, Rita/B-1748-2012; Mattiello, Rita/K-3344-2015</t>
  </si>
  <si>
    <t>1073-449X</t>
  </si>
  <si>
    <t>A5967</t>
  </si>
  <si>
    <t>WOS:000208733105558</t>
  </si>
  <si>
    <t>Rojas, HAG; Calvet, JV; Bubnovich, VI</t>
  </si>
  <si>
    <t>Rojas, Hernan A. Gonzalez; Calvet, Joan Vivancos; Bubnovich, V. I.</t>
  </si>
  <si>
    <t>A new analytical solution for prediction of forward tension in the drawing process</t>
  </si>
  <si>
    <t>JOURNAL OF MATERIALS PROCESSING TECHNOLOGY</t>
  </si>
  <si>
    <t>Tension in the drawing process is determined via a new solution to the drawing problem for dies of axisymmetric or symmetric sections. A free body equilibrium method is used to obtain the equations that dictate the drawing phenomenon. As opposed to the classical slab method, solution of these equations accounts for internal material distortion. An analytical iterative equation is used to solve the problem of tensions. The new solution can be applied to dies of either axisymmetric or symmetric sections by simply varying one of the constants used in the model. The results afforded by this solution agree with data from experiments and simulations performed using other methods; it correctly reproduces experimental data and behavioural trends. There is also a high degree of similarity between the results obtained with the analytical iterative equation and those obtained with the finite elements method (FEM). (c) 2007 Elsevier B.V. All rights reserved.</t>
  </si>
  <si>
    <t>González Rojas, Hernán A./HTQ-1244-2023</t>
  </si>
  <si>
    <t>Gonzalez Rojas, Hernan Alberto/0000-0001-8911-0115; Vivancos-Calvet, Joan/0000-0001-7180-6990</t>
  </si>
  <si>
    <t>0924-0136</t>
  </si>
  <si>
    <t>MAR 3</t>
  </si>
  <si>
    <t>10.1016/j.jmatprotec.2007.06.053</t>
  </si>
  <si>
    <t>WOS:000252564100013</t>
  </si>
  <si>
    <t>Tobar, I; González-Nilo, FD; Jabalquinto, AM; Cardemil, E</t>
  </si>
  <si>
    <t>Tobar, Ivan; Gonzalez-Nilo, Fernando D.; Jabalquinto, Ana M.; Cardemil, Emilio</t>
  </si>
  <si>
    <t>Relevance of Arg457 for the nucleotide affinity of Saccharomyces cerevisiae phosphoenolpyruvate carboxykinase</t>
  </si>
  <si>
    <t>INTERNATIONAL JOURNAL OF BIOCHEMISTRY &amp; CELL BIOLOGY</t>
  </si>
  <si>
    <t>Phosphoenolpyruvate carboxykinases catalyze one of the first steps in the biosynthesis of glucose and depending on the enzyme origin, preferentially use adenine or guanine nucleotides as substrates. The Saccharomyces cerevisiae enzyme has a marked preference for ADP (or ATP) over other nucleotides. Homology models of the enzyme in complex with ADP or ATP show that the guanidinium group of Arg457 is close to the adenine base, suggesting that this group might be involved in the stabilization of the nucleotide substrate. To evaluate this we have performed the mutation Arg457Met, replacing the positively charged guanidinium group by a neutral residue. The mutated enzyme retained the structural characteristics of the wild-type protein. Fluorescence titration experiments showed that mutation causes a loss of 1.7 kcal mol(-1) in the binding affinity of the enzyme for ADPMn. Similarly, kinetic analyses of the mutated enzyme showed 50-fold increase in K-m for ADPMn, with minor alterations in the other kinetic parameters. These results show that Arg457 is an important factor for nucleotide binding by S. cerevisiae PEP carboxylkinase. (C) 2008 Elsevier Ltd. All rights reserved.</t>
  </si>
  <si>
    <t>Gonzalez Nilo, Fernando Danilo/M-5671-2016</t>
  </si>
  <si>
    <t>Gonzalez Nilo, Fernando Danilo/0000-0001-6857-3575</t>
  </si>
  <si>
    <t>1357-2725</t>
  </si>
  <si>
    <t>1878-5875</t>
  </si>
  <si>
    <t>10.1016/j.biocel.2008.01.032</t>
  </si>
  <si>
    <t>WOS:000258052000025</t>
  </si>
  <si>
    <t>Keyantuo, V; Lizama, C</t>
  </si>
  <si>
    <t>Keyantuo, Valentin; Lizama, Carlos</t>
  </si>
  <si>
    <t>Holder continuous solutions for integro-differential equations and maximal regularity</t>
  </si>
  <si>
    <t>We characterize existence and uniqueness of solutions for a linear integro-differential equation in Holder spaces. Our method is based on operator-valued Fourier multipliers. The solutions we consider may be unbounded. Concrete equations of the type we study arise in the modeling of heat conduction in materials with memory. (c) 2006 Elsevier Inc. All rights reserved.</t>
  </si>
  <si>
    <t>1090-2732</t>
  </si>
  <si>
    <t>10.1016/j.jde.2006.07.018</t>
  </si>
  <si>
    <t>WOS:000242323900012</t>
  </si>
  <si>
    <t>Periodic solutions of second order differential equations in Banach spaces</t>
  </si>
  <si>
    <t>MATHEMATISCHE ZEITSCHRIFT</t>
  </si>
  <si>
    <t>We use operator-valued Fourier multiplier theorems to study second order differential equations in Banach spaces. We establish maximal regularity results in L-p and C-s for strong solutions of a complete second order equation. In the second part, we study mild solutions for the second order problem. Two types of mild solutions are considered. When the operator A involved is the generator of a strongly continuous cosine function, we give characterizations in terms of Fourier multipliers and spectral properties of the cosine function. The results obtained are applied to elliptic partial differential operators.</t>
  </si>
  <si>
    <t>0025-5874</t>
  </si>
  <si>
    <t>10.1007/s00209-005-0919-1</t>
  </si>
  <si>
    <t>WOS:000237325000005</t>
  </si>
  <si>
    <t>Gramsch, E; Pcheliakov, OP; Chistokhin, IB; Tishkovsky, E</t>
  </si>
  <si>
    <t>Gramsch, Ernesto; Pcheliakov, Oleg P.; Chistokhin, Igor B.; Tishkovsky, E.</t>
  </si>
  <si>
    <t>Evaluation of a Junction Termination Extension APD for Use with Scintillators</t>
  </si>
  <si>
    <t>2006 IEEE NUCLEAR SCIENCE SYMPOSIUM CONFERENCE RECORD, VOL 1-6</t>
  </si>
  <si>
    <t>IEEE Nuclear Science Symposium and Medical Imaging Conference</t>
  </si>
  <si>
    <t>15th International Workshop on Room-Temperature Semiconductor X- and Gamma-Ray Detectors/ 2006 IEEE Nuclear Science Symposium</t>
  </si>
  <si>
    <t>OCT 29-NOV 04, 2006</t>
  </si>
  <si>
    <t>San Diego, CA</t>
  </si>
  <si>
    <t>An avalanche photodiode with a new type of ring structure around the active area was built. The junction termination extension (JTE) APD has three diffused rings around the main junction to reduce the electric field and obtain near ideal breakdown voltage. This design has the advantage that it does not need a sharp bevel edge or grooves to avoid early breakdown at the surface. The JTE rings can be obtained by well controlled single ion-implantation through a single mask. Photodetectors with 2 mm diameter active area have been built by implantation of boron with a dose of 2, 3, 4 and 5 x 10(12) cm(-2), followed by deep diffusion to 14 mu m. The dark current is strongly dependent on the implantation charge, decreasing with decreasing charge. For the APDs with implanted dose of 5 x 10(12) cm(-2) a gain of 8 is obtained at 1120 V. The energy resolution of an APD coupled to a BGO scintillator from a Cs-137 gamma-ray source was measured to be 24.4%. We have also performed simulations of the gain and breakdown voltage that correlate well with the results.</t>
  </si>
  <si>
    <t>Chistokhin, Igor/J-9145-2018; Gramsch, Ernesto/M-5507-2017</t>
  </si>
  <si>
    <t>Gramsch, Ernesto/0000-0002-6787-7355</t>
  </si>
  <si>
    <t>1095-7863</t>
  </si>
  <si>
    <t>978-1-4244-0561-9</t>
  </si>
  <si>
    <t>10.1109/NSSMIC.2006.356064</t>
  </si>
  <si>
    <t>WOS:000288875601059</t>
  </si>
  <si>
    <t>Stepanova, M; Antonova, E; Troshichev, O</t>
  </si>
  <si>
    <t>Daly, E; FullerRowell, TJ; Heynderickx, D; Onsager, T; Shea, MA</t>
  </si>
  <si>
    <t>PC-index fluctuations and intermittency of the magnetospheric dynamics</t>
  </si>
  <si>
    <t>SPACE WEATHER</t>
  </si>
  <si>
    <t>ADVANCES IN SPACE RESEARCH-SERIES</t>
  </si>
  <si>
    <t>One minute resolution Polar Cap (PC) index was used for the analysis of magnetospheric dynamics. The 1995-2000 time series analysis revealed that the power spectrum of the PC-index fluctuations is a power law in a wide range of frequencies. However, the obtained exponents differ for low and high frequency regions. The probability distribution functions of the PC-index fluctuations show a strong non-gaussian shape, depending on the time of increment. This indicates that the PC-index exhibits intermittency, previously detected in solar wind and auroral electrojet index fluctuations. The PC-index probability distribution functions were fitted by the functional form proposed by Castaing et al. [Velocity probability density functions of high Reynolds number turbulence. Physica D. 46, 177-200, 1990] to describe intermittency phenomena in ordinary turbulent fluid flows. The agreement between the fitting parameters obtained for the PC index and those reported before for solar wind magnetic field fluctuations is within 30%; which is noticeably less than the difference between the same parameters of solar wind and the AE-index fluctuations. This fact indicates that the PC index reflects the solar wind influence on the high-latitude magnetosphere, especially during the summer. (c) 2005 COSPAR. Published by Elsevier Ltd. All rights reserved.</t>
  </si>
  <si>
    <t>Stepanova, Marina/D-6329-2011; Antonova, Elizaveta/A-2716-2012</t>
  </si>
  <si>
    <t>Stepanova, Marina/0000-0002-1053-3375; Antonova, Elizaveta/0000-0001-6980-3993</t>
  </si>
  <si>
    <t>10.1016/j.asr.2003.10.056</t>
  </si>
  <si>
    <t>WOS:000235183100032</t>
  </si>
  <si>
    <t>Conformal symmetry of relativistic and nonrelativistic systems and AdS/CFT correspondence</t>
  </si>
  <si>
    <t>ANNALS OF PHYSICS</t>
  </si>
  <si>
    <t>The nonlinear realization of conformal so(2, d) symmetry for relativistic systems and the dynamical conformal so(2, 1) symmetry of nonrelativistic systems are investigated in the context of AdS/CFT correspondence. We show that the massless particle in d-dimensional Minkowski space can be treated as the system confined to the border of the AdS(d+1) of infinite radius, while various nonrelativistic systems may be canonically related to a relativistic (massless, massive, or tachyon) particle on the AdS(2) X Sd-1. The list of nonrelativistic systems unified by such a correspondence comprises the. conformal mechanics model, the planar charge-vortex and three-dimensional charge-monopole systems, the particle in a planar gravitational field of a point massive source, and the conformal model associated with the charged particle propagating near the horizon of the extreme Reissner-Nordstrom black hole. (C) 2003 Elsevier Science (USA). All rights reserved.</t>
  </si>
  <si>
    <t>0003-4916</t>
  </si>
  <si>
    <t>10.1016/S0003-4916(03)00118-0</t>
  </si>
  <si>
    <t>WOS:000185640400007</t>
  </si>
  <si>
    <t>Barticevic, Z; Fuster, G; Pacheco, M</t>
  </si>
  <si>
    <t>Effect of an electric field on the Bohm-Aharonov oscillations in the electronic spectrum of a quantum ring</t>
  </si>
  <si>
    <t>We have studied the effects of an external electric field on the electronic and optical spectra of a semiconductor quantum ring threaded by a magnetic flux. The calculations were performed within a single-particle formalism using the effective-mass approximation. An electric field applied in the ring plane destroys the rotational invariance, mixing the states with different angular momentum and suppressing the oscillations of the ground-state energy as a function of the magnetic field. However, for excited states whose electronic wave function are allowed to spread out along the ring, periodic Bohm-Aharonov-type oscillations are found. The range of energies for which these oscillations occur can be controlled by changing the electric-field strength. To explore the possibility that this effect can be observed in future optical measurements we have calculated the absorption coefficient for different configurations of magnetic and electric fields. Our results show very rich spectra for quantum rings in the presence of electric fields, which effectively displays the signature of the Bohm-Aharonov effect.</t>
  </si>
  <si>
    <t>1098-0121</t>
  </si>
  <si>
    <t>10.1103/PhysRevB.65.193307</t>
  </si>
  <si>
    <t>WOS:000175860900019</t>
  </si>
  <si>
    <t>Barro, M; Mandiola, P; Chen, DY; Patton, JT; Spencer, E</t>
  </si>
  <si>
    <t>Identification of sequences in rotavirus mRNAs important for minus strand synthesis using antisense oligonucleotides</t>
  </si>
  <si>
    <t>The core of the rotavirion consists of three proteins, including the viral RNA polymerase, and 11 segments of double-stranded (ds)RNA. The RNA polymerase of disrupted (open) cores Is able to catalyze the synthesis of dsRNA from exogenous viral mRNAs in vitro. In this study, we have identified sequences in exogenous viral mRNAs important for RNA replication using antisense oligonucleotides. The results showed that oligonucleotides complementary to the highly conserved 3'-terminal sequence of rotavirus mRNAs prevented all but basal levels of dsRNA synthesis. Notably, we observed that the addition of oligonucleotides which were complementary to nonconserved sequences present either at the 5'- or 3'-end of a viral mRNA effectively inhibited its replication without interfering with the replication of other viral mRNAs present in the same replication assay. Thus, the nonconserved sequences in rotavirus mRNAs contain gene-specific information that promotes RNA replication. The fact that antisense oligonucleotides Inhibited dsRNA synthesis indicates that the strandedness (single- versus double-stranded) and secondary structure of the viral mRNA template are factors that affect the efficiency of minus strand synthesis. (C) 2001 Academic Press.</t>
  </si>
  <si>
    <t>BARRO HERNÁNDEZ, MARIO/GWU-9543-2022; Patton, John/P-1390-2014; Patton, John/V-7651-2018</t>
  </si>
  <si>
    <t>10.1006/viro.2001.1054</t>
  </si>
  <si>
    <t>WOS:000171011700008</t>
  </si>
  <si>
    <t>Vergara, C; Bahamonde, MI; Ramirez, BU</t>
  </si>
  <si>
    <t>Ciliary neurotrophic factor affects the expression of the low-conductance apamin-sensitive Ca2+-activated K+ channel (SK3) from rat skeletal muscle in vivo and in vitro</t>
  </si>
  <si>
    <t>WOS:000085937100024</t>
  </si>
  <si>
    <t>Alguacil, FJ; Simpson, J; Navarro, P</t>
  </si>
  <si>
    <t>Solvent extraction equilibrium in the CuSO4-H2SO4-LIX 984-ESCAID 103 system</t>
  </si>
  <si>
    <t>JOURNAL OF CHEMICAL RESEARCH-S</t>
  </si>
  <si>
    <t>A previously determined thermodynamic model for extraction equilibrium is used as a basis to predict experimentally measured distribution coefficients for the CuSO4-H2SO4-LIX 984-Escaid 103 solvent extraction system at 25 degrees C and aqueous copper concentrations in the range 0.01-2.0 g L-1, the copper loading isotherm is also obtained.</t>
  </si>
  <si>
    <t>0308-2342</t>
  </si>
  <si>
    <t>10.1039/a902669j</t>
  </si>
  <si>
    <t>WOS:000082518600031</t>
  </si>
  <si>
    <t>Navarro, P; Simpson, J; Alguacil, FJ</t>
  </si>
  <si>
    <t>Removal of antimony (III) from copper in sulphuric acid solutions by solvent extraction with LIX 1104SM</t>
  </si>
  <si>
    <t>Antimony is not a desirable component in copper electro-refining streams although it is an element often found in normal plant practice. The present work presents data on the extraction of Sb (III) with LIX 1104SM in Escaid 103. The extraction system is studied in terms of: extraction and stripping kinetics, temperature, antimony loading, stripping and selectivity of the system. On the basis of results obtained, a continuous run on Sb (III)-Cu (II)-H2SO4 synthetic solution has been performed. (C) 1999 Published by Elsevier Science B.V. All rights reserved.</t>
  </si>
  <si>
    <t>1879-1158</t>
  </si>
  <si>
    <t>10.1016/S0304-386X(99)00033-X</t>
  </si>
  <si>
    <t>WOS:000083258700002</t>
  </si>
  <si>
    <t>Vaschetto, ME; Retamal, BA</t>
  </si>
  <si>
    <t>Substituents effect on the electronic properties of aniline and oligoanilines</t>
  </si>
  <si>
    <t>Aniline oligomers have been intensively studied in the past years. in particular, aniline oligomers substituted with electron-donor groups have been synthesized and its electronic properties calculated. However, when an electron-acceptor group is attached to the benzenoid ring of the oligoaniline, strong effects over its electronic properties an expected to happen. In this work some semiempirical quantum chemistry calculations of geometric structures, and energy level distribution of aniline and substituted anilines and its corresponding oligomer are presented. Geometry calculations of aniline and oligoanilines have been performed by using the PM3 and AM1 methods. Energy calculations and W-vis spectra have been done by using the ZINDO/S-CI method. The studied substituents are methoxy, methyl, fluorine, nitro, and cyano groups, located at positions 2 or 3, in the benzenoid ring. This series of substituent groups involves a large range of sigma-pi electron-donor-acceptor capability. The methoxy and the nitro substituted tetranilines show an interaction between the oxygen of the substitutent and the nitrogen of the oligomer through an hydrogen atom. These hydrogen bonds modify largely the structure of the oligomers. Particularly nitro groups show the strongest electrostatic attraction between hydrogen and oxygen. The cyano and the nitro groups (sigma-pi acceptor) induce an increasing of the ionization potential. Theoretical analysis of the orbital energies of molecules substituted with electron-acceptor groups shows a lowering of the LUMO energy values larger than those in the HOMOs cases. A decreasing of the energy of the first optical transition when the electron acceptor capability of the substituent increases is shown. Tetranilines substituted with nitro groups display a band around 380 nm in the calculated W-vis spectrum. Thus, oligoanilines substituted with electron-acceptor groups (especially nitro groups) show the lowest energy gap and they are the most encouraging material for semiconducting applications that we have studied.</t>
  </si>
  <si>
    <t>SEP 11</t>
  </si>
  <si>
    <t>10.1021/jp970029y</t>
  </si>
  <si>
    <t>WOS:A1997XW31500020</t>
  </si>
  <si>
    <t>Effect of the Stark confinement on the excitonic optical spectrum of an array of coupled quantum dots</t>
  </si>
  <si>
    <t>We investigate theoretically the influence of a uniform electric field on the optical properties of a linear array of coupled quantum dots. We study the excitonic spectrum of this system by solving the electron-hole effective-mass Hamiltonian. The potential along the array is modeled by a periodic square-well potential and we assume parabolic lateral confining potentials for electrons and holes. We calculate the excitonic absorption coefficient as a function of the quantum dot size and the applied electric field. We discuss the different confinement regimes. The results illustrate the competing effects of the lateral confinement, the electric-field confinement, and the Coulomb interaction. We show that in the weak-lateral confinement regime the natural coordinates are the relative and the center-of-mass coordinates which are weakly coupled by the lateral potential. In the strong-lateral confinement regime the electrons and holes are weakly correlated and the spectrum can be explained in a single-particle picture.</t>
  </si>
  <si>
    <t>0163-1829</t>
  </si>
  <si>
    <t>10.1103/PhysRevB.55.10688</t>
  </si>
  <si>
    <t>WOS:A1997WW80300074</t>
  </si>
  <si>
    <t>Chilla, F; Pinton, JF; Labbe, R</t>
  </si>
  <si>
    <t>On the influence of a large-scale coherent vortex on the turbulent cascade</t>
  </si>
  <si>
    <t>EUROPHYSICS LETTERS</t>
  </si>
  <si>
    <t>We investigate the flow between coaxial co-rotating disks in the situation where a strong axial vortex is present over a turbulent background. We show that concepts recently introduced for homogeneous turbulent flows can be applied for the study of inhomogeneous turbulence of this kind. It seems that the cascade process is preserved although modified by the large-scale coherent structure.</t>
  </si>
  <si>
    <t>0295-5075</t>
  </si>
  <si>
    <t>10.1209/epl/i1996-00565-4</t>
  </si>
  <si>
    <t>WOS:A1996VB55800006</t>
  </si>
  <si>
    <t>Removal of arsenic from copper electrolytes by solvent extraction with tributylphosphate</t>
  </si>
  <si>
    <t>CANADIAN METALLURGICAL QUARTERLY</t>
  </si>
  <si>
    <t>Arsenic is not a desirable component in copper electrorefining solutions although it is an element that is commonly found in normal plant practice. The present work describes a process which uses tributylphosphate for the removal of arsenic from these solutions. The extraction system is studied in terms of different variables such as: extraction and stripping kinetics, loading isotherms both for extraction and stripping operations, effect of the phase disengagement and selectivity of the system. On the basis of results obtained a flow-sheet diagram for the treatment of a stream of 1.131/h of a partially decopperized electrolyte is also proposed. Copyright (C) 1996 Canadian Institute of Mining and Metallurgy.</t>
  </si>
  <si>
    <t>0008-4433</t>
  </si>
  <si>
    <t>10.1016/0008-4433(95)00044-5</t>
  </si>
  <si>
    <t>WOS:A1996UF42800003</t>
  </si>
  <si>
    <t>VIDELA, LA; SALIMHANNA, M; LISSI, EA</t>
  </si>
  <si>
    <t>INACTIVATION OF YEAST ALCOHOL-DEHYDROGENASE BY ALKYLPEROXYL RADICALS - CHARACTERISTICS AND INFLUENCE OF NICOTINAMIDE-ADENINE DINUCLEOTIDES</t>
  </si>
  <si>
    <t>BIOCHEMICAL PHARMACOLOGY</t>
  </si>
  <si>
    <t>The study of the interaction of alkylperoxyl radicals generated by the aerobic thermolysis of 2,2'-azobis(2-amidinopropane) (AAP) with yeast alcohol dehydrogenase (YADH) revealed a high reactivity of the enzyme, with an average of about 20 radicals per added YADH tetramer being needed to elicit its total inactivation. NAD+ enhanced YADH inactivation at NAD+/YADH molar ratios from 0.25 to 1, decreasing the rate of the process when added in excess to the enzyme concentration. At NADH/YADH molar ratios greater than 1, NADH exhibited a protective effect characterized by a poorly defined induction time and lower inactivation rates, which progressively increased during the reaction period. These changes occurred concomitantly with the oxidation of NADH into NAD+, which might counteract the protective effect of NADH. Under similar conditions, NADP+ did not modify AAP-induced YADH inactivation, while NADPH exhibited a modest protection at NADPH/YADH molar ratios greater than 1. It is concluded that YADH inactivation by alkylperoxyl radicals is strongly dependent on the redox state of the NADH-NAD+ couple, as the rates of the process at different time intervals inversely correlate with the respective NADH/NAD+ ratios.</t>
  </si>
  <si>
    <t>0006-2952</t>
  </si>
  <si>
    <t>1873-2968</t>
  </si>
  <si>
    <t>10.1016/0006-2952(92)90547-V</t>
  </si>
  <si>
    <t>WOS:A1992KT90400028</t>
  </si>
  <si>
    <t>LLIAMBAS, FJG; BOUYSSIERES, L; AGUDO, AL</t>
  </si>
  <si>
    <t>PREPARATION AND CHARACTERIZATION BY ELECTROPHORETIC MIGRATION OF TIO2-AL2O3 CATALYTIC SUPPORTS</t>
  </si>
  <si>
    <t>APPLIED CATALYSIS</t>
  </si>
  <si>
    <t>0166-9834</t>
  </si>
  <si>
    <t>OCT 3</t>
  </si>
  <si>
    <t>10.1016/S0166-9834(00)81587-0</t>
  </si>
  <si>
    <t>WOS:A1990EE81200006</t>
  </si>
  <si>
    <t>TSCHUSCHKE, V; HETTINGER, R; ENKE, H; LOLAS, F</t>
  </si>
  <si>
    <t>VERBAL AFFECTIVE EXPRESSION DURING GROUP AND INDIVIDUAL PSYCHOTHERAPY - TOWARDS A DESCRIPTION OF THERAPIST-RELATED AND SETTING-RELATED VARIABLES</t>
  </si>
  <si>
    <t>PSYCHOTHERAPY AND PSYCHOSOMATICS</t>
  </si>
  <si>
    <t>The paper deals with a comparison between verbal affective interventions by the same psychoanalyst in different therapeutic settings, individual and group therapy. Since the same therapist is involved, an exploration of interactional aspects of his therapeutic style becomes possible, taking into consideration his theoretical allegiance and his hypotheses about the structure and development of the psychotherapeutic milieu. The conformation of therapist-group and therapist-individual dyads shows a high thematic concordance across both settings, particularly with regard to separation anxiety, but also to a significant degree in relation to other verbally expressed affects. However similar the correlations do appear, there remain certain differences in the affective interactions between group of individual patient and the therapist that are due to development aspects of the therapeutic relationship in either setting.</t>
  </si>
  <si>
    <t>Lolas Stepke, Fernando/E-9241-2011; Tschuschke, Volker/AAF-2013-2019</t>
  </si>
  <si>
    <t>0033-3190</t>
  </si>
  <si>
    <t>10.1159/000288376</t>
  </si>
  <si>
    <t>WOS:A1990EX97700007</t>
  </si>
  <si>
    <t>SILVA, C; QUADE, D</t>
  </si>
  <si>
    <t>EVALUATION OF WEIGHTED RANKINGS USING EXPECTED SIGNIFICANCE LEVEL</t>
  </si>
  <si>
    <t>COMMUNICATIONS IN STATISTICS PART A-THEORY AND METHODS</t>
  </si>
  <si>
    <t>0361-0926</t>
  </si>
  <si>
    <t>10.1080/03610928008827943</t>
  </si>
  <si>
    <t>WOS:A1980JY04000006</t>
  </si>
  <si>
    <t>Travieso-Torres, JC; Ricaldi-Morales, A; Lee, SS</t>
  </si>
  <si>
    <t>Travieso-Torres, Juan Carlos; Ricaldi-Morales, Abdiel; Lee, Sze Sing</t>
  </si>
  <si>
    <t>A New Induction Motor V/f Control Capable of Starting With Lower Current and Rated Torque</t>
  </si>
  <si>
    <t>IEEE TRANSACTIONS ON INDUSTRIAL ELECTRONICS</t>
  </si>
  <si>
    <t>Variable speed drives (VSDs) employing a V/f control dominate over 60% of industrial and commercial induction motor (IM) applications. This is the simplest VSD adjusted based on the motor nameplate information and obviates the need for complex full-parameter estimates, controller adjustments, or variable observers, which limits it to low starting torque pumping, fans, and air conditioning systems. This article introduces an enhanced V/f control-based VSD for IMs that expands the application range by increasing the starting torque to rated load conditions. Moreover, it significantly reduces the starting stator current, alleviating the electric power system. This is achieved by substituting the boost voltage with a direct current (dc) voltage and incorporating a single stator resistance estimate to consider stator drop voltage. The dc voltage is derived from a novel discrete Taylor series (TS) adaptive control system (ACS), which regulates the rated current during startup. The proposed method was successfully implemented on a VSD utilizing the c2000 TMS320F28388D control platform, requiring no additional hardware but minor algorithm adjustments, with no cost increase. Experimental validation involved two 0.25 kW parallel IMs under a Prony brake setup. A comparative analysis of the results shows significant advantages of the proposed method over some previously enhanced approaches.</t>
  </si>
  <si>
    <t>Lee, Sze/AAE-3573-2019; Travieso Torres, Juan Carlos/N-6437-2019</t>
  </si>
  <si>
    <t>0278-0046</t>
  </si>
  <si>
    <t>1557-9948</t>
  </si>
  <si>
    <t>2025 FEB 17</t>
  </si>
  <si>
    <t>10.1109/TIE.2025.3531484</t>
  </si>
  <si>
    <t>FEB 2025</t>
  </si>
  <si>
    <t>WOS:001470672100001</t>
  </si>
  <si>
    <t>Guerrero, F; Castillo, E; Galarce, F; Pacheco, DRQ</t>
  </si>
  <si>
    <t>Guerrero, F.; Castillo, E.; Galarce, F.; Pacheco, D. R. Q.</t>
  </si>
  <si>
    <t>Spatially and temporally high-order dynamic nonlinear variational multiscale methods for generalized Newtonian flows</t>
  </si>
  <si>
    <t>COMMUNICATIONS IN NONLINEAR SCIENCE AND NUMERICAL SIMULATION</t>
  </si>
  <si>
    <t>Non-Newtonian fluids are of interest in industrial sectors, biological problems and other natural phenomena. This work proposes rheologically-dependent, spatially and temporally high-order non-residual stabilized finite element formulations. The accuracy of the methods is assessed by tackling highly-convective time-dependent power-law flows. The spatial approximation uses Lagrangian finite elements up to fourth order. The temporal integration is done via backward differentiation formulas of order one, two and three. A key aspect of our work is using a non- residual orthogonal variational multiscale (VMS) formulation to stabilize dominant convection and to allow equal-order interpolation of velocity and pressure. Our VMS method uses dynamic nonlinear subscales, which have not been tested so far for generalized Newtonian fluids. In this work, the use of high-order temporal discretizations for the subscale components is systematically evaluated. Numerical experiments consider the flow over a confined cylinder for Reynolds numbers between 40 and 400 and power-law indices between 0.4 and 1.8. Numerical testing demonstrates the method to be stable in all combinations of spatial and temporal orders. Our results show that using high-order spatial discretizations more accurately approximates boundary layers and viscosity fields. Moreover, higher temporal orders allow using larger time steps while still capturing highly dynamic behaviors with better resolution in frequency spectra.</t>
  </si>
  <si>
    <t>Pacheco, Douglas/LLM-6995-2024; Galarce Marin, Felipe/ISU-4049-2023</t>
  </si>
  <si>
    <t>Pacheco, Douglas/0000-0002-3494-7118</t>
  </si>
  <si>
    <t>1007-5704</t>
  </si>
  <si>
    <t>1878-7274</t>
  </si>
  <si>
    <t>10.1016/j.cnsns.2024.108368</t>
  </si>
  <si>
    <t>SEP 2024</t>
  </si>
  <si>
    <t>WOS:001327873500001</t>
  </si>
  <si>
    <t>Alaniz, AJ; Vergara, PM; Carvajal, JG; Carvajal, MA</t>
  </si>
  <si>
    <t>Alaniz, Alberto J.; Vergara, Pablo M.; Carvajal, Jorge G.; Carvajal, Mario A.</t>
  </si>
  <si>
    <t>Unraveling the socio-environmental drivers during the early COVID-19 pandemic in China</t>
  </si>
  <si>
    <t>ENVIRONMENTAL SCIENCE AND POLLUTION RESEARCH</t>
  </si>
  <si>
    <t>The effect of environmental and socioeconomic conditions on the global pandemic of COVID-19 had been widely studied, yet their influence during the early outbreak remains less explored. Unraveling these relationships represents a key knowledge to prevent potential outbreaks of similar pathogens in the future. This study aims to determine the influence of socioeconomic, infrastructure, air pollution, and weather variables on the relative risk of infection in the initial phase of the COVID-19 pandemic in China. A spatio-temporal Bayesian zero-inflated Poisson model is used to test for the effect of 13 socioeconomic, urban infrastructure, air pollution, and weather variables on the relative risk of COVID-19 disease in 122 cities of China. The results show that socioeconomic and urban infrastructure variables did not have a significant effect on the relative risk of COVID-19. Meanwhile, COVID-19 relative risk was negatively associated with temperature, wind speed, and carbon monoxide, while nitrous dioxide and the human modification index presented a positive effect. Pollution gases presented a marked variability during the study period, showing a decrease of CO. These findings suggest that controlling and monitoring urban emissions of pollutant gases is a key factor for the reduction of risk derived from COVID-19.</t>
  </si>
  <si>
    <t>Carvajal, Mario/GYU-2659-2022; Vergara, Pablo/F-2519-2010; Alaniz, Alberto/J-3104-2019</t>
  </si>
  <si>
    <t>Alaniz, Alberto J./0000-0003-4878-8848; Vergara, Pablo/0000-0002-0024-1678</t>
  </si>
  <si>
    <t>0944-1344</t>
  </si>
  <si>
    <t>1614-7499</t>
  </si>
  <si>
    <t>10.1007/s11356-023-27969-0</t>
  </si>
  <si>
    <t>WOS:001008837900003</t>
  </si>
  <si>
    <t>Villalobos, FA; Rodríguez, PA; Vera, M</t>
  </si>
  <si>
    <t>Villalobos, Felipe A.; Rodriguez, Paula A.; Vera, Miguel</t>
  </si>
  <si>
    <t>Study of the anisotropic elastic response of a foliated phyllite</t>
  </si>
  <si>
    <t>PROCEEDINGS OF THE INSTITUTION OF CIVIL ENGINEERS-GEOTECHNICAL ENGINEERING</t>
  </si>
  <si>
    <t>Anisotropy is a crucial characteristic of metamorphic rocks whereby minerals oriented in a preferential direction can originate mineral foliation. Inherent anisotropy can affect the rock behaviour significantly. Transverse isotropy is a particular case of anisotropy where foliation planes are distributed in the rock mass. Therefore, in this study the anisotropy effect on the elastic properties of a foliated phyllite is considered. To this end, a series of laboratory tests was programmed. Triaxial tests were carried out under confining pressures up to 20 MPa. Elastic parameters such as elasticity modulus, E, and Poisson's ratio, nu, are assessed from triaxial test results as well as from ultrasonic tests, where compression and shear wave velocities are determined. Empirical relationships for elastic parameters are suggested as a function of foliation angle, beta, and confinement. In addition, anisotropy indexes are adopted to evaluate results, comparing when possible with those of previous works. It was found that E increases with confinement; however, the effect of anisotropy on E reduces with confinement. It was also found that nu is affected by beta but not by confinement.</t>
  </si>
  <si>
    <t>Rodriguez-Marin, Paula/Q-1923-2018; Villalobos, Felipe/GPS-4588-2022</t>
  </si>
  <si>
    <t>Villalobos Jara, Felipe Alberto/0000-0002-5419-3958</t>
  </si>
  <si>
    <t>1353-2618</t>
  </si>
  <si>
    <t>1751-8563</t>
  </si>
  <si>
    <t>10.1680/jgeen.20.00190</t>
  </si>
  <si>
    <t>MAY 2022</t>
  </si>
  <si>
    <t>WOS:000791265500001</t>
  </si>
  <si>
    <t>Faure, A; Tåieb, E</t>
  </si>
  <si>
    <t>Faure, Antoine; Taieb, Emmanuel</t>
  </si>
  <si>
    <t>Years and Years. Time and politicization</t>
  </si>
  <si>
    <t>RES FUTURAE-REVUE D ETUDES SUR LA SCIENCE-FICTION</t>
  </si>
  <si>
    <t>In turns dystopia and utopia, Years and Years is a social science fiction show which examines the links between time and politicization. Its projection into the future is accelerated by the rapid passage of history broadcast by media summaries of the main events that upset the social, political, economic and technological processes of the diegetic world. Along the way, the characters become politicized in the sense that they enter or experience politics. This text examines how, in the diegesis, the process of politicisation is discussed through seriality and the accelerated staging of social temporalities, and how these temporal arrangements make political proposals for anticipating the near future, including the various uses of digital technologies.</t>
  </si>
  <si>
    <t>Faure, Antoine/M-7944-2019</t>
  </si>
  <si>
    <t>2264-6949</t>
  </si>
  <si>
    <t>10.4000/resf.10955</t>
  </si>
  <si>
    <t>WOS:000818953700009</t>
  </si>
  <si>
    <t>Abarzúa, R; Valencia, C; López, J</t>
  </si>
  <si>
    <t>Abarzua, Rodrigo; Valencia, Claudio; Lopez, Julio</t>
  </si>
  <si>
    <t>Survey on performance and security problems of countermeasures for passive side-channel attacks on ECC</t>
  </si>
  <si>
    <t>JOURNAL OF CRYPTOGRAPHIC ENGINEERING</t>
  </si>
  <si>
    <t>This paper presents an analysis on the state of the art of several proposals for algorithmic countermeasures to prevent passive side-channel attacks (SCA) on elliptic curve cryptography (ECC) defined over prime fields. One of the main applications of ECC is in the field of Internet of Things, where the interconnection of devices requires public-key technology with small key sizes and high security levels. Since the secure implementation of ECC on embedded devices involves many challenges for security and efficiency, this work evaluates the trade-offs between security and performance of side-channel attack countermeasures for scalar multiplication algorithms without precomputation. The main contribution is to present a panorama of explicit solutions that may be used for the implementation of ECC mechanisms suitable for embedded devices. In addition to the security problems, some countermeasures are also analyzed.</t>
  </si>
  <si>
    <t>2190-8508</t>
  </si>
  <si>
    <t>2190-8516</t>
  </si>
  <si>
    <t>10.1007/s13389-021-00257-8</t>
  </si>
  <si>
    <t>MAR 2021</t>
  </si>
  <si>
    <t>WOS:000629522400001</t>
  </si>
  <si>
    <t>Villalobos-Cid, M; Salinas, F; Inostroza-Ponta, M</t>
  </si>
  <si>
    <t>Villalobos-Cid, Manuel; Salinas, Francisco; Inostroza-Ponta, Mario</t>
  </si>
  <si>
    <t>Total evidence or taxonomic congruence? A comparison of methods for combining biological evidence</t>
  </si>
  <si>
    <t>JOURNAL OF BIOINFORMATICS AND COMPUTATIONAL BIOLOGY</t>
  </si>
  <si>
    <t>Phylogenetic inference proposes an evolutionary hypothesis for a group of taxa which is usually represented as a phylogenetic tree. The use of several distinct biological evidence has shown to produce more resolved phylogenies than single evidence approaches. Currently, two conflicting paradigms are applied to combine biological evidence: taxonomic congruence (TC) and total evidence (TE). Although the literature recommends the application of these paradigms depending on the congruence of the input data, the resultant evolutionary hypotheses could vary according to the strategy used to combine the biological evidence biasing the resultant topologies of the trees. In this work, we evaluate the ability of different strategies associated with both paradigms to produce integrated evolutionary hypotheses by considering different features of the data: missing biological evidence, diversity among sequences, complexity, and congruence. Using datasets from the literature, we compare the resultant trees with reference hypotheses obtained by applying two inference criteria: maximum parsimony and likelihood. The results show that methods associated with TE paradigm are more robust compared to TC methods, obtaining trees with more similar topologies in relation to reference trees. These results are obtained regardless of (1) the features of the data, (2) the estimated evolutionary rates, and (3) the criteria used to infer the reference evolutionary hypotheses.</t>
  </si>
  <si>
    <t>Inostroza-Ponta, Mario/G-7548-2012; Villalobos-Cid, Manuel/AFK-0866-2022; Salinas, Francisco/W-3269-2017</t>
  </si>
  <si>
    <t>Salinas, Francisco/0000-0002-8391-8145; Villalobos-Cid, Manuel/0000-0002-1145-2016</t>
  </si>
  <si>
    <t>0219-7200</t>
  </si>
  <si>
    <t>1757-6334</t>
  </si>
  <si>
    <t>10.1142/S0219720020500407</t>
  </si>
  <si>
    <t>WOS:000599824900008</t>
  </si>
  <si>
    <t>Majnooni, MB; Fakhri, S; Shokoohinia, Y; Kiyani, N; Stage, K; Mohammadi, P; Gravandi, MM; Farzaei, MH; Echeverría, J</t>
  </si>
  <si>
    <t>Majnooni, Mohammad Bagher; Fakhri, Sajad; Shokoohinia, Yalda; Kiyani, Narges; Stage, Katrina; Mohammadi, Pantea; Gravandi, Mohammad Mehdi; Farzaei, Mohammad Hosein; Echeverria, Javier</t>
  </si>
  <si>
    <t>Phytochemicals: Potential Therapeutic Interventions Against Coronavirus-Associated Lung Injury</t>
  </si>
  <si>
    <t>FRONTIERS IN PHARMACOLOGY</t>
  </si>
  <si>
    <t>Since the outbreak of coronavirus disease 2019 (COVID-19) in December 2019, millions of people have been infected and died worldwide. However, no drug has been approved for the treatment of this disease and its complications, which urges the need for finding novel therapeutic agents to combat. Among the complications due to COVID-19, lung injury has attained special attention. Besides, phytochemicals have shown prominent anti-inflammatory effects and thus possess significant effects in reducing lung injury caused by severe acute respiratory syndrome coronavirus 2 (SARS-CoV-2). Also, the prevailing evidence reveales the antiviral effects of those phytochemicals, including anti-SARS-CoV activity, which could pave the road in providing suitable lead compounds in the treatment of COVID-19. In the present study, candidate phytochemicals and related mechanisms of action have been shown in the treatment/protection of lung injuries induced by various methods. In terms of pharmacological mechanism, phytochemicals have shown potential inhibitory effects on inflammatory and oxidative pathways/mediators, involved in the pathogenesis of lung injury during COVID-19 infection. Also, a brief overview of phytochemicals with anti-SARS-CoV-2 compounds has been presented.</t>
  </si>
  <si>
    <t>Echeverría, Javier/AAK-3323-2020; Shokoohinia, Yalda/R-5789-2017; Farzaei, Mohammad/M-5779-2017</t>
  </si>
  <si>
    <t>Echeverria, Javier/0000-0002-1688-968X</t>
  </si>
  <si>
    <t>1663-9812</t>
  </si>
  <si>
    <t>NOV 18</t>
  </si>
  <si>
    <t>10.3389/fphar.2020.588467</t>
  </si>
  <si>
    <t>WOS:000594709800001</t>
  </si>
  <si>
    <t>Letelier, M; Siginer, DA; Almendra, DL; Stockle, J</t>
  </si>
  <si>
    <t>Letelier, Mario; Siginer, Dennis A.; Almendra, Diego L.; Stockle, Juan</t>
  </si>
  <si>
    <t>SECONDARY FLOWS IN ECCENTRIC-ANNULAR TUBES</t>
  </si>
  <si>
    <t>In this paper, transversal flow field of nonlinear viscoelastic fluids abiding by the modified-Phan-Thien-Tanner (MPTT) constitutive model in straight tubes of eccentric-annular cross-section is investigated. An analytical solution is developed based on an asymptotic expansion in terms of the Weissenberg number coupled with the shape factor method a one-to-one mapping taking the circular cross-section into the eccentric annular cross section. The analysis reveals the formation of transversal flows due to elasticity and to the eccentricity parameter. The number of vortices in the cross-section depends on the ratio of the diameters in addition to the eccentricity parameter. The effect of these parameters on the vortical structure is explored for different values of the material parameters.</t>
  </si>
  <si>
    <t>V007T08A026</t>
  </si>
  <si>
    <t>WOS:001254322800026</t>
  </si>
  <si>
    <t>Saavedra, E; Escrig, J; Palma, JL</t>
  </si>
  <si>
    <t>Saavedra, E.; Escrig, J.; Palma, J. L.</t>
  </si>
  <si>
    <t>Pinning of ferromagnetic domains in interconnected pentagonal spin ice lattices</t>
  </si>
  <si>
    <t>The magnetization reversal process of interconnected pentagonal spin ice systems was investigated using micromagnetic simulations and experimental measurements. Five different systems were investigated, beginning with the interconnected Shakti lattice and introducing deformations with the idea of obtaining pentagonal filing (belonging to the P4 group) until reaching an interconnected square lattice. In all pentagonal lattices, ferromagnetic domains are pinned, acting as isolated domains in an antiferromagnetic lattice, with Cairo filing being the lattice that allows pinning more domains. Experimental measurements on a Cairo lattice of larger dimensions show that the shape of the hysteresis curve is invariant to the size of the bars that make up the interconnected pentagonal spin ice systems.</t>
  </si>
  <si>
    <t>Palma, Juan/IAP-4554-2023; Saavedra, Eduardo/IQS-4264-2023; Escrig, Juan/N-4304-2015</t>
  </si>
  <si>
    <t>Escrig, Juan/0000-0002-3958-8185; Palma, JuanLuis/0000-0003-2068-174X; Saavedra Diaz, Eduardo Andres/0000-0002-2842-2526</t>
  </si>
  <si>
    <t>10.1016/j.jmmm.2019.165522</t>
  </si>
  <si>
    <t>WOS:000475764000031</t>
  </si>
  <si>
    <t>Gracia, M; Gancedo, JR; Gautier, JL; de la Figuera, J; Marco, JF</t>
  </si>
  <si>
    <t>Gracia, M.; Gancedo, J. R.; Gautier, J. L.; de la Figuera, J.; Marco, J. F.</t>
  </si>
  <si>
    <t>Influence of the manganese substitution on the cation distribution and magnetic structure of the spinel-related LiFe1-xMn1+xO4 (x=0.00, 0.25, 0.50, 0.75) system</t>
  </si>
  <si>
    <t>HYPERFINE INTERACTIONS</t>
  </si>
  <si>
    <t>16th Latin American Conference on the Applications of the Mossbauer Effect (LACAME)</t>
  </si>
  <si>
    <t>NOV 18-23, 2018</t>
  </si>
  <si>
    <t>Santiago de Chile, CHILE</t>
  </si>
  <si>
    <t>We report a modified synthesis for lithium manganese ferrites LiFe1-xMn1+xO4 (x=0.00, 0.25, 0.50, 0.75) based on the thermal decomposition of nitrates which produces purer materials when compared to other synthesis methods. The different oxidation states of the various cations and their preferences for particular crystal sites within the spinel-related structure lead to a complex cation distribution and magnetic properties which depend strongly on the composition. The large, almost complete, lithium occupancy of the tetrahedral sites in the spinel structure for particular compositions and the concomitant occurrence of unusual oxidation states of iron show how the synthesis method can be tailored to obtain materials which can have promising applications in the field of lithium-containing batteries.</t>
  </si>
  <si>
    <t>de la Figuera, Juan/E-7046-2010; Marco, JF/N-3176-2014</t>
  </si>
  <si>
    <t>0304-3843</t>
  </si>
  <si>
    <t>1572-9540</t>
  </si>
  <si>
    <t>FEB 28</t>
  </si>
  <si>
    <t>10.1007/s10751-019-1557-z</t>
  </si>
  <si>
    <t>WOS:000460004300002</t>
  </si>
  <si>
    <t>Araya, MJ; Pavez, A; Torres, I; Ramírez, F; Araya, JM</t>
  </si>
  <si>
    <t>Bagnara, S; Tartaglia, R; Albolino, S; Alexander, T; Fujita, Y</t>
  </si>
  <si>
    <t>Araya, Maria J.; Pavez, Amaya; Torres, Isabel; Ramirez, Fernanda; Araya, Jose M.</t>
  </si>
  <si>
    <t>Home Environment and the Elderly: Objects and Products in Relation to the Physical Factors and Their Incidence on Early Dependence</t>
  </si>
  <si>
    <t>PROCEEDINGS OF THE 20TH CONGRESS OF THE INTERNATIONAL ERGONOMICS ASSOCIATION (IEA 2018), VOL VII: ERGONOMICS IN DESIGN, DESIGN FOR ALL, ACTIVITY THEORIES FOR WORK ANALYSIS AND DESIGN, AFFECTIVE DESIGN</t>
  </si>
  <si>
    <t>20th Congress of the International-Ergonomics-Association (IEA)</t>
  </si>
  <si>
    <t>AUG 26-30, 2018</t>
  </si>
  <si>
    <t>Florence, ITALY</t>
  </si>
  <si>
    <t>Int Ergon Assoc</t>
  </si>
  <si>
    <t>The aging of population at the world level requires more research from different areas, with ergonomics playing an important role due to its multidisciplinary character. The relation of older adults with their objectual surroundings is specific and marginal in the representation of design. This hinders the basic activities of daily living (ADL) in the home environment. Their physical and cognitive specificities make us ask about and reflect on the factors that interfere with their performance and affect their autonomy, requiring us to promote an inclusive design for older persons. Because of the above, we value the need to prevent the deterioration of older persons and in this way favor their quality of life and autonomy. Furthermore, it is relevant that the dependence of older persons has a high individual and collective cost that affects a country's welfare. Chile is projected for the year 2025 as the region's most aged country, with around 25% of the people considered as older persons, and a progressive increase of dependent older persons who are added to the structural inequality, so we have a growing older population associated with impoverishment and femininity. Social services approach incipiently this situation, which from the health perspective, the dependence of older persons becomes a sanitary priority. The present proposal is framed in the first phase of the institutional project of the Universidad de Santiago de Chile, which is aimed at relating the physical (postures and movements) and the cognitive (perception) characteristics of older adults and the transition to dependence, in the ADL. The scientific development of the issue was examined through an INTEGRATIVE REVISION that answered the question: Which are the risk factors in daily life and its objectual environment, which attempt against the posture, anthropometry, and biomechanics of older adult men and women, that have an influence on mild dependence? Two search engines, PUBMED and WOS, were used, and among the results, it is highlighted that physical space must adjust to adapt to the physical, cognitive, and emotional changes caused by natural aging. On the other hand, in various studies it is seen that illumination, the ease of maintaining hygiene, and inappropriate furniture, are constant problems in houses, and this turns more serious with the risk of decreasing memory, among other.</t>
  </si>
  <si>
    <t>Torres Zapata, Isabel/E-4287-2016; Araya, Maria/HSG-3880-2023</t>
  </si>
  <si>
    <t>Torres Zapata, Isabel/0000-0003-2088-6470; Araya Leon, Maria Jose/0000-0001-7284-6943</t>
  </si>
  <si>
    <t>978-3-319-96071-5; 978-3-319-96070-8</t>
  </si>
  <si>
    <t>10.1007/978-3-319-96071-5_67</t>
  </si>
  <si>
    <t>WOS:000473061800056</t>
  </si>
  <si>
    <t>De la Cerda, OG; Humphreys, P; Ulloa, MSS</t>
  </si>
  <si>
    <t>Garcia De la Cerda, Osvaldo; Humphreys, Patrick; Saavedra Ulloa, Maria Soledad</t>
  </si>
  <si>
    <t>Enactive management: A nurturing technology enabling fresh decision making to cope with conflict situations</t>
  </si>
  <si>
    <t>FUTURES</t>
  </si>
  <si>
    <t>The focus of this paper is observation, self-observation, and enactive management of organizational conflict situations whereby a community, an organization, or a human being has the possibility of recognizing their resources and generating changes in their practices if they so desire, and making fresh decisions, in the sense that different ontological dimensions are involved. We show how considering Body(1)- Language- Emotions- History- Eros- Silence can configure a nurturing technology call CLEHES. This tool has been applied for diverse people, groups, communities, and organizations that need and wish to develop their own skills to inquire conflict practice resolutions, in order to learn as a human decision support system. Conflict situations are understood as interactions, a breakdown in-between CLEHES from the individual or social standpoints. This tool allows observing the boundaries of conflict situations and building an observer system with the ability to manage, solve, or attenuate the situation, enabling fresh decision making attending to the context in which the organization moves. This learning process happens in a constructed place called an Enactive Laboratory where strategies are developed to cope with the domains and context in the perceived individual and human activities systems. We present a case study focusing on a Learning Family Mediators System.</t>
  </si>
  <si>
    <t>Saavedra Ulloa, Maria Soledad/0000-0003-4080-2609</t>
  </si>
  <si>
    <t>0016-3287</t>
  </si>
  <si>
    <t>1873-6378</t>
  </si>
  <si>
    <t>10.1016/j.futures.2018.03.014</t>
  </si>
  <si>
    <t>WOS:000447481900009</t>
  </si>
  <si>
    <t>Tasca, Federico; Javier Recio, F.; Venegas, Ricardo; Geraldo, Daniela A.; Sancy, Mamie; Zagal, Jose H.</t>
  </si>
  <si>
    <t>Linear versus volcano correlations for the electrocatalytic oxidation of hydrazine on graphite electrodes modified with MN4 macrocyclic complexes (vol 140, pg 314, 2014)</t>
  </si>
  <si>
    <t>Recio, Francisco/AAB-2148-2020; zagal, jose/L-9648-2014; Sancy, Mamié/L-6270-2014; Venegas, Ricardo/U-6376-2019; Tasca, Federico/J-4134-2015</t>
  </si>
  <si>
    <t>Recio, Francisco/0000-0002-5181-3197; Venegas, Ricardo/0000-0001-7440-484X; Geraldo, Daniela/0000-0001-6029-5697</t>
  </si>
  <si>
    <t>JAN 10</t>
  </si>
  <si>
    <t>10.1016/j.electacta.2017.12.045</t>
  </si>
  <si>
    <t>WOS:000419831600112</t>
  </si>
  <si>
    <t>Bakhtiyarov, SI; Siginer, DA</t>
  </si>
  <si>
    <t>Bakhtiyarov, Sayavur I.; Siginer, Dennis A.</t>
  </si>
  <si>
    <t>RHEOMETRIC STUDIES OF NEW CLASS IONIC LIQUID NANOLUBRICANTS</t>
  </si>
  <si>
    <t>PROCEEDINGS OF THE ASME INTERNATIONAL MECHANICAL ENGINEERING CONGRESS AND EXPOSITION, 2017, VOL 7</t>
  </si>
  <si>
    <t>ASME International Mechanical Engineering Congress and Exposition</t>
  </si>
  <si>
    <t>NOV 03-09, 2017</t>
  </si>
  <si>
    <t>Tampa, FL</t>
  </si>
  <si>
    <t>The traditional lubricating materials used in space, such as mineral oils, polyol ester, PFPE, Pennzane, etc. have limited lifetimes in vacuum due to the catalytic degradation on metal surfaces, high vaporization at high temperatures, dewetting, and other disadvantages. The lubricants for the space applications must have vacuum stability (i.e. low vapor pressure), high viscosity index (wide liquid range), low creep tendency, good elastohydrodynamic and boundary lubrication properties, radiation atomic oxygen resistance, optical or infrared transparency. Thermophysical and chemical analyses are another important required set of tests for the newly developed space lubricants. Some of these properties for liquid lubricants are base oil and additive volatility, creep, surface tension, viscosity, chemical composition, weight loss, density, vapor pressure, etc. Unfortunately, the properties such as non-linearity in the rheological behavior of the lubricants were not studied well for newly developed systems. The rheological properties are crucial to analyzing thermodynamic and energy dissipative aspects of the lubrication process. The rheological measurements for the newly developed ionic liquid nanolubricant were conducted using rotational rheometer AES G-2 of parallel-plates mode.</t>
  </si>
  <si>
    <t>978-0-7918-5842-4</t>
  </si>
  <si>
    <t>UNSP V007T09A036</t>
  </si>
  <si>
    <t>WOS:000428485600036</t>
  </si>
  <si>
    <t>Mendiburo-Seguel, AF; Rovira, DP; Martínez-Zelaya, G</t>
  </si>
  <si>
    <t>Delgado, JB</t>
  </si>
  <si>
    <t>Fernando Mendiburo-Seguel, Andres; Paez Rovira, Dario; Martinez-Zelaya, Gonzalo</t>
  </si>
  <si>
    <t>Humor, Culture, Personality and Welfare at a Collective Level</t>
  </si>
  <si>
    <t>PSYCHOLOGY AND PHYLOSOPHY OF HUMOR</t>
  </si>
  <si>
    <t>Humor-Aproximaciones Transdisciplinares</t>
  </si>
  <si>
    <t>This chapter aims to relate the cultural dimensions measured by Hofstede and the GLOBE study and the personality traits measured by the Big Five model with the personality styles introduced by Martin et al. (2003) at a collective level. The Hofstede, GLOBE and Big Five models are described to then present the results obtained in relation thereto. To carry out this study, the results of the Humor Styles Questionnaire scale in samples from 27 countries were collected and correlated with the average values by country of the remaining variables. The results show conclusions consistent with collective (Mendiburo-Seguel and Paez, 2011) and individual (Mendiburo-Seguel, Paez and Martinez-Sanchez, 2015) studies, implying that there is a relationship among culture, personality and humor, which in turn affects the welfare of citizens from various countries and cultures.</t>
  </si>
  <si>
    <t>Martínez, Gonzalo/JZT-5582-2024; Paez, Dario/D-5207-2009</t>
  </si>
  <si>
    <t>Paez, Dario/0000-0002-8459-6037</t>
  </si>
  <si>
    <t>978-958-760-086-5; 978-958-760-085-8</t>
  </si>
  <si>
    <t>10.16925/9789587600865</t>
  </si>
  <si>
    <t>WOS:000668693300014</t>
  </si>
  <si>
    <t>Villalobos-Cid, M; Dorn, M; Inostroza-Ponta, M</t>
  </si>
  <si>
    <t>Villalobos-Cid, Manuel; Dorn, Marcio; Inostroza-Ponta, Mario</t>
  </si>
  <si>
    <t>Understanding the relationship between decision and objective space in the multi-objective phylogenetic inference problem</t>
  </si>
  <si>
    <t>2018 IEEE CONGRESS ON EVOLUTIONARY COMPUTATION (CEC)</t>
  </si>
  <si>
    <t>IEEE Congress on Evolutionary Computation (IEEE CEC) as part of the IEEE World Congress on Computational Intelligence (IEEE WCCI)</t>
  </si>
  <si>
    <t>JUL 08-13, 2018</t>
  </si>
  <si>
    <t>Rio de Janeiro, BRAZIL</t>
  </si>
  <si>
    <t>Phylogenetic inference allows us to make a hypothesis about the evolutionary relationships among a group of organisms. Several methods based on different criteria have been proposed to infer phylogeny. However, the obtained evolutionary hypothesis varies depending on the applied method. During the last decade, different multi-objective optimisation strategies have been designed to reduce this dependency. All of them improve the solutions using dominance levels and different metrics over the objective space. However, in the multi-objective phylogenetic inference context, the relationship between the topological features of the representation (decision space) and the objective space has not been studied. In this work, we use clustering techniques to compare both spaces by considering: (1) different topological metrics designed to contrast phylogenetic trees, and (2) four different criteria used to infer phylogeny. The results show that the decision space is surjective but not injective, and it is not related to the objective space. That means that the convergence process of the current approaches could discard solutions which allow us to explore different regions of the decision space, biasing the resultant topologies. This work is a contribution for the design of new multi-objective strategies that consider a smart exploration of the decision space.</t>
  </si>
  <si>
    <t>Inostroza-Ponta, Mario/G-7548-2012; Villalobos-Cid, Manuel/AFK-0866-2022; Dorn, Marcio/D-3696-2009</t>
  </si>
  <si>
    <t>Dorn, Marcio/0000-0001-8534-3480; Inostroza-Ponta, Mario/0000-0003-1295-8972; Villalobos-Cid, Manuel/0000-0002-1145-2016</t>
  </si>
  <si>
    <t>978-1-5090-6017-7</t>
  </si>
  <si>
    <t>10.1109/CEC.2018.8477689</t>
  </si>
  <si>
    <t>WOS:000451175500095</t>
  </si>
  <si>
    <t>Prabhakaran, T; Mangalaraja, RV; Denardin, JC</t>
  </si>
  <si>
    <t>Prabhakaran, T.; Mangalaraja, R. V.; Denardin, Juliano C.</t>
  </si>
  <si>
    <t>The structural, magnetic and magnetic entropy changes on CoFe2O4/CoFe2 composites for magnetic refrigeration application</t>
  </si>
  <si>
    <t>In this article, the magnetocaloric effect on thermally reduced CoFe2O4/CoFe2 composite was reported. Co-precipitated CoFe2O4 nanoparticles were thermally reduced at 500 and 800 degrees C for 2 h under H-2 atmosphere. The reduction process resulted in different fractions of soft and hard (CoFe2O4/CoFe2) magnetic composites and the products were characterized through various procedures. The structure of CoFe2O4/CoFe2 composites was found to be cubic with an average crystallite size of 31 and 30 nm for the samples reduced at 500 and 800 degrees C, respectively. The stoichiometry of the composites confirmed that the percentage of soft CoFe2 magnetic phase was increased to 87% with temperature up to 800 degrees C for 2 h, besides showed accumulation of nanoparticles. The room temperature saturation magnetization of the CoFe2O4/CoFe2 composites increases from 184 to 190 emu/g as a consequence of high concentration of CoFe2 phase. Conversely, the sample reduced at 800 degrees C attained the maximum magnetization of 200 and 221 emu/g at 300 and 5 K, respectively. Field cooled (FC) and zero field cooled magnetization (ZFC) and the isothermal magnetic entropy change (Delta S-m) on the CoFe2O4/CoFe2 composite (with 87% of soft CoFe2 magnetic phase) were estimated. The composite showed the interesting positive and negative magnetic entropy change (Delta S-m) of 0.923 and -0.923 J/kg.K-1 near room temperature at around 310 and 290 K, respectively. (C) 2017 Elsevier B.V. All rights reserved.</t>
  </si>
  <si>
    <t>THANDAPANI, PRABHAKARAN/L-3282-2018; Denardin, Juliano/S-6407-2019; Viswanathan, Mangalaraja/AAM-6090-2020</t>
  </si>
  <si>
    <t>Denardin, Juliano/0000-0002-1373-6207; Thandapani, Prabhakaran/0000-0003-0245-8827</t>
  </si>
  <si>
    <t>10.1016/j.jmmm.2017.08.008</t>
  </si>
  <si>
    <t>WOS:000413147400046</t>
  </si>
  <si>
    <t>Dark Vibronic Polaritons and the Spectroscopy of Organic Microcavities</t>
  </si>
  <si>
    <t>Organic microcavities are photonic nanostructures that strongly confine the electromagnetic field, allowing exotic quantum regimes of light-matter interaction with disordered organic semiconductors. The unambiguous interpretation of the spectra of organic microcavities has been a long-standing challenge due to several competing effects involving electrons, vibrations, and cavity photons. Here we present a theoretical framework that is able to describe the main spectroscopic features of organic microcavities consistently. We introduce a class of light-matter excitations called dark vibronic polaritons, which strongly emit but only weakly absorb light in the same frequency region of the bare electronic transition. A successful comparison with experimental data demonstrates the applicability of our theory. The proposed microscopic understanding of organic microcavities paves the way for the development of optoelectronic devices enhanced by quantum optics.</t>
  </si>
  <si>
    <t>10.1103/PhysRevLett.118.223601</t>
  </si>
  <si>
    <t>WOS:000403603900003</t>
  </si>
  <si>
    <t>de Souza, CE; Coutinho, D; Barbosa, KA</t>
  </si>
  <si>
    <t>de Souza, Carlos E.; Coutinho, Daniel; Barbosa, Karina A.</t>
  </si>
  <si>
    <t>Guaranteed Cost Control of Quadratic Time-Delay Systems</t>
  </si>
  <si>
    <t>2017 11TH ASIAN CONTROL CONFERENCE (ASCC)</t>
  </si>
  <si>
    <t>Asian Control Conference ASCC</t>
  </si>
  <si>
    <t>11th Asian Control Conference (ASCC)</t>
  </si>
  <si>
    <t>DEC 17-20, 2017</t>
  </si>
  <si>
    <t>Gold Coast, AUSTRALIA</t>
  </si>
  <si>
    <t>This paper deals with the problem of regional guaranteed cost control design for, possibly open-loop unstable, nonlinear quadratic systems with a delayed state. Control methods based on the Razumikhin and Lyapunov-Krasovskii stability theorems are developed for designing static nonlinear quadratic state feedback controllers that achieve delay-independent regional stability while guaranteeing a quadratic regulator-type performance for any initial function taking value in a region of the state-space inside some polytopic domain. The proposed methods are tailored via a finite set of linear matrix inequalities. A numerical example is presented to illustrate the potentials of the control designs.</t>
  </si>
  <si>
    <t>Barbosa, Karina/A-2236-2014; Coutinho, Daniel/M-6790-2013</t>
  </si>
  <si>
    <t>2072-5639</t>
  </si>
  <si>
    <t>978-1-5090-1573-3</t>
  </si>
  <si>
    <t>WOS:000426957300303</t>
  </si>
  <si>
    <t>Leiva-Salcedo, E; Riquelme, D; Cerda, O; Stutzin, A</t>
  </si>
  <si>
    <t>Leiva-Salcedo, Elias; Riquelme, Denise; Cerda, Oscar; Stutzin, Andres</t>
  </si>
  <si>
    <t>TRPM4 activation by chemically- and oxygen deprivation-induced ischemia and reperfusion triggers neuronal death</t>
  </si>
  <si>
    <t>CHANNELS</t>
  </si>
  <si>
    <t>Cerebral ischemia-reperfusion injury triggers a deleterious process ending in neuronal death. This process has two components, a glutamate-dependent and a glutamate-independent mechanism. In the glutamate-independent mechanism, neurons undergo a slow depolarization eventually leading to neuronal death. However, little is known about the molecules that take part in this process. Here we show by using mice cortical neurons in culture and ischemia-reperfusion protocols that TRPM4 is fundamental for the glutamate-independent neuronal damage. Thus, by blocking excitotoxicity, we reveal a slow activating, glibenclamide-and 9-phenanthrol-sensitive current, which is activated within 5 min upon ischemia-reperfusion onset. TRPM4 shRNA-based silenced neurons show a reduced ischemia-reperfusion induced current and depolarization. Neurons were protected from neuronal death up to 3 hours after the ischemia-reperfusion challenge. The activation of TRPM4 during ischemia-reperfusion injury involves the increase in both, intracellular calcium and H2O2, which may act together to produce a sustained activation of the channel.</t>
  </si>
  <si>
    <t>Stutzin, Andrés/I-7605-2013; Cerda, Oscar/N-3895-2018</t>
  </si>
  <si>
    <t>Cerda, Oscar/0000-0003-2873-5722</t>
  </si>
  <si>
    <t>1933-6950</t>
  </si>
  <si>
    <t>1933-6969</t>
  </si>
  <si>
    <t>10.1080/19336950.2017.1375072</t>
  </si>
  <si>
    <t>WOS:000423507900015</t>
  </si>
  <si>
    <t>Ferrer, A; Orellana, O; Levicán, G</t>
  </si>
  <si>
    <t>Quatrini, R; Johnson, DB</t>
  </si>
  <si>
    <t>Ferrer, Alonso; Orellana, Omar; Levican, Gloria</t>
  </si>
  <si>
    <t>Oxidative Stress and Metal Tolerance in Extreme Acidophiles</t>
  </si>
  <si>
    <t>ACIDOPHILES: LIFE IN EXTREMELY ACIDIC ENVIRONMENTS</t>
  </si>
  <si>
    <t>In the extremely acidic conditions found in natural acid rock environments and bioleaching operations, microorganisms have to deal with an abundant supply of (heavy) metals. Iron is required as micronutrient by all acidophiles, and as a primary energy source or alternative electron acceptor by some of them. However iron and other metals can also induce oxidative damage to biomolecules by generating reactive oxygen species (ROS). Acidophilic microorganisms, therefore, are often exposed to highly oxidizing conditions and face the problem of maintaining intracellular metal and redox homeostasis. Although acidophiles fight oxidative stress via a number of ROS scavenging enzymes, they seem to depend mainly on biomolecule repair using a plethora of protein and lipid repair systems. Evidence collected to date indicates that the molecular determinants of this response also serve to protect the cells from other extreme environmental factors such as temperature, pH and metal(loid)s. Acidophiles are well equipped with mechanisms to export, sequester and/or store metals. Reducing the bioavailability of metals also seems to play an important role in their tolerance, via complex formation (with sulfate anions) and binding to extracellular polymeric substances. This chapter summarizes the mechanisms of protection to oxidative stress and metal toxicity in acidophiles, how these are configured to build the robust protection system required to thrive under extreme stress conditions, and how the ability of acidophiles to respond to those conditions may be critical in determining their growth and activity.</t>
  </si>
  <si>
    <t>Levican, Gloria/R-5191-2019</t>
  </si>
  <si>
    <t>978-1-910190-33-3</t>
  </si>
  <si>
    <t>WOS:000388045100004</t>
  </si>
  <si>
    <t>Bellalta, P; Troncoso, E; Zúñiga, RN; Aguilera, JM</t>
  </si>
  <si>
    <t>Bellalta, Pablo; Troncoso, Elizabeth; Zuniga, Rommy N.; Aguilera, Jose M.</t>
  </si>
  <si>
    <t>Rheological and microstructural characterization of WPI-stabilized O/W emulsions exhibiting time-dependent flow behavior</t>
  </si>
  <si>
    <t>The theological behavior of oil-in-water (O/W) emulsions stabilized by whey protein isolate (WPI) and its relationship with the microstructural changes caused by shearing was studied. O/W emulsions (50, 55, and 60 g oil/100 g) were made using ultrasound and their theological properties were determined by: flow curve test, constant shear rate test, and hysteresis loop test. Microstructural changes were evaluated in terms of droplet size and droplet size distribution. Emulsions containing 50 and 55 g oil/100 g showed a Newtonian behavior, whereas those with 60 g oil/100 g exhibited shear-thinning behavior. Under constant deformation, the apparent viscosity of the emulsions decreased with time. The hysteresis loop test revealed that increasing oil content increased the degree of thixotropy of the emulsions. Moreover, before and after the constant deformation test droplet size distributions did not show differences, indicating that the decrease in the apparent viscosity may be promoted by breakdown and further deformation and/or reorganization of oil droplets flocs. In turn, experimental data obtained from the constant shear rate test was fitted to a structural kinetic model. The rate constant values showed no particular trend with oil content and shear rate, implying that probably wall slip occurred at high shear rates and high oil contents. (C) 2011 Elsevier Ltd. All rights reserved.</t>
  </si>
  <si>
    <t>Aguilera, Jose/D-1383-2014</t>
  </si>
  <si>
    <t>Troncoso, Elizabeth/0000-0002-6749-774X; Aguilera, Jose Miguel/0000-0001-5754-2722; Zuniga, Rommy/0000-0002-4195-8085</t>
  </si>
  <si>
    <t>10.1016/j.lwt.2011.12.017</t>
  </si>
  <si>
    <t>WOS:000300602600001</t>
  </si>
  <si>
    <t>Morales, F; Constandil, L; Pelissier, T; Hernández, A; Laurido, C</t>
  </si>
  <si>
    <t>Morales, Francisco; Constandil, Luis; Pelissier, Teresa; Hernandez, Alejandro; Laurido, Claudio</t>
  </si>
  <si>
    <t>Antinociceptive interaction of (±)-CPP and propentofylline in monoarthritic rats</t>
  </si>
  <si>
    <t>ARTHRITIS RESEARCH &amp; THERAPY</t>
  </si>
  <si>
    <t>Introduction: Multiple studies have shown that glial cells of the spinal cord, such as astrocytes and microglia, have close contact with neurons, suggesting the term tripartite synapse. In these synapses, astrocytes surrounding neurons contribute to neuronal excitability and synaptic transmission, thereby increasing nociception and thus the persistence of chronic pain. Conversely, the N-methyl-D-aspartate (NMDA) receptor is crucial in the generation and maintenance of chronic pain. It has multiple sites of modulation. One is the site of recognition of extracellular neurotransmitter (glutamate), which can be blocked by competitive antagonists such as (3-(2-carboxipiperazin-4)1-propyl phosphonic acid), (+/-)-CPP, resulting in a blockade of the calcium current and thus the intracellular transduction process. In the present study, we investigated whether the potential antinociceptive effect of glial inhibition produced by propentofylline (PPF) can be enhanced when combined with an NMDA-receptor inhibitor such as (+/-)-CPP. Methods: We used Sprague-Dawley monoarthritic rats. The monoarthritis was induced by injection of complete Freund adjuvant in the right tibiotarsal joint. Four weeks later, rats were treated with PPF (1, 10, 30, and 100 mu g/10 mu l) intrathecally (i.t.) for 10 days, injected once with (+/-)-CPP (2.5, 5, 12.5, 25, 50, and 100 mu g/10 mu l, i.t.), or both treatments combined. The antinociceptive effect was evaluated on day 11 for PPF and immediately to (+/-)-CPP, by assessing the vocalization threshold to mechanical stimulation of the arthritic paw. Results: The data indicate that intrathecal administration of increasing concentrations of (+/-)-CPP or PPF produced a significant dose-dependent antinociceptive effect with respect to monoarthritic rats receiving saline. The linear regression analysis showed that the dose that produces 30% of maximal effect (ED30) for i.t. (+/-)-CPP was 3.97 mu g, and 1.42 mu g for i.t. PPF. The administration of the PPF and (+/-)-CPP combination in fixed proportions of ED30 produced a dose-dependent antinociceptive effect, showing an interaction of the supraadditive type. Conclusions: The results suggest that glia inhibitors can synergically potentiate the effect of glutamate blockers for the treatment of chronic inflammatory pain.</t>
  </si>
  <si>
    <t>1478-6354</t>
  </si>
  <si>
    <t>1478-6362</t>
  </si>
  <si>
    <t>R196</t>
  </si>
  <si>
    <t>10.1186/ar4030</t>
  </si>
  <si>
    <t>WOS:000314974600040</t>
  </si>
  <si>
    <t>Astroza, G; Faundes, V; Nanjarí, R; Fleiderman, M; Rodríguez, C</t>
  </si>
  <si>
    <t>Astroza, Gaston; Faundes, Victor; Nanjari, Rene; Fleiderman, Marcelo; Rodriguez, Carlos</t>
  </si>
  <si>
    <t>Appendiceal endometriosis differentially diagnosed from acute appendicitis</t>
  </si>
  <si>
    <t>CHINESE MEDICAL JOURNAL</t>
  </si>
  <si>
    <t>Astroza, Gaston/HCH-3194-2022; Faundes, Victor/A-2125-2011</t>
  </si>
  <si>
    <t>Faundes, Victor/0000-0002-6746-0103</t>
  </si>
  <si>
    <t>0366-6999</t>
  </si>
  <si>
    <t>JUN 20</t>
  </si>
  <si>
    <t>10.3760/cma.j.issn.0366-6999.2010.12.024</t>
  </si>
  <si>
    <t>WOS:000279754100024</t>
  </si>
  <si>
    <t>Galotto, MJ; Ulloa, PA; Hernández, D; Fernández-Martín, F; Gavara, R; Guarda, A</t>
  </si>
  <si>
    <t>Galotto, M. J.; Ulloa, P. A.; Hernandez, D.; Fernandez-Martin, F.; Gavara, R.; Guarda, A.</t>
  </si>
  <si>
    <t>Mechanical and thermal behaviour of flexible food packaging polymeric films materials under high pressure/temperature treatments</t>
  </si>
  <si>
    <t>PACKAGING TECHNOLOGY AND SCIENCE</t>
  </si>
  <si>
    <t>The effect of high-pressure processing on mechanical and thermal properties of four complex packaging materials (polyethylenelethylene vinyl alcohol/ polyethylene: PE/EVOH/PE; metallized polyester/polyethylene: PETmet/PE; polyester/ polyethylene: PET/PE; polypropylene SiOx recovered: PPSiOx) was studied. Pouches of the different materials containing distilled water or olive oil as food simulants, as well as empty ones, were subjected to 400 MPa for 30 min, at temperatures of 20 or 60 degrees C. Delamination and wrinkling were a general consequence of the high-pressure processing of multilayer polymeric systems. However, no significant changes were observed regarding the mechanical properties of PE containing laminates after pressurization. PPSiOx underwent significant modifications as SiOx completely broke down. Neither thermal property was affected by pressure, as it was the processing temperature that induced tempering effects on tire crystallization behaviour of polymeric components. Only PE/EVOH/ PE, when in contact with water as a simulant, presented a decrease in the melting point temperature. Copyright (c) 2008 John Wiley &amp; Sons, Ltd.</t>
  </si>
  <si>
    <t>Gómez-Guillén, M./K-7796-2014; Gavara, Rafael/H-4096-2012</t>
  </si>
  <si>
    <t>Gavara, Rafael/0000-0001-6376-8939; Ulloa, Pablo A/0000-0002-7267-9505</t>
  </si>
  <si>
    <t>0894-3214</t>
  </si>
  <si>
    <t>1099-1522</t>
  </si>
  <si>
    <t>AUG-SEP</t>
  </si>
  <si>
    <t>10.1002/pts.807</t>
  </si>
  <si>
    <t>WOS:000258989700006</t>
  </si>
  <si>
    <t>Castro, SA; Bozinovic, F; Jaksic, FM</t>
  </si>
  <si>
    <t>Castro, S. A.; Bozinovic, F.; Jaksic, F. M.</t>
  </si>
  <si>
    <t>Ecological efficiency and legitimacy in seed dispersal of an endemic shrub (Lithrea caustica) by the European rabbit (Oryctol gus cuniculus) in central Chile</t>
  </si>
  <si>
    <t>JOURNAL OF ARID ENVIRONMENTS</t>
  </si>
  <si>
    <t>The European rabbit (Oryctolagus cuniculus) is an alien herbivore in central Chile. Although its diet is poorly studied, this rabbit is known to consume native fruits and seeds, and thus it could act as a seed-dispersal agent. We evaluated the effect of endozoochory by rabbits on the survival and germination of seeds of a native shrub (Lithrea caustica, Anacardiaceae), as well as its consequences for seed dispersal. We extracted seeds by hand from parental shrubs, and compared the germination dynamics of seeds passing once and twice throughout the rabbit's gut (simulating its coprophagy) versus control treatments (seeds not consumed). Additionally, in permanent 2 x 2 m sampling plots placed in the wild, we evaluated the abundance of L. caustica seedlings and of its seeds in rabbit droppings. Results indicate that rabbits reduced seed survival to 82% on average with the first gut passage, and to an additional 52% with a second passage. Nevertheless, germination variables such as initiation time and germination, as well as final germination rate, increased significantly in comparison to non-ingested seeds. Sampling plots showed that L. caustica seedlings were concentrated principally underneath woody patches, which are then regarded as safe sites. Outside shrub cover, seedling abundance small, this indicates that open places are unsafe sites. We recorded that feces (and seeds contained) were deposited in higher proportion beneath woody cover, Thus, the native shrub L. caustica may be dispersed by alien rabbits through endozoochory, which provides legitimacy and efficiency in this dispersal service. Alien rabbits may fill a similar role played by native mammals, which have been reduced in abundance by human agency in central Chile. We suggest that the generalist syndrome, common among plants and dispersers, may be an arena of positive effects in ecological interactions between alien and native species. (c) 2008 Published by Elsevier Ltd.</t>
  </si>
  <si>
    <t>0140-1963</t>
  </si>
  <si>
    <t>1095-922X</t>
  </si>
  <si>
    <t>10.1016/j.jaridenv.2007.12.012</t>
  </si>
  <si>
    <t>WOS:000257043800003</t>
  </si>
  <si>
    <t>Jan, MVS; Guarini, M; Guesalaga, A; Pérez-Correa, JR; Vargas, Y</t>
  </si>
  <si>
    <t>Sint Jan, Michael Van; Guarini, Marcelo; Guesalaga, Andrs; Perez-Correa, J. Ricardo; Vargas, Yolanda</t>
  </si>
  <si>
    <t>Ultrasound based measurements of sugar and ethanol concentrations in hydroalcoholic solutions</t>
  </si>
  <si>
    <t>FOOD CONTROL</t>
  </si>
  <si>
    <t>Industrial automation is useful to reduce production costs and improve product quality. The wine industry has been increasingly adopting industrial automation seeking these objectives. In Chile, wineries have been lagging behind in embracing new technologies to control the fermentation process. In most cases, enologists decide control actions (cooling, heating, pumping over) based on off line periodic measurements. In this work we explore the applicability of ultrasound to measure the sugar and alcohol concentrations of hydroalcoholic solutions mimicking fermenting musts. Additionally, implementation issues such as the attenuation effect of bubbles and tank curvature are analyzed. We show that working at two sufficiently distinct frequencies, we can measure sugar and alcohol content simultaneously. Measurement resolution achieved for the wave time of travel translates to a better than 0.02% for both concentrations, depending on the container size. (c) 2007 Elsevier Ltd. All rights reserved,</t>
  </si>
  <si>
    <t>GUESALAGA, ANDRES/F-8236-2013; Perez-Correa, Jose/I-5565-2012</t>
  </si>
  <si>
    <t>Perez-Correa, Jose/0000-0002-1278-7782</t>
  </si>
  <si>
    <t>0956-7135</t>
  </si>
  <si>
    <t>1873-7129</t>
  </si>
  <si>
    <t>10.1016/j.foodcont.2006.11.009</t>
  </si>
  <si>
    <t>WOS:000249937800006</t>
  </si>
  <si>
    <t>Landgraf, MAV; Martinez, LL; Rastelli, VMF; Franco, MCP; Soto-Suazo, M; Tostes, RCA; Carvalho, MHC; Nigro, D; Fortes, ZB</t>
  </si>
  <si>
    <t>Intrauterine undernutrition in rats interferes with leukocyte migration, decreasing adhesion molecule expression in leukocytes and endothelial cells</t>
  </si>
  <si>
    <t>JOURNAL OF NUTRITION</t>
  </si>
  <si>
    <t>Experimental and epidemiologic data have shown that malnutrition predisposes individuals to infections. Immune responses are compromised, particularly in undernourished children. Therefore, we investigated the migratory capacity of leukocytes, using the intravital microscopy technique, in male Wistar rats (8-9 wk of age) that were undernourished in utero after their dams were fed 50% less food than the amount consumed by control dams. The number of leukocytes rolling along the venular enclothelium, sticking after stimulation with leukotriene B-4, tumor necrosis factor-alpha (TNF-alpha) or zymosan-activated plasma, or migrating after TNF-alpha stimulation was significantly reduced in the undernourished rat offspring. Compared with nourished rat offspring, undernourished offspring had significantly reduced numbers of circulating leukocytes, higher blood pressure, and higher leukocyte rolling velocity (V-WBC), as well as a higher ratio between V-WBC and RBC velocity (V-RBC). Endothelial P-selectin and intercellular adhesion molecule-1 (ICAM-1) expression, analyzed by immunohistochemistry, and basal leukocyte L-selectin expression, analyzed by flow cytometry, were significantly reduced in the undernourished rat offspring. Because the groups did not differ in leukocyte CD11/18 expression, endothelial expression of platelet-endothelial cell adhesion molecule-1, or venular blood flow velocity and, consequently, venular shear rate, we conclude that intrauterine undernutrition in rats reduces leukocyte migration, downregulates endothelial expression of P-selectin and ICAM-1, as well as leukocyte expression of L-selectin, while reducing leukocyte counts. The higher V-WBC and V-WBC/V-RBC ratio may also play a role in this reduced leukocyte migration. Our data suggest that this phenomenon is involved in the increased predisposition to infections in undernourished subjects.</t>
  </si>
  <si>
    <t>Carvalho, Maria/C-8539-2013; do Carmo P Franco, Maria/F-7771-2015; fortes, zuleica/G-8314-2011; Tostes, Rita/C-1025-2012</t>
  </si>
  <si>
    <t>Landgraf, Maristella de Almeida Vitta/0000-0003-2887-727X; Milan Ferreira Rastelli, Viviani/0000-0002-2706-3883; Tostes, Rita/0000-0002-9446-0707; Franco, Maria do Carmo/0000-0003-0604-7689; Gama Landgraf, Richardt/0000-0001-7774-7880</t>
  </si>
  <si>
    <t>0022-3166</t>
  </si>
  <si>
    <t>1541-6100</t>
  </si>
  <si>
    <t>10.1093/jn/135.6.1480</t>
  </si>
  <si>
    <t>WOS:000229620600023</t>
  </si>
  <si>
    <t>Gutiérrez, OA; Chavez, M; Lissi, E</t>
  </si>
  <si>
    <t>A theoretical approach to some analytical properties of heterogeneous enzymatic assays</t>
  </si>
  <si>
    <t>ANALYTICAL CHEMISTRY</t>
  </si>
  <si>
    <t>Heterogeneous enzymatic assays (HEA), where an enzyme in solution acts upon an immobilized substrate, are been increasingly used. Given their high throughput and versatility they hold great potential for developing massive enzyme inhibitor screening. However, current HEA lack, in general, rigorous quantitative use. This is in part due to technical problems as a multiplicity of suboptimal substrate populations achieved with traditional immobilization techniques but, more importantly, is due to a poor understanding of the particular kinetic behavior of these systems. This paper addresses the kinetic features of HEA that arise from the very low amount of solid-phase substrate and the resulting inalterability of the free enzyme concentration during the assay, which classify HEA as enzyme quasi-saturable systems (EQSS). We assessed the optimal enzyme concentration working range and time of reaction. We also considered certain attributes of HEA for evaluating isosteric inhibitors. These studies were done on the basis of a simplified model for the kinetics of EQSS and a formal splitting of the functional factor of the analytical sensitivity of an enzymatic assay into [E-0]/K-m-dependent and temporal components.</t>
  </si>
  <si>
    <t>0003-2700</t>
  </si>
  <si>
    <t>1520-6882</t>
  </si>
  <si>
    <t>MAY 1</t>
  </si>
  <si>
    <t>10.1021/ac049885d</t>
  </si>
  <si>
    <t>WOS:000221205900043</t>
  </si>
  <si>
    <t>Paez, MA; Skeldon, P; Thompson, GE; Saez, M; Bustos, O; Monsalve, A</t>
  </si>
  <si>
    <t>Porous anodic film formation on an Al-3.5 wt % Cu alloy</t>
  </si>
  <si>
    <t>The morphological development of porous anodic films in the initial stages is examined during anodising an Al-3.5 wt % Cu alloy in phosphoric acid. Using transmission electron microscopy a sequence of ultramicrotomed anodic sections reveals the dynamic evolution of numerous features in the thickening film in the initial stages of anodising. The morphological changes in the anodic oxide in the initial stages of its formation appears related to the formation of bubbles during film growth. From Rutherford backscattering spectroscopy (RBS) analysis of the film, the formation of the bubbles is associated with the enrichment of copper in the alloy due to growth of the anodic oxide. On the other hand, during constant current anodising of Al-Cu in phosphoric acid, the current efficiency is considerably less than that for anodising superpure aluminium under similar conditions. From the contrasting results between the charge consumed calculated from RBS and the real charge consumed during anodising, oxygen gas bubbles generation and copper oxidation seem to be of less importance on the low efficiency for film formation. It is apparent that the main cause of losing efficiency for film growth on Al-Cu is associated with generation of oxygen at residual second phase, with the development of stresses in the film and, the consequence of these effects on film cracking during film growth.</t>
  </si>
  <si>
    <t>Pappas, Georgios/F-7194-2014; Paez, Maritza/M-2010-2014</t>
  </si>
  <si>
    <t>WOS:000182514400038</t>
  </si>
  <si>
    <t>Pesce, ME; Acevedo, X; Bustamante, D; Miranda, HF; Pinardi, G</t>
  </si>
  <si>
    <t>Effects of ketoconazole on oestrus cycle and convulsant action of pentylenetetrazol in mice</t>
  </si>
  <si>
    <t>PHARMACOLOGY &amp; TOXICOLOGY</t>
  </si>
  <si>
    <t>The frequency of oestrus cycles in female mice was significantly reduced by the implantation of a pellet of subcutaneous ketoconazole (50 mg every 6 days). The effect was more pronounced after 22 days than after 13 days and it was probably related with the progressive reduction in steroid synthesis induced by the inhibition of key steroidogenic P450 cytochromes by the drug. In addition, the influence of ketoconazole on the incidence of seizures after the administration of intraperitoneal pentylenetetrazol was evaluated in female mice. Pentylenetetrazol produced a higher percentage of seizures during dioestrus than during oestrus. Pretreatment with ketoconazole significantly increased the percentage of animals with induced seizures in oestrus but not in dioestrus as compared to controls, probably through reduced progesterone levels. The reduced seizure threshold confirm the modulatory role exerted by progesterone on central nervous system excitability, and may be relevant in epileptic patients undergoing antifungal therapy.</t>
  </si>
  <si>
    <t>Miranda, Florencio/AAK-8373-2021</t>
  </si>
  <si>
    <t>0901-9928</t>
  </si>
  <si>
    <t>10.1034/j.1600-0773.2001.d01-166.x</t>
  </si>
  <si>
    <t>WOS:000172952300006</t>
  </si>
  <si>
    <t>Fernandez, R; Nelson, P; Imarai, M; Valdes, D; Velasquez, L; Massay, R; Delgado, J; Aguilera, J; Cardenas, H</t>
  </si>
  <si>
    <t>In vitro interaction between Neisseria gonorrhoeae and the oviductal epithelium from users of copper-T intrauterine devices or Norplant® subdermal implants</t>
  </si>
  <si>
    <t>123P</t>
  </si>
  <si>
    <t>WOS:000085937100183</t>
  </si>
  <si>
    <t>Gautier, JL; Trollund, E; Rios, E; Nkeng, P; Poillerat, G</t>
  </si>
  <si>
    <t>Characterization of thin CuCo2O4 films prepared by chemical spray pyrolysis. Study of their electrochemical stability by ex situ spectroscopic analysis</t>
  </si>
  <si>
    <t>Pure copper cobalt oxide with spinel structure can be prepared as thin films at 340 degrees C by chemical spray pyrolysis of the metal nitrate aqueous solution over conducting glass. Addition of ammonium nitrate to the sprayed solution increases the crystallization. We report herein the preparation and characterization of such films using X-ray diffraction, FTIR reflectance and transmission spectroscopy, W-vis spectroscopy, scanning electron microscopy, X-ray photoelectron spectroscopy, oxidation power, magnetic and conductimetric measurements. The copper ions are distributed over the A and B sites of the inverted spinel lattice and the cobalt ions are postulated to be in the low spin state. Oxide electrochemical stability has been determined by cyclic voltammetry. Copper cobalt oxide is oxidized and reduced prior to oxygen evolution through a reaction involving Co3O4 formation on the surface of cobaltite. (C) 1997 Elsevier Science S.A.</t>
  </si>
  <si>
    <t>10.1016/S0022-0728(96)05072-3</t>
  </si>
  <si>
    <t>WOS:A1997XK70800007</t>
  </si>
  <si>
    <t>Smith, R; Vantman, D; Ponce, J; Escobar, J; Lissi, E</t>
  </si>
  <si>
    <t>Total antioxidant capacity of human seminal plasma</t>
  </si>
  <si>
    <t>Although the importance of seminal plasma in the protection of spermatozoa against reactive oxygen species is well known, only a few studies have investigated its antioxidative properties and the possible relationship between infertility and plasmatic antioxidant defences. The aim of the present study was to assess the status of the total non-enzymatic antioxidant defences of human seminal plasma, Semen samples were obtained from 101 patients consulting for infertility and 15 fertile donors. A total reactive antioxidant potential (TRAP) in seminal plasma was determined by luminol-chemiluminescence. The relationship of seminal TRAP values to lipid peroxidation was also evaluated. Our results show that semen samples from fertile controls show total antioxidant capacity at higher frequency and value than equivalent samples from suspected subfertile men. This fact as well as the inverse relationship observed between antioxidant capacity and lipid peroxidation potential strongly suggest that impaired antioxidant defences may play a role in infertile disorders.</t>
  </si>
  <si>
    <t>WOS:A1996VH92400018</t>
  </si>
  <si>
    <t>Llesuy, S; Lissi, EA</t>
  </si>
  <si>
    <t>The steady state hypothesis in complex biological systems</t>
  </si>
  <si>
    <t>BIOCHEMICAL EDUCATION</t>
  </si>
  <si>
    <t>Symposium on How Much Biochemistry Should a Good Doctor Know, at the 654th Meeting of the Biochemical-Society</t>
  </si>
  <si>
    <t>APR, 1995</t>
  </si>
  <si>
    <t>UNIV LEICESTER, LEICESTER, ENGLAND</t>
  </si>
  <si>
    <t>Biochem Soc, Educ Grp</t>
  </si>
  <si>
    <t>UNIV LEICESTER</t>
  </si>
  <si>
    <t>Francisca Llesuy, Susana/0000-0001-6818-051X</t>
  </si>
  <si>
    <t>0307-4412</t>
  </si>
  <si>
    <t>10.1016/0307-4412(96)00019-2</t>
  </si>
  <si>
    <t>WOS:A1996UV47200017</t>
  </si>
  <si>
    <t>VIDELA, LA; VILLENA, MI; SALGADO, C; CANALES, P; LISSI, EA</t>
  </si>
  <si>
    <t>ANTIOXIDANT CAPACITY OF DESFERRIOXAMINE IN BIOLOGICAL-SYSTEMS</t>
  </si>
  <si>
    <t>BIOCHEMISTRY INTERNATIONAL</t>
  </si>
  <si>
    <t>The antioxidant capacity of desferrioxamine (DF) was investigated in three biological systems. The addition of DF to rat brain homogenates undergoing autoxidation elicited a concentration dependent inhibition of both oxygen uptake and chemiluminescence, with a median inhibitory concentration (IC50) of 0.52 .mu.M. In this system, Fe3+-induced light emission was completely abolished at a DF/Fe3+ molar ratio of 0.6. In rat erythrocyte suspensions supplemented with t-butyl hydroperoxide, DF lengthened the induction period and decreased the rate of oxygen consumption, with an IC50 of 300 .mu.M. Infusion of increasing concentrations of DF to the perfused rat liver elicited a progressive decrease in the rate of oxygen consumption, with no alterations in the mitochondrial respiration. This DF-sensitive respiration has a maximal value of 200 nmol/g of liver/min, with a half-maximal rate at 120 .mu.M DF. These results indicate that DF behaves as an efficient antioxidant either under basal conditions or in chemically-induced oxidative stress, through Fe3+ chelating and/or free-radical scavenging effects.</t>
  </si>
  <si>
    <t>0158-5231</t>
  </si>
  <si>
    <t>WOS:A1987J601900024</t>
  </si>
  <si>
    <t>GILLLAMBIAS, FJ; ESCUDEY, AM; FIERRO, JLG; AGUDO, AL</t>
  </si>
  <si>
    <t>DETERMINATION OF THE ACTIVE SURFACE-AREA OF VANADIA BY ELECTROPHORETIC MIGRATION AND XPS MEASUREMENTS</t>
  </si>
  <si>
    <t>10.1016/0021-9517(85)90130-7</t>
  </si>
  <si>
    <t>WOS:A1985ARP0600020</t>
  </si>
  <si>
    <t>Lazo, RAG; Suárez, RM; Guerra, MFB; Silva, CCS; Konczak, JP; Calderón, CO</t>
  </si>
  <si>
    <t>Lazo, Rene A. Garrido; Suarez, Raydel Manrique; Guerra, Maria F. Bravo; Silva, Constanza C. Soto; Konczak, Jaime Pizarro; Calderon, Claudia Ortiz</t>
  </si>
  <si>
    <t>Ecotoxicological Impact of Cigarette Butts on Coastal Ecosystems: The Case of Marbella Beach, Chile</t>
  </si>
  <si>
    <t>Cigarette butts (CBs) are a major source of persistent pollution in coastal ecosystems, introducing harmful chemicals and microplastics into the environment. This study assesses the ecotoxicological impact of CB leachates on Marbella Beach, Chile, by analyzing the metal contamination and its phytotoxic effects on Lactuca sativa and Lolium perenne. Three scenarios were evaluated: CBs alone, CBs mixed with sand, and sand alone. Leachate analysis revealed significant concentrations of iron and zinc, with higher toxicity observed in scenarios involving CBs. Ecotoxicological assays demonstrated that cigarette butt leachates severely inhibited seed germination and plant growth, particularly in Lactuca sativa, which showed greater sensitivity compared to that of Lolium perenne. The results underscore the partial mitigating role of sand, although it was insufficient to prevent the toxic effects of CBs. The persistence of cellulose acetate in the environment and the continued release of hazardous chemicals highlight the ecological risks posed by cigarette butt pollution. These findings emphasize the need for improved waste management strategies and the development of biodegradable cigarette filters to reduce environmental contamination in coastal areas.</t>
  </si>
  <si>
    <t>Manrique Suarez, Raydel/0000-0003-1128-0581</t>
  </si>
  <si>
    <t>10.3390/su16229778</t>
  </si>
  <si>
    <t>WOS:001366494200001</t>
  </si>
  <si>
    <t>Espinoza-Vergara, J; Gad, S; Silva, CP; Paez, MA; Jin, ZL; Xiong, YD; Azocar, M; Vejar, N; Ramirez, C; Zhou, XR</t>
  </si>
  <si>
    <t>Espinoza-Vergara, Javier; Gad, Shedrack; Silva, Carlos P.; Paez, Maritza A.; Jin, Zelong; Xiong, Yida; Azocar, Manuel; Vejar, Nelson; Ramirez, Cristian; Zhou, Xiaorong</t>
  </si>
  <si>
    <t>Covalent electrografting of aryl groups on AA2060-T8 surfaces, and their modification with Ce(4OHcin)3 to incorporate additional anticorrosive activity</t>
  </si>
  <si>
    <t>JOURNAL OF MATERIALS RESEARCH AND TECHNOLOGY-JMR&amp;T</t>
  </si>
  <si>
    <t>The aluminum alloys used in aerospace applications are susceptible to corrosion. This has led to the development of methodologies that ensure the durability of the parts and pieces of aircraft. These anticorrosive processes involve the use of coatings containing chromate-based corrosion-inhibitor compounds. Although these coatings provide an excellent solution to this problem, their use in protection protocols is restricted owing to their high toxicity and carcinogenic nature. This study evaluates a different process to protect aluminum alloy surfaces that incorporates the derivatization of organic compounds using potentiostatic techniques. The metallic surface was modified in situ by the potentiostatic reduction of aryl diazonium salts, leaving the surface covered with molecular grafts. The grafting of molecules onto the surface is modulated by the application of a potential that causes the formation of aryl radicals. The organic compound selected in this study was p-toluidine in protic medium. The derivatization process in the AA2060-T8 alloy was carried out at different pHs and potentials, observing from the potential/ current responses in 0.1 M NaCl solution that the maximum optimization is obtained at pH 3 and -1 V. Likewise, the E/I and electrochemical impedance (EIS) responses of the electrografted samples modified and functionalized with cerium 4-hydroxycinnamate (Ce(4-OHcinn)3) revealed that the presence of this compound in the arylic structure significantly increased the protective capacity of the organic film electrografted on the aluminum alloy. The morphologies and characteristics of the modified surface were studied by SEM, TEM, and XPS. Furthermore, TEM examinations of ultramicrotomed sections of the electrografted specimens revealed the presence of a film approximately 10 nm thick on the AA2060-T8 surface.</t>
  </si>
  <si>
    <t>Vejar, Nelson/M-7784-2017; Paez, Maritza/M-2010-2014; Xiong, Yida/LDG-6031-2024; Silva, Carlos/IQS-5583-2023; Zhou, Xiaorong/M-3600-2014</t>
  </si>
  <si>
    <t>Silva, Carlos P./0000-0001-5344-042X; Vejar, Nelson/0000-0002-9544-2199; paez, maritza/0000-0001-5881-884X; Zhou, Xiaorong/0000-0001-9943-3997; Ramirez Farina, Cristian Gino/0000-0001-8548-2448</t>
  </si>
  <si>
    <t>2238-7854</t>
  </si>
  <si>
    <t>2214-0697</t>
  </si>
  <si>
    <t>10.1016/j.jmrt.2024.07.009</t>
  </si>
  <si>
    <t>JUL 2024</t>
  </si>
  <si>
    <t>WOS:001271718400001</t>
  </si>
  <si>
    <t>Vergara, P; Sáez, G; Castro, M; Allende, S; Núñez, AS</t>
  </si>
  <si>
    <t>Vergara, Patricio; Saez, Guidobeth; Castro, Mario; Allende, Sebastian; Nunez, Alvaro S.</t>
  </si>
  <si>
    <t>Emerging topological multiferroics from the 2D Rice-Mele model</t>
  </si>
  <si>
    <t>NPJ 2D MATERIALS AND APPLICATIONS</t>
  </si>
  <si>
    <t>We introduce a two-dimensional dimerized lattice model that reveals a remarkable feature: the emergence of a complex, non-trivial topological multiferroic phase marked by zero Berry curvature and a significant Berry connection that influences the model's bulk topology. This model extends the one-dimensional Rice-Mele Hamiltonian model to explore polarization-dependent topological properties in a 2D Su-Schrieffer-Heeger lattice, providing a detailed framework for studying the impact of symmetry-breaking and spatially varying potentials on electronic and spin properties. The findings are particularly relevant for spintronics, offering a foundation for topologically robust and electrically controlled spin-conducting edge states, with implications for developing advanced spin-dependent transport devices.</t>
  </si>
  <si>
    <t>Castro, Mario/ABD-7776-2021; Núñez, Alvaro/F-4572-2011</t>
  </si>
  <si>
    <t>Vergara Apaz, Patricio/0009-0009-2114-092X; Saez, Guidobeth/0000-0003-1401-2531; Nunez, Alvaro S./0000-0002-6804-9703</t>
  </si>
  <si>
    <t>2397-7132</t>
  </si>
  <si>
    <t>JUN 29</t>
  </si>
  <si>
    <t>10.1038/s41699-024-00478-5</t>
  </si>
  <si>
    <t>WOS:001259609900001</t>
  </si>
  <si>
    <t>Gomez-Caballero, LF; Pichardo-Molina, JL; Briones, J; Oyarzún, S; Denardin, JC; Basurto-Islas, G</t>
  </si>
  <si>
    <t>Gomez-Caballero, L. F.; Pichardo-Molina, J. L.; Briones, Joel; Oyarzun, S.; Denardin, J. C.; Basurto-Islas, G.</t>
  </si>
  <si>
    <t>Facile synthesis of Fe3O4 nanoparticles at room temperature coated with meso-2,3-dimercaptosuccinic acid for improved biocompatibility</t>
  </si>
  <si>
    <t>JOURNAL OF NANOPARTICLE RESEARCH</t>
  </si>
  <si>
    <t>Superparamagnetic magnetite Fe3O4 nanoparticles (NPs) were synthesized by the coprecipitation method and stabilized with meso-2,3-dimercaptosuccinic acid (DMSA) under ambient conditions and a nitrogen atmosphere at room temperature in one simple step. The X-ray diffraction (XRD) analysis of Fe3O4 NPs confirmed their cubic spinel structure with high crystallinity for both samples prepared with or without nitrogen atmosphere. The scanning electron microscopy analysis showed an average particle size of 15.0 +/- 3 nm and 23.0 +/- 5 nm in the absence and presence of nitrogen, respectively. Our particles have shown excellent magnetic properties with a high saturation magnetization (55 emu/g), low remanence (3.0 emu/g), and low coercivity (43 Oe). The method of synthesis proposed here offers excellent reproducibility of superparamagnetic NPs with narrow size distribution and low aggregation despite the simplicity of its preparation. The dose-response curves of the colorimetric assay MTT carried out in HCT 116 cell cultures in a range from 30 to 250 mu g/mL reveal that magnetic nanoparticles coated with DMSA significantly improve their biocompatibility for applications like magnetic hyperthermia, magnetic resonance imaging, or biosensing.</t>
  </si>
  <si>
    <t>Denardin, Juliano/S-6407-2019; Oyarzun, Simon/M-1769-2014</t>
  </si>
  <si>
    <t>Pichardo-Molina, Juan L/0000-0002-7672-5257; Oyarzun, Simon/0000-0002-8764-7944</t>
  </si>
  <si>
    <t>1388-0764</t>
  </si>
  <si>
    <t>1572-896X</t>
  </si>
  <si>
    <t>10.1007/s11051-023-05711-8</t>
  </si>
  <si>
    <t>WOS:000959791900001</t>
  </si>
  <si>
    <t>Lauzurique, Y; Fermoso, FG; Sanchez, N; Castillo, A; Salazar, R; Garcia, V; Huilinir, C</t>
  </si>
  <si>
    <t>Lauzurique, Yeney; Fermoso, Fernando G.; Sanchez, Nicolas; Castillo, Alejandra; Salazar, Ricardo; Garcia, Veronica; Huilinir, Cesar</t>
  </si>
  <si>
    <t>Biogas production from winery wastewater: Effect of the substrate-inoculum ratio on fly ash addition and iron availability</t>
  </si>
  <si>
    <t>JOURNAL OF WATER PROCESS ENGINEERING</t>
  </si>
  <si>
    <t>The effect of substrate-inoculum ratio and fly ash (FA) concentration on the anaerobic digestion of winery wastewater was studied. Two substrate-inoculum ratios (0.50 and 1 g soluble COD/g VSS) and five fly ash concentrations (25, 50, 75, 100 and 150 mg/L) were tested under mesophilic conditions. The results showed that 0.50 g soluble COD/g VSS was the best substrate-inoculum ratio. Regarding the FA, 100 mg/L improved the specific methane production by 79% compared to the control assay. In comparison, 150 mg/L produced an inhibition of methane production, with a 55% decrease in specific methane production with respect to the control assay. According to the bioavailability study, FA had a similar effect to a system with Fe-EDTA on anaerobic digestion, which could indicate that the Fe present in FA was present in the solution and bioavailable to microorganisms. Therefore, a possible mechanism for the action of FA on anaerobic digestion was proposed. Finally, the kinetic analysis showed that FA improved the maximum specific methane production rate and decreased the lag phase.</t>
  </si>
  <si>
    <t>Salazar, Ricardo/L-7870-2013; García, Verónica/AAM-1175-2021; Fermoso, Fernando/F-3299-2010; Huilinir, Cesar/IYS-6899-2023</t>
  </si>
  <si>
    <t>Lauzurique Guerra, Yeney/0000-0003-1354-8721; Salazar-Gonzalez, Ricardo/0000-0003-2180-6022; garcia, veronica/0000-0002-5312-925X</t>
  </si>
  <si>
    <t>2214-7144</t>
  </si>
  <si>
    <t>10.1016/j.jwpe.2022.102826</t>
  </si>
  <si>
    <t>WOS:000804552600007</t>
  </si>
  <si>
    <t>Ovando-Leon, G; Veas-Castillo, L; Gil-Costa, V; Marin, M</t>
  </si>
  <si>
    <t>Ovando-Leon, Gabriel; Veas-Castillo, Luis; Gil-Costa, Veronica; Marin, Mauricio</t>
  </si>
  <si>
    <t>Bot-Based Emergency Software Applications for Natural Disaster Situations</t>
  </si>
  <si>
    <t>Upon a serious emergency situation such as a natural disaster, people quickly try to call their friends and family with the software they use every day. On the other hand, people also tend to participate as a volunteer for rescue purposes. It is unlikely and impractical for these people to download and learn to use an application specially designed for aid processes. In this work, we investigate the feasibility of including bots, which provide a mechanism to get inside the software that people use daily, to develop emergency software applications designed to be used by victims and volunteers during stressful situations. In such situations, it is necessary to achieve efficiency, scalability, fault tolerance, elasticity, and mobility between data centers. We evaluate three bot-based applications. The first one, named Jayma, sends information about affected people during the natural disaster to a network of contacts. The second bot-based application, Ayni, manages and assigns tasks to volunteers. The third bot-based application named Rimay registers volunteers and manages campaigns and emergency tasks. The applications are built using common practice for distributed software architecture design. Most of the components forming the architecture are from existing public domain software, and some components are even consumed as an external service as in the case of Telegram. Moreover, the applications are executed on commodity hardware usually available from universities. We evaluate the applications to detect critical tasks, bottlenecks, and the most critical resource. Results show that Ayni and Rimay tend to saturate the CPU faster than other resources. Meanwhile, the RAM memory tends to reach the highest utilization level in the Jayma application.</t>
  </si>
  <si>
    <t>Veas-Castillo, Luis/0000-0003-3490-9995; Marin, Mauricio/0000-0003-0662-7149</t>
  </si>
  <si>
    <t>10.3390/fi14030081</t>
  </si>
  <si>
    <t>WOS:000775370900001</t>
  </si>
  <si>
    <t>Villarroel, CA; González-González, A; Alvarez-Baca, JK; Villarreal, P; Ballesteros, GI; Figueroa, CC; Cubillos, FA; Ramírez, CC</t>
  </si>
  <si>
    <t>Villarroel, Carlos A.; Gonzalez-Gonzalez, Angelica; Alvarez-Baca, Jeniffer K.; Villarreal, Pablo; Ballesteros, Gabriel, I; Figueroa, Christian C.; Cubillos, Francisco A.; Ramirez, Claudio C.</t>
  </si>
  <si>
    <t>Genome sequencing of a predominant clonal lineage of the grain aphid Sitobion avenae</t>
  </si>
  <si>
    <t>INSECT BIOCHEMISTRY AND MOLECULAR BIOLOGY</t>
  </si>
  <si>
    <t>The English grain aphid, Sitobion avenae, is a cosmopolitan pest that feeds on cereals, provoking substantial yield losses by injuring plant tissue and by vectoring plant viruses. Here we report a highly complete, de novo draft genome of the grain aphid using long-read sequencing. We generated an assembly of 2740 contigs with a N50 of 450 kb. We compared this draft genome with that of other aphid species, inspecting gene family evolution, genome-wide positive selection, and searched for horizontal gene transfer events. In addition, we described a recent copy number variant expansion of gene families involving aconitase, ABC transporter, and esterase genes that could be associated with resistance to insecticides and plant chemical defenses. This S. avenae genome obtained from a predominant invasive genotype can provide a framework for studying the spatial-temporal success of these clonal lineages in invaded agroecosystems.</t>
  </si>
  <si>
    <t>Cubillos, Francisco/MIT-2389-2025; Figueroa, Christian/A-1170-2008; Ballesteros, Gabriel/IAN-7082-2023; Villarreal, Pablo/N-8921-2019; Cubillos, Francisco/G-5195-2019; Ramirez, Claudio C./A-7176-2008</t>
  </si>
  <si>
    <t>Villarroel, Carlos/0000-0002-6089-3088; Cubillos, Francisco/0000-0003-3022-469X; Alvarez-Baca, Jeniffer Katherine/0000-0003-1373-089X; Ramirez, Claudio C./0000-0002-6110-3973</t>
  </si>
  <si>
    <t>0965-1748</t>
  </si>
  <si>
    <t>1879-0240</t>
  </si>
  <si>
    <t>10.1016/j.ibmb.2022.103742</t>
  </si>
  <si>
    <t>FEB 2022</t>
  </si>
  <si>
    <t>WOS:000780357700001</t>
  </si>
  <si>
    <t>Study of the anisotropic tensile and compressive strength of a foliated phyllite</t>
  </si>
  <si>
    <t>Anisotropy is an important characteristic of rocks, especially distinguishable in metamorphic rocks. Transverse isotropy is a particular case of anisotropy where foliation planes are distributed in the rock mass. Anisotropy can also originate from mineral foliation where minerals are oriented in a preferential direction. This inherent anisotropy can affect the rock strength significantly. Here the effect of foliation on the anisotropic strength of a phyllite is experimentally investigated. Phyllite specimens with defined foliation orientations are prepared and a series of laboratory tests carried out. Results for tensile strength and unconfined compressive strength are analysed. Maximum values of tensile strength and unconfined compressive strength are found for beta = 0 and 90 degrees and a significant reduction of strength is found for beta = 45 degrees. Compressive triaxial tests are conducted under confining pressures up to 20 MPa. The Hoek-Brown failure criterion is found to capture the experimental results in a better form than the Mohr-Coulomb criterion. Anisotropy indexes are adopted to evaluate the anisotropy effect on strength. Confinement is found to reduce the effect of anisotropy on phyllite strength. Cohesion and angle of shearing resistance were also found to be affected by the stress level, and further influenced by beta.</t>
  </si>
  <si>
    <t>Villalobos, Felipe/GPS-4588-2022</t>
  </si>
  <si>
    <t>10.1680/jgeen.20.00191</t>
  </si>
  <si>
    <t>WOS:000791421200001</t>
  </si>
  <si>
    <t>Chana-Cuevas, P; Ormazábal, F</t>
  </si>
  <si>
    <t>Chana-Cuevas, Pedro; Ormazabal, Francisco</t>
  </si>
  <si>
    <t>Hospital admissions in Chile among patients with Parkinson's disease from 2001 to 2018</t>
  </si>
  <si>
    <t>Background: The progression of Parkinson's disease is associated with complications, most of them preventable. Aim: To analyze hospitalizations with a diagnosis of Parkinson's disease in Chile, comparing the different health subsystems. Material and Methods: Analysis of hospital discharge database available at the website of the Chilean Ministry of Health. Discharges that incorporated the diagnosis of Parkinson's disease (ICD 10 code G20), between the years 2001 and 2018 were analyzed. Results: The rate of discharges with the diagnosis of Parkinson's disease was 34.5 per 100,000 hospitalizations. The figures were 55.2 and 29.8 discharges per 100,000 in 2001 and 2018, respectively. Sixty seven percent of hospital admissions for Parkinson's occurred in the public sector and corresponded to beneficiaries of the public health insurance system (FONASA). Beneficiaries of private insurance systems accounted for 12% of hospital admissions. The mean hospital stay was 13.4 days. Conclusions: There is a decrease over time in the rate of hospitalizations with Parkinson's disease. This trend may be related with the incorporation of this disease in a special governmental program that guarantees a timely access to diagnosis and treatment.</t>
  </si>
  <si>
    <t>WOS:000800028500003</t>
  </si>
  <si>
    <t>de Dicastillo, CL; Settier-Ramírez, L; Gavara, R; Hernández-Muñoz, P; Carballo, GL</t>
  </si>
  <si>
    <t>Lopez de Dicastillo, Carol; Settier-Ramirez, Laura; Gavara, Rafael; Hernandez-Munoz, Pilar; Lopez Carballo, Gracia</t>
  </si>
  <si>
    <t>Development of Biodegradable Films Loaded with Phages with Antilisterial Properties</t>
  </si>
  <si>
    <t>The inhibitory and bactericidal capacity of Listex P100 bacteriophage has been studied against different concentrations of Listeria monocytogenes in stationary and exponential phases. Three different matrices were employed to developed films incorporating Listex P100: (1) sodium caseinate, (2) sodium alginate mixed with gelatin, and (3) polyvinyl alcohol (PVOH). All the films were successfully developed by casting at room temperature. These active biodegradable films were optical, structural, and thermally characterized, and their antimicrobial capacities against L. monocytogenes were studied. The incorporation of phages did not affect the morphology, colour, opacity, and thermal stability of polymers. The antimicrobial analysis revealed the bacteriophage presented a high antimicrobial capacity against L. monocytogenes in the stationary phase (4.40 and 6.19 log reduction values or bactericide effect depending on the initial inoculum of the pathogen). Developed films showed antimicrobial capacity close to 1 log after 24 h of incubation at 30 degrees C. The effectiveness of PVOH films was greater under refrigeration conditions, reaching 2 log reduction after eight days of incubation. The use of these films as a coating in a food or as part of a packaging could improve food safety against the growth of pathogenic microorganisms such as Listeria monocytogenes.</t>
  </si>
  <si>
    <t>Munoz, Pilar/G-6480-2015; Gavara, Rafael/H-4096-2012; Lopez-de-Dicastillo, Carol/C-6347-2019</t>
  </si>
  <si>
    <t>Settier Ramirez, Laura/0000-0001-8500-9650; Hernandez-Munoz, Pilar/0000-0001-7042-5467; Lopez-Carballo, Gracia/0000-0003-2534-9420; Gavara, Rafael/0000-0001-6376-8939; Lopez-de-Dicastillo, Carol/0000-0003-0067-9765</t>
  </si>
  <si>
    <t>10.3390/polym13030327</t>
  </si>
  <si>
    <t>WOS:000615434000001</t>
  </si>
  <si>
    <t>Carvajal, DA; Riveros, A; Escrig, J</t>
  </si>
  <si>
    <t>Carvajal, D. A.; Riveros, A.; Escrig, J.</t>
  </si>
  <si>
    <t>Orbit-like trajectory of the vortex core in ferrimagnetic dots close to the compensation point</t>
  </si>
  <si>
    <t>RESULTS IN PHYSICS</t>
  </si>
  <si>
    <t>In physics, conserved quantities are key to understand and describe physical phenomena. These conserved quantities are related to Noether's theorem and Lagrangian description in both classical mechanics and field theory. In this article we have found the equation of the vortex core trajectory in ferrimagnets close to the compensation point in terms of two conserved physical quantities, namely the energy, E, and a vector perpendicular to the orbit plane, (A) over right arrow = -(L) over right arrow + (G) over right arrow vertical bar(r) over right arrow (c)vertical bar(2)/2 where (G) over right arrow, (L) over right arrow and (r) over right arrow (c) are the topological gyrovector, the angular momentum and the position of the vortex core, respectively. We found that in the absence of a dissipative term, for small deviations of the vortex core, the trajectory is bounded between two concentric circles. On the contrary, under the action of a dissipative term proportional to the damping coefficient, (A) over right arrow is no longer conservative and the vortex core moves either towards the center or out of the cylinder, depending on the circularity of the magnetic vortex and the intensity of the magnetic field applied in the plane of the cylinder.</t>
  </si>
  <si>
    <t>Rodríguez, Alejandro/R-4062-2019</t>
  </si>
  <si>
    <t>2211-3797</t>
  </si>
  <si>
    <t>WOS:000604224200014</t>
  </si>
  <si>
    <t>Olivares, IE; Carrazana, P</t>
  </si>
  <si>
    <t>Olivares, Ignacio E.; Carrazana, P.</t>
  </si>
  <si>
    <t>Mie scattering revisited: Study of bichromatic Mie scattering of electromagnetic waves by a distribution of spherical particles</t>
  </si>
  <si>
    <t>REVIEW OF SCIENTIFIC INSTRUMENTS</t>
  </si>
  <si>
    <t>Two experiments to measure the size of microscopic dielectric spherical particles immersed in purified water with spheres of a nominal diameter 5.2 +/- 0.15 mu m have been carried out in order to revisit Mie scattering techniques. The first experiment uses a 1 mW helium-neon (He-Ne) laser with a wavelength of 632.8 nm, while the second one is carried out using a diode laser of 780.0 nm wavelength and a nominal power of 80 mW. The distribution of the scattered light intensity is recorded experimentally, and since the theoretical background has been known for several decades (see references), only a modest amount of theory is included. We considered the Mie scattering by a set of spheres of different diameters in our case with a distribution of sphere diameters with mean diameter 5.2 mu m and standard deviation 0.15 mu m. Our measured Mie scattering angular distribution accounts for the effect of the diameter distribution, which we assume to be a Gaussian distribution. Our results indicate that there is very good agreement between experiment and theoretical predictions. The technique we offer here is found to be useful to familiarize technicians who work in the areas of applied optics, such as chemistry, electronics, water contamination, and optical instruments with Mie scattering techniques, and who may not have a formal introduction to the electromagnetic theory. One specific area in which these techniques might be useful is the study of aerosols that may arise when naturally produced droplets from humans, such as those produced by coughing, sneezing, talking, and breathing, are present, as it happens in response to the Severe Acute Respiratory Syndrome Coronavirus 2, also known as SARS-CoV-2.</t>
  </si>
  <si>
    <t>Olivares, Ignacio/AAU-9355-2021</t>
  </si>
  <si>
    <t>Olivares, Ignacio/0000-0001-8440-7665</t>
  </si>
  <si>
    <t>0034-6748</t>
  </si>
  <si>
    <t>1089-7623</t>
  </si>
  <si>
    <t>10.1063/5.0015050</t>
  </si>
  <si>
    <t>WOS:000565271300002</t>
  </si>
  <si>
    <t>Ferro, EF; Cid, FM; Muñoz, HD; Aburto, BN</t>
  </si>
  <si>
    <t>Flores Ferro, Elizabeth; Maureira Cid, Fernando; Diaz Munoz, Hernan; Navarro Aburto, Braulio</t>
  </si>
  <si>
    <t>Neurophysiological modifications of beta waves during an atencional'test after an intervention of physical exercise</t>
  </si>
  <si>
    <t>CULTURA CIENCIA Y DEPORTE</t>
  </si>
  <si>
    <t>The aim of the present study was to know the effects of a session of physical aerobic exercise on the electrical cerebral activity during the resolution of a test of supported attention. For it 14 university students were evaluated males, who solved a test of attention before and after an intervention of 30 minutes of physical aerobic exercise. To register his cerebral activity brain-interface was in use the device Emotiv Epoc (R). There analyzed the records of the frontal, temporal and occipital lobe in the range of frequency from 13 to 30 Hz (beta wave). The results show values of indexes of minor Hurst to 0,5 what shows an antipersistent activity, that is to say, the activity of the brain changes second to second during the resolution of the test, situation that happens before and after the physical exercise. The subjects tend to have a low number of correlations between the brain regions studied and it seems that exercise allows to maintain an independent work of different regions of the cortex, improving performance in sustained attention's problems.</t>
  </si>
  <si>
    <t>1696-5043</t>
  </si>
  <si>
    <t>1989-7413</t>
  </si>
  <si>
    <t>WOS:000537466400006</t>
  </si>
  <si>
    <t>Huemer, C; Pérez-Lantero, P</t>
  </si>
  <si>
    <t>Huemer, Clemens; Perez-Lantero, Pablo</t>
  </si>
  <si>
    <t>The intersection graph of the disks with diameters the sides of a convex n-gon</t>
  </si>
  <si>
    <t>Given a convex polygon of n sides, one can draw n disks (called side disks) where each disk has a different side of the polygon as diameter and the midpoint of the side as its center. The intersection graph of such disks is the undirected graph with vertices the n disks and two disks are adjacent if and only if they have a point in common. We introduce the study of this graph by proving that it is planar for every convex polygon. (C) 2019 Elsevier B.V. All rights reserved.</t>
  </si>
  <si>
    <t>10.1016/j.disc.2019.111669</t>
  </si>
  <si>
    <t>WOS:000504780200021</t>
  </si>
  <si>
    <t>de Dicastillo, CL; Patiño, C; Galotto, MJ; Palma, JL; Alburquenque, D; Escrig, J</t>
  </si>
  <si>
    <t>Lopez de Dicastillo, Carol; Patino, Cristian; Jose Galotto, Maria; Luis Palma, Juan; Alburquenque, Daniela; Escrig, Juan</t>
  </si>
  <si>
    <t>Novel Antimicrobial Titanium Dioxide Nanotubes Obtained through a Combination of Atomic Layer Deposition and Electrospinning Technologies</t>
  </si>
  <si>
    <t>The search for new antimicrobial substances has increased in recent years. Antimicrobial nanostructures are one of the most promising alternatives. In this work, titanium dioxide nanotubes were obtained by an atomic layer deposition (ALD) process over electrospun polyvinyl alcohol nanofibers (PVN) at different temperatures with the purpose of obtaining antimicrobial nanostructures with a high specific area. Electrospinning and ALD parameters were studied in order to obtain PVN with smallest diameter and highest deposition rate, respectively. Chamber temperature was a key factor during ALD process and an appropriate titanium dioxide deposition performance was achieved at 200 degrees C. Subsequently, thermal and morphological analysis by SEM and TEM microscopies revealed hollow nanotubes were obtained after calcination process at 600 degrees C. This temperature allowed complete polymer removal and influenced the resulting anatase crystallographic structure of titanium dioxide that positively affected their antimicrobial activities. X-ray analysis confirmed the change of titanium dioxide crystallographic structure from amorphous phase of deposited PVN to anatase crystalline structure of nanotubes. These new nanostructures with very large surface areas resulted in interesting antimicrobial properties against Gram-positive and Gram-negative bacteria. Titanium dioxide nanotubes presented the highest activity against Escherichia coli with 5 log cycles reduction at 200 mu g/mL concentration.</t>
  </si>
  <si>
    <t>Patiño Vidal, Cristian Javier/JDM-7961-2023; Palma, Juan/IAP-4554-2023; Lopez-de-Dicastillo, Carol/C-6347-2019; Escrig, Juan/N-4304-2015</t>
  </si>
  <si>
    <t>Lopez-de-Dicastillo, Carol/0000-0003-0067-9765; Palma, JuanLuis/0000-0003-2068-174X; Patino Vidal, Cristian Javier/0000-0002-5633-6908; Alburquenque, Daniela/0000-0001-9236-3308; Escrig, Juan/0000-0002-3958-8185</t>
  </si>
  <si>
    <t>10.3390/nano8020128</t>
  </si>
  <si>
    <t>WOS:000427534600075</t>
  </si>
  <si>
    <t>Tapia, PC</t>
  </si>
  <si>
    <t>Tapia, PC; Castilho, MM</t>
  </si>
  <si>
    <t>Canales Tapia, Pedro</t>
  </si>
  <si>
    <t>Ethnic Identities and National States in Latin America, 1930-1990</t>
  </si>
  <si>
    <t>CLAROSCURO DEL DEBATE: PUEBLOS INDIGENAS, COLONIALISMO Y SUBALTERNIDAD EN AMERICA DEL SUR. SIGLOS XX Y XXI</t>
  </si>
  <si>
    <t>978-956-8416-46-1</t>
  </si>
  <si>
    <t>WOS:000401436600018</t>
  </si>
  <si>
    <t>Tala, M; Berdja, A; Jones, M; Vanzi, L; Ropert, S; Flores, M; Viscasillas Vazquez, C</t>
  </si>
  <si>
    <t>Ramsay, SK; McLean, IS; Takami, H</t>
  </si>
  <si>
    <t>Tala, M.; Berdja, A.; Jones, M.; Vanzi, L.; Ropert, S.; Flores, M.; Viscasillas Vazquez, Carlos</t>
  </si>
  <si>
    <t>FIDEOS: a high resolution echelle spectrograph for the ESO 1m telescope at La Silla</t>
  </si>
  <si>
    <t>GROUND-BASED AND AIRBORNE INSTRUMENTATION FOR ASTRONOMY V</t>
  </si>
  <si>
    <t>5th Conference on Ground-Based and Airborne Instrumentation for Astronomy</t>
  </si>
  <si>
    <t>JUN 22-26, 2014</t>
  </si>
  <si>
    <t>Montreal, CANADA</t>
  </si>
  <si>
    <t>FIDEOS (FIbre Dual Echelle Optical Spectrograph) is a fibre-fed bench-mounted high-resolution echelle spectrograph for the 1-m telescope at ESO in La Silla, Chile. It is based on a 44.41 lines/mm 70 degrees blaze angle echelle grating in quasi-Littrow mode, providing spectral resolution of R similar to 42000, covering the spectral range from 400nm to 680nm. The detector is a 2k x 2k CCD with 15 mu m pixels. The spectrograph will be fed by two 50 mu m core diameter fibres for the astronomical object and the simultaneous calibration lamp, respectively. Alternatively, an iodine cell will be mounted on the telescope-spectrograph interface, providing a secondary spectral calibration source. In addition, the instrument will be mounted on a fixed optical-bench without movable parts rather than the CCD shutter and its enclosure will be thermally controlled to ensure opto-mechanical stability. Since the FIDEOS will deliver high resolution and spectral stability, it will be optimized for precision radial velocities.</t>
  </si>
  <si>
    <t>Vanzi, Leonardo/D-1381-2014; Berdja, Amokrane/KYR-8440-2024; Viscasillas Vázquez, Carlos/AAA-6482-2020</t>
  </si>
  <si>
    <t>Tala Pinto, Marcelo/0009-0004-8891-4057; Viscasillas Vazquez, Carlos/0000-0001-5415-2796</t>
  </si>
  <si>
    <t>978-0-8194-9615-7</t>
  </si>
  <si>
    <t>10.1117/12.2056551</t>
  </si>
  <si>
    <t>WOS:000354527800251</t>
  </si>
  <si>
    <t>Romero, JS; Cruchaga, MA; Celentano, DJ</t>
  </si>
  <si>
    <t>Sebastian Romero, Jorge; Andrea Cruchaga, Marcela; Javier Celentano, Diego</t>
  </si>
  <si>
    <t>Evaluation of Formation and Evolution of Microporosity in Anodic Copper Solidification Processes: Simulation and Experimental Validation</t>
  </si>
  <si>
    <t>METALLURGICAL AND MATERIALS TRANSACTIONS B-PROCESS METALLURGY AND MATERIALS PROCESSING SCIENCE</t>
  </si>
  <si>
    <t>The current study analyzes the formation and evolution of microporosity during the solidification of anodic cooper. The aim of this study is to develop a thermofluid-formulation including microstructural evolution and to perform experiments to validate some measured variables with the respective numerical predictions. To this end, a set of experiments is carried out in copper testing primary and eutectic phase formation together with porosity evolution. To evaluate the formation of different microstructural phases and porosity, anodic copper (99.80 pct purity, approximately) is poured into different types of molds. The effect of heat extraction on the thermofluid-microstructural response is evaluated using graphite and steel molds to promote different cooling rates. The microporosity depends on the microstructural formation; hence the microstructure needs to be firstly described. The proposed microstructural model takes into account nucleation and grain growth laws based on thermal undercooling together with microstructural evolution. The primary phase evolution model is based on both solute diffusion at the grain scale and the dendrite tip growth kinetics, while the eutectic evolution is assumed proportional to the copper initial composition and eutectic undercooling. The microporosity model accounts for the partial pressures of gases and the solute distribution in the liquid and solid phases. The corresponding numerical formulation is solved in the framework of the finite element method. Finally, the computed temperature, solid, and liquid volumetric fractions, and pressure histories together with the final values for the radius, density, and pore volumetric fraction, are all compared and validated with the experimental measurements.</t>
  </si>
  <si>
    <t>1073-5615</t>
  </si>
  <si>
    <t>1543-1916</t>
  </si>
  <si>
    <t>10.1007/s11663-013-9815-y</t>
  </si>
  <si>
    <t>WOS:000318736900015</t>
  </si>
  <si>
    <t>Romero, V; Roman, B; Hamm, E; Cerda, E</t>
  </si>
  <si>
    <t>Romero, Victor; Roman, Benoit; Hamm, Eugenio; Cerda, Enrique</t>
  </si>
  <si>
    <t>Spiral tearing of thin films</t>
  </si>
  <si>
    <t>SOFT MATTER</t>
  </si>
  <si>
    <t>Controlling the fracture propagation in a film is an important element in the design of better packaging seals that must resist handling and yet provide a tearing mechanism for easy opening. Here we show that under simple initial setup conditions a divergent tear can be obtained that follows the path of a logarithmic spiral over two decades in length scale. We study the general rules leading to the spiral growth of a tear and connect its geometry to the specific material properties of the film.</t>
  </si>
  <si>
    <t>Hamm, Eugenio/A-7927-2013; ROMERO, Victor/AAG-9796-2020; Roman, Benoit/C-6273-2014</t>
  </si>
  <si>
    <t>ROMERO, Victor/0000-0001-6697-9918; Roman, Benoit/0000-0002-1473-2734</t>
  </si>
  <si>
    <t>1744-683X</t>
  </si>
  <si>
    <t>1744-6848</t>
  </si>
  <si>
    <t>10.1039/c3sm50564b</t>
  </si>
  <si>
    <t>WOS:000322906900020</t>
  </si>
  <si>
    <t>Leadi, L; Quoirin, HR</t>
  </si>
  <si>
    <t>Leadi, Liamidi; Ramos Quoirin, Humberto</t>
  </si>
  <si>
    <t>PRINCIPAL EIGENVALUE FOR QUASILINEAR COOPERATIVE ELLIPTIC SYSTEMS</t>
  </si>
  <si>
    <t>We study the first eigenvalue of a lambda-dependent cooperative elliptic system involving two quasilinear operators. By variational arguments, we find an expression for the limit of this eigenvalue as lambda -&gt; -infinity, which improves and extends (for gradient quasilinear systems) a result proved by Alvarez Caudevilla-Lopez Gomez [4] and Dancer [9]. We apply this result to deduce the existence of strictly principal eigenvalues (i.e., whose eigenfunctions have both components positive) of a weighted system and extend the results proved in Cuesta-Ramos Quoirin [7] for the scalar case.</t>
  </si>
  <si>
    <t>Ramos Quoirin, Humberto/0000-0001-6252-2515; LEADI, Liamidi Aremou/0000-0001-7456-2688</t>
  </si>
  <si>
    <t>11-12</t>
  </si>
  <si>
    <t>WOS:000295019900008</t>
  </si>
  <si>
    <t>Alves, CC; Saavedra, OR; Vargas, A; Arias, M; Paucar, VL</t>
  </si>
  <si>
    <t>Alves, C. C.; Saavedra, O. R.; Vargas, A.; Arias, M.; Paucar, V. L.</t>
  </si>
  <si>
    <t>Transmission Network Cost Allocation Considering Counterflows</t>
  </si>
  <si>
    <t>This paper presents a methodology for allocation of fixed costs of transmission based on the electric circuit theory. The use of the transmission network is determined from the contribution of each generator and load to the power flow in lines. The allocation process is carried out considering counter-flows and distinguishing between the usage and reserve margin of lines. According to the results, the methodology proved to be adequate, since it ensures complete recovery of transmission costs and provides financial incentives to agents who contribute to the security and reliability of the system and to the postponement of investment in transmission as well.</t>
  </si>
  <si>
    <t>; Saavedra, Osvaldo Ronald/B-5825-2013; Paucar, Leonardo/S-4754-2018</t>
  </si>
  <si>
    <t>VARGAS, ALBERTO/0000-0003-2665-4515; Saavedra, Osvaldo Ronald/0000-0002-8520-6520; Paucar, Leonardo/0000-0002-7950-7693</t>
  </si>
  <si>
    <t>10.1109/TLA.2011.5893779</t>
  </si>
  <si>
    <t>WOS:000291850800013</t>
  </si>
  <si>
    <t>López, F; Quezada, O; Barrios, T; López, E</t>
  </si>
  <si>
    <t>Lopez, Fanny; Quezada, Orlando; Barrios, Trinidad; Lopez, Estefani</t>
  </si>
  <si>
    <t>Follow-Up of Women With ASCUS in Chile</t>
  </si>
  <si>
    <t>DIAGNOSTIC CYTOPATHOLOGY</t>
  </si>
  <si>
    <t>Atypical squamous cells of undetermined significance (ASCUS) is a cytological report that creates a dilemma for the cytologist and the clinician because it does not necessarily represent a pathological entity. To clarify this paradox we propose research into the monitoring of cytological and histological results for a period of 3 years from a cohort of women treated in the Primary Care Health Services of Santiago, Chile, who have received a first Pap ASCUS results in 2005. In the cytological reports, the national nomenclature was used, which is equivalent to the Bethesda System 2001. By applying the selection criteria, a cohort of 154 women was formulated, whereby at the end of the monitoring period, we found: 2 women with invasive carcinoma (1.3%), 33 women with high-grade squamous intraepithelial lesions HSIL (21.4%), 32 women with low grade squamous intraepithelial lesions LSIL (20.8%), and 87 women with normal results (56.5%). The statistical analysis, by form of the tree of conditional probabilities, shows that when the 2nd smear is repeated within an accelerated time frame (2.7 months), it does not assist in elucidating this cytological entity, and should be repeated only after 6 months from the first ASCUS smear result. Thus, we found that one out of every two women showed no evidence of abnormal results throughout their cytological and histological monitoring. Diagn. Cytopathol. 2011; 39: 258-263. (C) 2010 Wiley-Liss, Inc.</t>
  </si>
  <si>
    <t>Lopez-Alegria, Fanny/0000-0001-7293-1347</t>
  </si>
  <si>
    <t>8755-1039</t>
  </si>
  <si>
    <t>1097-0339</t>
  </si>
  <si>
    <t>10.1002/dc.21376</t>
  </si>
  <si>
    <t>WOS:000288600400005</t>
  </si>
  <si>
    <t>Perez, P; Salini, G</t>
  </si>
  <si>
    <t>Perez, Patricio; Salini, Giovanni</t>
  </si>
  <si>
    <t>PM2.5 forecasting in a large city: Comparison of three methods</t>
  </si>
  <si>
    <t>There is an increasing awareness for the toxic effects produced by the inhalation of fine particles present in the air. It is important then to provide precise information to the population about the concentrations of this pollutant expected for the incoming hours. We present here a study about the capability of three types of methods for PM2.5 forecasting one day in advance: a multilayer neural network, a linear algorithm and a clustering algorithm. Input variables are past concentrations measured in four monitoring stations and actual and forecasted meteorological information. outputs are the maxima of the 24 h moving average of PM2.5 concentrations for the following day at the site of the monitoring stations, By training with data from the three previous years, we are able to generate results for the fall-winter period for each year from 2004 to 2007. Although the three methods may be used as operational tools, the clustering algorithm seems more accurate in detecting high concentration situations. (C) 2008 Elsevier Ltd. All rights reserved.</t>
  </si>
  <si>
    <t>-Calderón, Giovanni/G-1237-2019; Perez, Patricio/AAS-7390-2020</t>
  </si>
  <si>
    <t>Salini-Calderon, Giovanni-Angelo/0000-0002-6628-1373; Perez, Patricio/0000-0003-1234-4233</t>
  </si>
  <si>
    <t>10.1016/j.atmosenv.2008.07.035</t>
  </si>
  <si>
    <t>WOS:000261301200010</t>
  </si>
  <si>
    <t>Norambuena, X; Mallol, J; Rios, G; Quevedo, F; Quezada, A</t>
  </si>
  <si>
    <t>Norambuena, X.; Mallol, J.; Rios, G.; Quevedo, F.; Quezada, A.</t>
  </si>
  <si>
    <t>Therapeutic effects of the anti-tumor necrosis factor monoclonal antibody, infliximab, in four children with refractory juvenile idiopathic arthritis</t>
  </si>
  <si>
    <t>Objective: To report the results of treatment with infliximab in patients with refractory juvenile idiopathic arthritis QIA). Patients and methods:A prospective study of four children with refractory JIA was carried out. Infliximab (1100 mg) was administered in weeks 0, 2 and 6. Subsequently, the drug was administered every 8 weeks. The following parameters were assessed at the beginning and at the end of the follow-up period: number of joints with active arthritis, number of joints with a limited range of motion, physician overall assessment of disease activity, parent assessment of the child's overall well-being, pain assessment scores, and erythrocyte sedimentation rate. Improvement was rated according to the definition of the American College of Rheumatology (ACR 30). Paired sample tests were used for statistical analysis. Results: Three girls and one boy aged between 10 and 16 years old with a history of JIA ranging from 1 to 9 years were included. The patients received infliximab for a period of 11 to 33 months (average 22 months). There was a significant decrease in the number of swollen joints (p &lt; 0.05), joints with a limited range of movement (p &lt; 0.04), pain score assessment (p &lt; 0.005), physician overall assessment (p = 0.002), maternal evaluation (p &lt; 0.001), the patient's own evaluation (p &lt; 0.001), and duration of morning stiffness (p &lt; 0.001). Both steroids and methotrexate dosages were reduced and no adverse effects or infections were registered. Conclusions: Infliximab improved joint inflammatory indexes and clinical assessments. This improvement increased the quality of life of the patients and their families, suggesting that the use of biological therapy is a good option in refractory JIA.</t>
  </si>
  <si>
    <t>Mallol, Javier/0000-0003-2528-8672</t>
  </si>
  <si>
    <t>10.1157/13101338</t>
  </si>
  <si>
    <t>WOS:000254249800004</t>
  </si>
  <si>
    <t>Bernal, R; Tassius, C; Melo, F; Géminard, JC</t>
  </si>
  <si>
    <t>Bernal, Roberto; Tassius, Chantal; Melo, Francisco; Geminard, Jean-Christophe</t>
  </si>
  <si>
    <t>Mechanical characterization of elastic membranes:: Cell mechanics applications</t>
  </si>
  <si>
    <t>APPLIED PHYSICS LETTERS</t>
  </si>
  <si>
    <t>Wrinkled patterns produced by cells crawling onto elastic membranes provide a useful tool to test living cells' locomotion. The technique, however, requires a characterization of the intrinsic properties and tension of the membrane as well as an accurate determination of the deformation induced by the cell. Here, the authors present a capillary-type technique to estimate the elastic modulus of such membranes, describe an indentation technique to measure the initial tension, and develop a simple interferometric method to measure the amplitude field of the wrinkled pattern produced, for instance, by the action of living cell. (c) 2007 American Institute of Physics.</t>
  </si>
  <si>
    <t>Melo, Francisco/M-3923-2014; Bernal, Roberto/E-5275-2011</t>
  </si>
  <si>
    <t>GEMINARD, Jean-Christophe Nicolas Denis/0000-0002-9773-4806; Melo, Francisco Esteban/0000-0001-6818-5476; Bernal, Roberto/0000-0002-4295-270X</t>
  </si>
  <si>
    <t>0003-6951</t>
  </si>
  <si>
    <t>1077-3118</t>
  </si>
  <si>
    <t>FEB 5</t>
  </si>
  <si>
    <t>10.1063/1.2437672</t>
  </si>
  <si>
    <t>WOS:000244162300109</t>
  </si>
  <si>
    <t>Ohri, RV; Yesseny, VM; Sepúlved-Boza, S; Holman, T</t>
  </si>
  <si>
    <t>Ohri, Rachana V.; Yesseny, Vasquez-Martinez; Sepulved-Boza, Silvia; Holman, Theodore</t>
  </si>
  <si>
    <t>MEDI 63-Structure activity relationship studies of flavonoids as potent inhibitors against 12-hLO, 15-hLO and 15-hLO-2</t>
  </si>
  <si>
    <t>63-MEDI</t>
  </si>
  <si>
    <t>WOS:000207781607279</t>
  </si>
  <si>
    <t>Rhen, FMF; Fernandez, D; Hinds, G; Coey, JMD</t>
  </si>
  <si>
    <t>Influence of a magnetic field on the electrochemical rest potential</t>
  </si>
  <si>
    <t>JOURNAL OF THE ELECTROCHEMICAL SOCIETY</t>
  </si>
  <si>
    <t>The influence of an external magnetic field on the rest potential E-0 of ferromagnetic and nonferromagnetic electrodes is studied. The shift Delta E-0 is measured as a function of magnetic field magnitude and direction, pH, electrolyte composition, solution agitation, and electrode roughness. Anodic shifts can be observed not only for ferromagnetic electrodes (iron, cobalt, nickel), but also for nonmagnetic electrodes (zinc, manganese). The essential condition to observe the shift is that the electrode should be actively corroding. An anodic shift is observed when the cathodic corrosion current is mass-transport limited. The primary mechanism for the effect is agitation of the electrolyte near the electrode surface due to Lorentz force acting on the corrosion currents directly, or via the electrokinetic effect. A smaller influence of magnetic field gradient produced by ferromagnetic electrodes is identified. (c) 2005 The Electrochemical Society. [DOI: 10.1149/ 1.2135207] All rights reserved.</t>
  </si>
  <si>
    <t>Rhen, Fernando/F-1373-2010</t>
  </si>
  <si>
    <t>Coey, John Michael David/0000-0003-0053-8452; Rhen, Fernando/0000-0002-6051-5298</t>
  </si>
  <si>
    <t>0013-4651</t>
  </si>
  <si>
    <t>1945-7111</t>
  </si>
  <si>
    <t>J1</t>
  </si>
  <si>
    <t>J7</t>
  </si>
  <si>
    <t>10.1149/1.2135207</t>
  </si>
  <si>
    <t>WOS:000234142400080</t>
  </si>
  <si>
    <t>Baeza, P; Ureta-Zañartu, MS; Escalona, N; Ojeda, J; Gil-Llambías, FJ; Delmon, B</t>
  </si>
  <si>
    <t>Migration of surface species on supports:: a proof of their role on the synergism between CoSx or NiSx and MoS2 in HDS</t>
  </si>
  <si>
    <t>Synergetic effects in hydrodesulfurization (HDS) have been investigated in operating conditions different from all those mentioned in literature yet. A synergism is observed between Co(x)/gamma-Al2O3 or Ni(x)/gamma-Al2O3, and Mo(y)/gamma-Al2O3 beds separated by a 5 mm, of gamma-Al2O3 or SiO2 bed. The results were obtained in conditions very close to those of industrial processes, namely using a high-pressure continuous-flow-reactor and gas-oil as feed, in contrast to model feeds used in most similar experiments. Compared to the activity of the individual beds, a significant increase of HDS activity is observed at 325, 350 and 375 degreesC, in the case of Co and Ni. As the Co (Ni) containing beds are physically separated from each other, no mutual contamination susceptible to lead to the formation of Co-Mo-S or Ni-Mo-S is possible. Several other alternative explanations have been examined, but it seems that the logical conclusion is that spillover of hydrogen could explain the phenomenon. No synergetic effect was detected using SiC as separator. The effects of changes in the cobalt or nickel (x), and molybdenum (y) contents and of the reaction temperature over the synergetic effect are also described and discussed. The effect of a diffusion of spillover species (probably hydrogen H-so) over a 5 mm distance is so conspicuous that it seems difficult to rule out an important flow of H-so and thus a much stronger effect in real CoMo and NiMo catalysts where the sulfided elements are at nanometer distances from each other. This makes even reasonable the hypothesis that hydrogen spillover could actually play an essential role in the HDS reaction over molybdenum-containing catalysts. (C) 2004 Elsevier B.V. All rights reserved.</t>
  </si>
  <si>
    <t>Escalona, Nestor/F-3593-2016; Ureta-Zañartu, Maria/G-5239-2019</t>
  </si>
  <si>
    <t>Ojeda, Juan/0000-0002-9484-5017; Baeza Chandia, Patricio/0000-0003-1613-2860; Escalona Burgos, Nestor/0000-0002-2628-4609</t>
  </si>
  <si>
    <t>OCT 28</t>
  </si>
  <si>
    <t>10.1016/j.apcata.2004.07.016</t>
  </si>
  <si>
    <t>WOS:000224218700036</t>
  </si>
  <si>
    <t>Mondaca, M; Hernández, A; Valladares, L; Sierralta, W; Noseda, R; Soto-Moyano, R</t>
  </si>
  <si>
    <t>Involvement of melatonin metabolites in the long-term inhibitory effect of the hormone on rat spinal nociceptive transmission</t>
  </si>
  <si>
    <t>PHARMACOLOGY BIOCHEMISTRY AND BEHAVIOR</t>
  </si>
  <si>
    <t>There is evidence that melatonin and its metabolites could bind to nuclear sites in neurones, suggesting that this hormone is able to exert long-term functional effects in the central nervous system via genomic mechanisms. This study was designed to investigate (i) whether systemically administered melatonin can exert long-term effects on spinal cord windup activity, and (ii) whether blockade of melatonin degradation with eserine could prevent this effect. Rats receiving melatonin (10 mg/kg ip), the same dose of melatonin plus eserine (0.5 mg/ kg ip), or saline were studied. Seven days after administration of the drugs or saline, spinal windup of rats was assessed in a C-fiber reflex response paradigm. Results show that rats receiving melatonin exhibited a reduction in spinal windup activity. This was not observed in the animals receiving melatonin plus eserine or saline, suggesting a role for melatonin metabolites in long-term changes of nociceptive transmission in the rat spinal cord. (C) 2003 Elsevier Inc. All rights reserved.</t>
  </si>
  <si>
    <t>Noseda, Rodrigo/0000-0002-9641-4691; Hernandez, Alejandro/0000-0001-9222-6522</t>
  </si>
  <si>
    <t>0091-3057</t>
  </si>
  <si>
    <t>10.1016/j.pbb.2003.11.007</t>
  </si>
  <si>
    <t>WOS:000188733200011</t>
  </si>
  <si>
    <t>Optical response of a quantum dot superlattice under electric and magnetic fields</t>
  </si>
  <si>
    <t>We report calculations of the optical absorption of excitonic states in a linear array of quantum dots in the presence of electric and magnetic fields aligned with the array axis. In this system, in addition to the quantum dot geometric confinement and the Stark confinement, it is also present the confinement induced by the magnetic field that modifies the lateral characteristic energies of the system. The competing action between the effects of the electron-hole correlation and the different mechanisms of quantum confinement produces a rich structure in the spectrum. We show results for a large range of external field values and for different geometric confinement regimes.</t>
  </si>
  <si>
    <t>1550-235X</t>
  </si>
  <si>
    <t>JUL 15</t>
  </si>
  <si>
    <t>10.1103/PhysRevB.64.033406</t>
  </si>
  <si>
    <t>WOS:000169989800026</t>
  </si>
  <si>
    <t>Reduction of nitrobenzene to aniline by CO/H2O catalyzed by cis-[Rh(CO)2(amine)2]PF6 immobilized on poly(4-vinylpyridine)</t>
  </si>
  <si>
    <t>This paper describes the catalytic activation studies on the reduction of nitrobenzene to aniline by cis-[Rh(CO)(2)(amine)(2)]PF6 (amine = 4-picoline, 2-picoline, or pyridine) anchored on poly(4-vinylpyridine) in aqueous 2-ethoxyethanol under water gas shift reaction conditions. The effect of varying the nature of the amine was investigated. The rhodium complex bearing 4-picoline (4-pic) ligands proved to be the most active among those surveyed, showing turnover frequencies for aniline production of 43.9 mole aniline per mole Rh per day for 9.4 x 10(-5) mole cis-[Rh(CO)(2)(4-pic)(2)]PF6/g of polymer, under P(CO) = 0.9 atm and T = 100 degrees C.</t>
  </si>
  <si>
    <t>WOS:000076339000015</t>
  </si>
  <si>
    <t>MELO, F; UMBANHOWAR, PB; SWINNEY, HL</t>
  </si>
  <si>
    <t>HEXAGONS, KINKS, AND DISORDER IN OSCILLATED GRANULAR LAYERS</t>
  </si>
  <si>
    <t>Experiments on vertically oscillated granular layers in an evacuated container reveal a sequence of well-defined pattern bifurcations as the container acceleration is increased. Period doublings of the layer center of mass motion and a standing wave instability interact to produce hexagons and more complicated patterns composed of distinct spatial domains of different relative phase separated by kinks (phase discontinuities). A simple model displays quantitative agreement with the observed transition sequence.</t>
  </si>
  <si>
    <t>Umbanhowar, Paul/KHD-9715-2024; Melo, Francisco/M-3923-2014</t>
  </si>
  <si>
    <t>10.1103/PhysRevLett.75.3838</t>
  </si>
  <si>
    <t>WOS:A1995TF24600014</t>
  </si>
  <si>
    <t>KUPPER, T; WEYER, J</t>
  </si>
  <si>
    <t>MAXIMAL MONOTONICITY AND BIFURCATION FROM THE CONTINUOUS-SPECTRUM</t>
  </si>
  <si>
    <t>10.1016/0362-546X(82)90042-6</t>
  </si>
  <si>
    <t>WOS:A1982PA78600007</t>
  </si>
  <si>
    <t>Eynard-Bontemps, H; Navas, A</t>
  </si>
  <si>
    <t>Eynard-Bontemps, Helene; Navas, Andres</t>
  </si>
  <si>
    <t>All, most, some? On diffeomorphisms of the interval that are distorted and/or conjugate to powers of themselves</t>
  </si>
  <si>
    <t>PROCEEDINGS OF THE EDINBURGH MATHEMATICAL SOCIETY</t>
  </si>
  <si>
    <t>We study the problem of conjugating a diffeomorphism of the interval to (positive) powers of itself. Although this is always possible for homeomorphisms, the smooth setting is rather interesting. Besides the obvious obstruction given by hyperbolic fixed points, several other aspects need to be considered. As concrete results we show that, in class C1, if we restrict to the (closed) subset of diffeomorphisms having only parabolic fixed points, the set of diffeomorphisms that are conjugate to their powers is dense, but its complement is generic. In higher regularity, however, the complementary set contains an open and dense set. The text is complemented with several remarks and results concerning distortion elements of the group of diffeomorphisms of the interval in several regularities.</t>
  </si>
  <si>
    <t>0013-0915</t>
  </si>
  <si>
    <t>1464-3839</t>
  </si>
  <si>
    <t>2025 APR 2</t>
  </si>
  <si>
    <t>10.1017/S0013091525000148</t>
  </si>
  <si>
    <t>WOS:001457394400001</t>
  </si>
  <si>
    <t>Chepuru, A; Rajendran, S; Kesavan, PK</t>
  </si>
  <si>
    <t>Chepuru, Adithya; Rajendran, Saravanakumar; Kesavan, Prabhakaran Koothu</t>
  </si>
  <si>
    <t>Modified Parabolic Extrapolation Based Maximum Power Point Tracking of Thermoelectric Generator for Dynamic Conditions</t>
  </si>
  <si>
    <t>CHINESE JOURNAL OF ELECTRICAL ENGINEERING</t>
  </si>
  <si>
    <t>A thermoelectric generator (TEG) is a one of thermo electric conversion device that operates based on the heat difference between the two surfaces of a device. In a TEG, the power generation varies owing to various ambiences, sources, and loads. These variables make it difficult to draw available power from the device, leading to poor utilization of the TEG. To overcome these drawbacks, maximum power tracking technique (MPPT) can be employed in TEG. A modified PEMPPT scheme is developed to track the maximum power point (MPP) when there is a change in the operating conditions, and is based on a parabolic curve of the power current characteristics of the TEG. The proposed algorithm is developed by considering two features. First, the reduction in tracking time by a sample compared with the PEMPPT algorithm by considering a new shifted point as the first duty. Second, the sign of the voltage is checked to limit the voltage, current, and power by applying the next duties close to the MPP. The proposed system is simulated and experimentally verified using a laboratory prototype. The simulation and experimental results show that the tracking time of the proposed algorithm is almost 3/4th of PEMPPT.</t>
  </si>
  <si>
    <t>Koothu Kesavan, Prabhakaran/O-5690-2019</t>
  </si>
  <si>
    <t>Koothu Kesavan, Prabhakaran/0000-0002-6708-7273</t>
  </si>
  <si>
    <t>2096-1529</t>
  </si>
  <si>
    <t>2836-4619</t>
  </si>
  <si>
    <t>10.23919/CJEE.2024.000079</t>
  </si>
  <si>
    <t>WOS:001390985500001</t>
  </si>
  <si>
    <t>Silva, ADP; Amaya, WS; Contreras, FG</t>
  </si>
  <si>
    <t>Silva, Ana Dyrla Perez; Amaya, Wendolin Suarez; Contreras, Francisco Ganga</t>
  </si>
  <si>
    <t>INDEPENDENT PUBLISHERS, FROM THE PERSPECTIVE OF INTERNATIONAL EXPERIENCES AND STUDIES</t>
  </si>
  <si>
    <t>BIBLIOTECAS-ANALES DE INVESTIGACION</t>
  </si>
  <si>
    <t>To analyze the conditions under which so-called independent publishers operate, taking as reference experiences and various international studies. A documentary-type investigation was carried out, using scientific articles that address the topic at a global level as sources of information. One of the most notable elements is that these publishers constitute an emerging industry, which, although they arise at a national level, in a marginal spectrum, are generating international ties that are positioning them in a globalized world. Independent publishers are here to stay and expand, generating their own sales niches, managing to survive in parallel to large publishers. Economic, intellectual, cultural and political conceptions position independent publishers against predominant unitary ideas that inhibit cultural autonomy. Additionally, ICTs have revolutionized all editorial processes, allowing small print runs at low costs; Thus, self-publishing increases over time, leading in most cases to the creation of micro and small publishing houses.</t>
  </si>
  <si>
    <t>0006-176X</t>
  </si>
  <si>
    <t>1683-8947</t>
  </si>
  <si>
    <t>WOS:001385905100002</t>
  </si>
  <si>
    <t>Diaz, FA; Cabrales, RC; Castillo, E; Moraga, NO</t>
  </si>
  <si>
    <t>Diaz, Felipe A.; Cabrales, Roberto C.; Castillo, Ernesto; Moraga, Nelson O.</t>
  </si>
  <si>
    <t>Accelerated finite volume schemes for dynamic convection-dominant power-law fluid flows</t>
  </si>
  <si>
    <t>COMPUTER METHODS IN APPLIED MECHANICS AND ENGINEERING</t>
  </si>
  <si>
    <t>This work evaluates the benefits of using the Anderson acceleration method in a finite volume context to solve convective -dominant power -law non -Newtonian fluid flows. We use a pressurecorrection fractional step approach adapted to the finite volume method as a segregation strategy with the Picard linearization scheme. We evaluate the accuracy and performance of the Anderson method when we use TVD and non-TVD convective schemes. The work emphasizes algorithmic and programming aspects. We conduct several numerical tests to support the findings and evaluate the sensitivity of the methods concerning numerical parameters. First, we evaluate the convective schemes when solving two problems with analytical solutions to validate the implementation and accuracy. Subsequently, we use the Anderson acceleration method to solve the square lid -driven cavity flow problem for a steady case defined by Re = 7500 and for unsteady solutions defined by Re = 10, 000 and 20,000. In this case, we analyze the robustness and performance of the schemes when solving nonlinear convection -dominant flows. Finally, we solve the lid -driven cavity flow problem for power -law fluids of shear -thinning and shear -thickening behavior defined by a power -law index n = 0.5 and n = 1.5. In this last case, we resolve a steady flow defined by Re = 5000, and then, we evaluate the methods to approximate unsteady solutions defined by Re = 15,000 with n = 0.5 and Re = 25,000 with n = 1.5. As the most important result, we reduce the number of nonlinear iterations using Anderson by 91.6% in the steady case and 79.9% in the time -dependent one in the Newtonian case. In the case of shear -thinning and shear -thickening fluids, the nonlinear iterations were reduced up to 49.7% and 64.3% when using acceleration in an unsteady, highly convective flow.</t>
  </si>
  <si>
    <t>Cabrales, Roberto Carlos/0000-0003-4090-5413; Castillo, Ernesto/0000-0001-7013-6008; Diaz, Felipe A./0000-0001-8528-1283; MORAGA, NELSON/0000-0002-5208-4221</t>
  </si>
  <si>
    <t>0045-7825</t>
  </si>
  <si>
    <t>1879-2138</t>
  </si>
  <si>
    <t>10.1016/j.cma.2024.116877</t>
  </si>
  <si>
    <t>WOS:001203213900001</t>
  </si>
  <si>
    <t>Saez, G; Castro, MA; Allende, S; Nunez, AS</t>
  </si>
  <si>
    <t>Saez, Guidobeth; Castro, Mario A.; Allende, Sebastian; Nunez, Alvaro S.</t>
  </si>
  <si>
    <t>Model for Nonrelativistic Topological Multiferroic Matter</t>
  </si>
  <si>
    <t>We provide a model capable of accounting for the multiferroicity in certain materials. The model's base is on free electrons and spin moments coupled within nonrelativistic quantum mechanics. The synergistic interplay between the magnetic and electric degrees of freedom that turns into the multiferroic phenomena occurs at a profound quantum mechanical level, conjured by Berry's phases and the quantum theory of polarization. Our results highlight the geometrical nature of the multiferroic order parameter that naturally leads to magnetoelectric domain walls, with promising technological potential.</t>
  </si>
  <si>
    <t>Núñez, Alvaro/F-4572-2011</t>
  </si>
  <si>
    <t>Saez, Guidobeth/0000-0003-1401-2531; Nunez, Alvaro S./0000-0002-6804-9703</t>
  </si>
  <si>
    <t>NOV 28</t>
  </si>
  <si>
    <t>10.1103/PhysRevLett.131.226801</t>
  </si>
  <si>
    <t>WOS:001159474100009</t>
  </si>
  <si>
    <t>Huerta, M; Cornejo, F; Aburto, C; Illanes, A; Vera, C; Guerrero, C</t>
  </si>
  <si>
    <t>Huerta, Macarena; Cornejo, Fabian; Aburto, Carla; Illanes, Andres; Vera, Carlos; Guerrero, Cecilia</t>
  </si>
  <si>
    <t>Enzymatic production of rare sugars with a new mutant of cellobiose 2-epimerase from Caldicellulosiruptor saccharolyticus</t>
  </si>
  <si>
    <t>Cellobiose 2-epimerase from Caldicellulosiruptor saccharolyticus (CsCE) can epimerize and isomerize lactose into epilactose and lactulose respectively. Competition between these reactions reactions has prompted the search for new enzymes to drive the reaction in one direction or the other. The isomerization and epimerization capacity of a novel mutant CsCE (CsCE H356N) was evaluated, obtaining a maximum lactulose yield of 64.3 % and a lactulose selectivity of 9.9. A Michaelis-Menten constant of 551.93 mM and a catalytic efficiency of 0,058 s- 1 mM- 1 were obtained for lactose epimerization. The ability of CsCE H356N to recognize other substrates was evaluated using lactulose, glucose, mannose, fructose, galactose, talose and tagatose as substrates, assessing the reversibility of such reactions. Yields of 14.8 % mannose and 4.8 % of fructose were obtained from glucose, while talose and tagatose yields of 9.2 % and 5.2 % were obtained from galactose respectively. No significant reaction occurred with lactulose, fructose or tagatose as substrates.</t>
  </si>
  <si>
    <t>aburto, carla/AAY-8727-2020; vera, Carlos/G-5240-2019</t>
  </si>
  <si>
    <t>Guerrero, Cecilia/0000-0002-4701-3525; Cornejo, Fabian/0000-0002-6633-392X; Huerta, Macarena/0009-0007-3103-0711</t>
  </si>
  <si>
    <t>10.1016/j.biortech.2023.129936</t>
  </si>
  <si>
    <t>WOS:001114860000001</t>
  </si>
  <si>
    <t>Díaz-Aburto, I; Colet-Lagrille, M</t>
  </si>
  <si>
    <t>Diaz-Aburto, Isaac; Colet-Lagrille, Melanie</t>
  </si>
  <si>
    <t>Physical-chemical processes at Mo-doped ceria-yttria stabilized zirconia (YSZ) anodes in solid oxide fuel cells using syngas derived by the distribution of relaxation times method</t>
  </si>
  <si>
    <t>The use of environment-friendly carbonaceous fuels (such as, biomass and synthetic fuels) to produce electricity using solid oxide fuel cells (SOFCs) has emerged as a promising alternative to the use of high-purity hydrogen, which remains as a difficult to produce and store gas. Much effort has been put in the development of SOFC anodes highly active and stable for the use of carbonaceous fuels, such as ceria-based materials, but only recently research has focused on the comprehensive analysis of the interfacial physical-chemical processes affecting their performance.This work presents an indepth analysis of the interfacial processes occurring at a Modoped ceriayttria stabilized zirconia (YSZ) cermet anode in a SOFC using humidified syngas as fuel. To this end, electrochemical impedance spectroscopy (EIS) data is generated and analysed by the distribution of relaxation times (DRT) method. In addition, gas chromatography analysis of the internal reforming products generated under open circuit voltage (OCV) conditions and post-mortem analysis of the electrode materials after polarization are discussed in support of the DRT results.It is observed that the presence of carbon monoxide (CO) in fuel, as compared to pure hydrogen, influences the anodic charge transfer processes not only due to promotion of the water-gas-shift reaction at the anode two-phase (fuel | electrode) and three-phase (fuel | electrode | electrolyte) interfaces, but also because of its direct electrooxidation at the anode three-phase interfaces. The electrooxidation of carbon monoxide presents a slightly higher activation energy than the electrooxidation of hydrogen (ca. 1.86 and 1.21 eV, respectively), which explains the slower kinetics of SOFCs when using syngas as fuel. Additionally, other oxidation processes of CO at the anode interfaces (such as, the Boudouard reaction) promote the formation of carbon deposits lacking ordered structure, which are more reactive than graphitic structures formed at Ni-YSZ anodes but still can negatively influence the electrochemical kinetics.</t>
  </si>
  <si>
    <t>DIAZ-ABURTO, ISAAC/AAN-4170-2021; Colet-Lagrille, Melanie/I-4802-2013</t>
  </si>
  <si>
    <t>DIAZ-ABURTO, ISAAC/0000-0002-4850-1125; Colet-Lagrille, Melanie/0000-0001-9630-3329</t>
  </si>
  <si>
    <t>10.1016/j.electacta.2023.143083</t>
  </si>
  <si>
    <t>WOS:001080109400001</t>
  </si>
  <si>
    <t>de la Paz, JF; Zambrano, NO; Ortiz, FO; Llanos-Rivera, A</t>
  </si>
  <si>
    <t>de la Paz, Javiera F. F.; Zambrano, Nicolas O.; Ortiz, Fernando O. C.; Llanos-Rivera, Alejandra</t>
  </si>
  <si>
    <t>A New Bioassay for the Detection of Paralytic and Amnesic Biotoxins Based on Motor Behavior Impairments of Zebrafish Larvae</t>
  </si>
  <si>
    <t>The global concern about the increase of harmful algal bloom events and the possible impacts on food safety and aquatic ecosystems presents the necessity for the development of more accessible techniques for biotoxin detection for screening purposes. Considering the numerous advantages that zebrafish present as a biological model and particularly as a toxicants sentinel, we designed a sensitive and accessible test to determine the activity of paralytic and amnesic biotoxins using zebrafish larvae immersion. The ZebraBioTox bioassay is based on the automated recording of larval locomotor activity using an IR microbeam locomotion detector, and manual assessment of four complementary responses under a simple stereoscope: survival, periocular edema, body balance, and touch response. This 24 h acute static bioassay was set up in 96-well microplates using 5 dpf zebrafish larvae. For paralytic toxins, a significant decrease in locomotor activity and touch response of the larvae was detected, allowing a detection threshold of 0.1-0.2 mu g/mL STXeq. In the case of the amnesic toxin the effect was reversed, detecting hyperactivity with a detection threshold of 10 mu g/mL domoic acid. We propose that this assay might be used as a complementary tool for environmental safety monitoring.</t>
  </si>
  <si>
    <t>DE LA PAZ, JAVIERA F./0000-0002-7831-5702; Ortiz, Fernando C/0000-0002-4776-4492; /0000-0002-1082-106X</t>
  </si>
  <si>
    <t>10.3390/ijms24087466</t>
  </si>
  <si>
    <t>WOS:000977665600001</t>
  </si>
  <si>
    <t>Tabilo-Agurto, C; Del Rio-Pinilla, V; Eltit-Villarroel, V; Goity, A; Muñoz-Guzmán, F; Larrondo, LF</t>
  </si>
  <si>
    <t>Tabilo-Agurto, Cyndi; Del Rio-Pinilla, Veronica; Eltit-Villarroel, Valeria; Goity, Alejandra; Munoz-Guzman, Felipe; Larrondo, Luis F.</t>
  </si>
  <si>
    <t>Developing a Temperature-Inducible Transcriptional Rheostat in Neurospora crassa</t>
  </si>
  <si>
    <t>MBIO</t>
  </si>
  <si>
    <t>Heat shock protein (HSP)-encoding genes (hsp), part of the highly conserved heat shock response (HSR), are known to be induced by thermal stress in several organisms. In Neurospora crassa, three hsp genes, hsp30, hsp70, and hsp80, have been characterized; however, the role of defined cis elements in their responses to discrete changes in temperature remains largely unexplored. To fill this gap, while also aiming to obtain a reliable fungal heat shock-inducible system, we analyzed different sections of each hsp promoter by assessing the expression of real-time transcriptional reporters. Whereas all three promoters and their resected versions were acutely induced by high temperatures, only hsp30 displayed a broad range of expression and high tunability, amply exceeding other inducible promoter systems existing in Neurospora, such as quinic acid- or light-inducible ones. As proof of concept, we employed one of these promoters to control the expression of clr-2, which encodes the master regulator of Neurospora cellulolytic capabilities. The resulting strain fails to grow on cellulose at 25 degrees C, whereas it grows robustly if heat shock pulses are delivered daily. Additionally, we designed two hsp30 synthetic promoters and characterized them, as well as the native promoters, using a gradient of high temperatures, yielding a wide range of responses to thermal stimuli. Thus, Neurospora hsp30-based promoters represent a new set of modular elements that can be used as transcriptional rheostats to adjust the expression of a gene of interest or for the implementation of regulated circuitries for synthetic biology and biotechnological strategies. IMPORTANCE A timely and dynamic response to strong temperature fluctuations is paramount for organismal biology. At the same time, inducible promoters are a powerful tool for fungal biotechnological and synthetic biology endeavors. In this work, we analyzed the activity of several N. crassa heat shock protein (hsp) promoters at a wide range of temperatures, observing that hsp30 exhibits remarkable sensitivity and a dynamic range of expression as we charted the response of this promoter to subtle increases in temperature, and also as we built and analyzed synthetic promoters based on hsp30 cis elements. As proof of concept, we tested the ability of hsp30 to provide tight control of a central process, cellulose degradation. While this study provides an unprecedented description of the regulation of the N. crassa hsp genes, it also contributes a noteworthy addition to the molecular toolset of transcriptional controllers in filamentous fungi.</t>
  </si>
  <si>
    <t>; Larrondo, Luis/J-1086-2016</t>
  </si>
  <si>
    <t>Munoz-Guzman, Felipe/0000-0003-3981-4776; Larrondo, Luis/0000-0002-8832-7109</t>
  </si>
  <si>
    <t>2150-7511</t>
  </si>
  <si>
    <t>e03291-22</t>
  </si>
  <si>
    <t>10.1128/mbio.03291-22</t>
  </si>
  <si>
    <t>WOS:001191159500002</t>
  </si>
  <si>
    <t>García, V; Barra, MJ; Martínez, A; Tobar, JA</t>
  </si>
  <si>
    <t>Garcia, Veronica; Jose Barra, Maria; Martinez, Alexis; Tobar, Jamie A.</t>
  </si>
  <si>
    <t>Validation of ADDIGENE-BKD kit as a tool for early Renibacterium salmoninarum diagnostics in field</t>
  </si>
  <si>
    <t>P-64</t>
  </si>
  <si>
    <t>WOS:001050952100065</t>
  </si>
  <si>
    <t>Vargas, C; Navarro, P; Mejía, E; Hernández, P</t>
  </si>
  <si>
    <t>Vargas, C.; Navarro, P.; Mejia, E.; Hernandez, P.</t>
  </si>
  <si>
    <t>Aurocyanide adsorption onto granular activated carbon impregnated with SDS anionic surfactant</t>
  </si>
  <si>
    <t>GOLD BULLETIN</t>
  </si>
  <si>
    <t>The impregnation of granular activated carbon with the anionic surfactant sodium dodecylsulfate (SDS) was studied and the influence on aurocyanide adsorption was evaluated. Thermodynamic and kinetic parameters were also determined. The impregnation of activated carbon with SDS improves gold adsorption by 10%, showing a cleansing effect on the carbon surface which was displayed in a higher specific surface area. Specific pore volume and average pore diameter did not undergo important changes. Increasing the temperature decreases gold adsorption on modified carbon. The standard enthalpy of adsorption and the activation energy were calculated, getting values of - 41.3 kJ/mol and 15.0 kJ/mol, respectively.</t>
  </si>
  <si>
    <t>Mejia, Erica/0000-0002-2913-1181</t>
  </si>
  <si>
    <t>2364-821X</t>
  </si>
  <si>
    <t>2190-7579</t>
  </si>
  <si>
    <t>10.1007/s13404-022-00314-y</t>
  </si>
  <si>
    <t>JUN 2022</t>
  </si>
  <si>
    <t>WOS:000815438200001</t>
  </si>
  <si>
    <t>Pszczólkowski, P; Ganga, MA; Veliz, L; Castro, MH; Meneses, M; Castro, A; Cañón, P; Hinrichsen, P</t>
  </si>
  <si>
    <t>Pszczolkowski, P.; Ganga, M. A.; Veliz, L.; Castro, M. H.; Meneses, M.; Castro, A.; Canon, P.; Hinrichsen, P.</t>
  </si>
  <si>
    <t>Molecular and ampelographic characterization of genotypes used for Pajarete wine, an old Denomination of Origin from Huasco and Elqui Valleys in northern Chile</t>
  </si>
  <si>
    <t>VITIS</t>
  </si>
  <si>
    <t>The characterization of 30 grape accessions used to produce Pajarete wine is presented, one of the first American Denomination of Origin (D.O.). Accessions were collected from small vineyards from the Huasco Valley in the Atacama Region, northern Chile, which are very heterogeneous for varietal assortment, as was demonstrated by microsatellite marker analysis. Eighteen different genotypes were identified, including the two varieties considered the founders of American viticulture, 'Listan Prieto' (syn. 'Pais') and 'Muscat of Alexandria'. A series of criolla varieties was also identified, some of them already described plus others not yet included in international databases. Based on nine SSR markers, allelic matchings suggest that four of these new criolla varieties (NN-311, NN-313, NN-368 and NN-370) derives from 'Listan Prieto' x 'Muscat of Alexandria', but three (NN-314, NN-276 and NN-369) are derived from 'M. of Alexandria' crossed with a yet undetermined parent. Seven criolla accessions were described by ampelography, including some not yet recorded in the European Vitis International Variety Catalogue (VIVC) or in the Instituto de Investigaciones Agropecuarias (INIA) database. Three accessions were considered as not appropriate for the production of Pajarete wine since two of them are table grape varieties and the other is the American variety 'Isabella' (Vitis labrusca x V. vinifera), all considered of poor quality for winemaking. All these findings are very useful to direct the conservation of this unique germplasm, as well as for small producers of Pajarete wine, since based on this information on the overall variety assortment of the area, they can now make informed decisions to improve their vineyard management and wine production.</t>
  </si>
  <si>
    <t>Ganga, Maria/S-8176-2019</t>
  </si>
  <si>
    <t>Meneses, Marco/0009-0001-3814-2026</t>
  </si>
  <si>
    <t>0042-7500</t>
  </si>
  <si>
    <t>10.5073/vitis.2022.61.37-44</t>
  </si>
  <si>
    <t>WOS:000761084700005</t>
  </si>
  <si>
    <t>Moreno, A; Vargas, C; Azocar, F; Villarroel, F; Cofré, M; Oppliger, H; Ríos, F; Raijmakers, M; Silva-Ayarza, I; Beltrán, C; Zamora, F</t>
  </si>
  <si>
    <t>Moreno, A.; Vargas, C.; Azocar, F.; Villarroel, F.; Cofre, M.; Oppliger, H.; Rios, F.; Raijmakers, M.; Silva-Ayarza, I.; Beltran, C.; Zamora, F.</t>
  </si>
  <si>
    <t>Steroids and mortality in non-critically ill COVID-19 patients: a propensity score-weighted study in a Chilean cohort</t>
  </si>
  <si>
    <t>Objectives: The aim of this study was to evaluate the impact on 30-day mortality of early use of corticosteroids in COVID-19 patients with supplementary oxygen requirements and without invasive mechanical ventilation at the initiation of therapy. Methods: All patients hospitalized with COVID-19 between April 15 and July 15, 2020, and requiring supplementary oxygen, were prospectively included in a database. Patients who died or required intubation within the first 48 hours were excluded. Patients who received corticosteroids within the first 5 days of hospitalization and at least 24 hours prior to intubation were allocated to the 'early corticosteroids' group. To compare both populations and adjust for non-random treatment assignment bias, a weight-adjusted propensity score model was used. Results: In total, 571 patients met the inclusion criteria, 520 had sufficient information for the analysis. Of these, 233 received early corticosteroids and 287 did not. Analysis showed a reduction of 8.5% ( p = 0.038) in 30-day mortality in the early corticosteroid group. The reduction in mortality was not significant when patients with corticosteroid initiation between day 5 and day 8 of hospitalization were included. Conclusion: Early corticosteroid use reduced mortality in patients with pneumonia due to COVID-19, who required supplementary oxygen but not initial invasive mechanical ventilation. (c) 2021 The Author(s). Published by Elsevier Ltd on behalf of International Society for Infectious Diseases. This is an open access article under the CC BY-NC-ND license ( http://creativecommons.org/licenses/by-nc-nd/4.0/ )</t>
  </si>
  <si>
    <t>Ríos, Fernanda/IAM-5563-2023; Vargas, Claudio/AAX-6076-2020; Raijmakers, Mariella/ABD-8342-2021; Silva Ayarza, Ignacio/KYQ-4699-2024</t>
  </si>
  <si>
    <t>Raijmakers, Mariella/0000-0001-7100-4875; Silva Ayarza, Ignacio/0000-0002-6996-3695</t>
  </si>
  <si>
    <t>1878-3511</t>
  </si>
  <si>
    <t>10.1016/j.ijid.2021.09.038</t>
  </si>
  <si>
    <t>WOS:000706527200020</t>
  </si>
  <si>
    <t>Espinosa-Méndez, C; Jara, M</t>
  </si>
  <si>
    <t>Espinosa-Mendez, Christian; Jara, Mauricio</t>
  </si>
  <si>
    <t>International diversification and performance in family firm: Exploring nonlinear relationships with the governance structure in an emerging economy</t>
  </si>
  <si>
    <t>SPANISH JOURNAL OF FINANCE AND ACCOUNTING-REVISTA ESPANOLA DE FINANCIACION Y CONTABILIDAD</t>
  </si>
  <si>
    <t>In this study, we researched the relationship between international diversification and performance in family firms in an emerging economy. Likewise, from the perspective of the governance structure, we investigated non-linear relationships between business group membership, concentration of ownership as well as pyramid ownership with the performance of internationally diversified family firms. Considering a sample of 83 companies that have been listed on the Santiago de Chile Stock Exchange during the period between 2003 and 2013, we find an inverted U relationship between international diversification and performance; a U relationship between international diversification and performance in family firms; an inverted U relationship between the performance of internationalised family firms and affiliation to a business group; a U relationship between the performance of internationalised family firms and concentration of ownership; and a non-linear relationship in the inverted U form between the performance of internationalised family firms and high divergence between control and cash flow rights and U in the case of low divergence.</t>
  </si>
  <si>
    <t>Espinosa-Méndez, Christian/G-5177-2019; Jara, Mauricio/HHN-5573-2022</t>
  </si>
  <si>
    <t>Espinosa-Mendez, Christian/0000-0001-6499-2414</t>
  </si>
  <si>
    <t>0210-2412</t>
  </si>
  <si>
    <t>2332-0753</t>
  </si>
  <si>
    <t>OCT 2</t>
  </si>
  <si>
    <t>10.1080/02102412.2021.1886453</t>
  </si>
  <si>
    <t>WOS:000630935200001</t>
  </si>
  <si>
    <t>Corral, FV; Cuenca, C; Soto, I</t>
  </si>
  <si>
    <t>Corral, Fabian Vinicio; Cuenca, Christian; Soto, Ismael</t>
  </si>
  <si>
    <t>Design of an Optical Wireless Network using Free Space Optics Technology (FSO), in 5G/6G Networks Environment</t>
  </si>
  <si>
    <t>We propose a free-space optical system for the current network topology of university campus buildings and the Astronomical Observatory, at Quito, Ecuador. Using wireless optical communication provides the advantages of a wireless environment and faster data transfer rate. The Free Space Optics (FSO) design considers the worst atmospheric condition (torrential rain and fog) where the visibility value is 770 meters. The obtained atmospheric-attenuation coefficient is 3.84 dB/Km. Link margin values calculated between 4.74 dB to 43.99 dB allow validating the FSO network design. The FSO cost implementation is almost equal than a fiber optic alternative, which makes this technology very attractive for Optical Wireless Communications (OWC) in the 5G/5GB/6G network environment.</t>
  </si>
  <si>
    <t>10.1109/ICAACCA51523.2021.9465287</t>
  </si>
  <si>
    <t>WOS:000855764500099</t>
  </si>
  <si>
    <t>Coffman, KB; Klinowski, D</t>
  </si>
  <si>
    <t>Coffman, Katherine B.; Klinowski, David</t>
  </si>
  <si>
    <t>The impact of penalties for wrong answers on the gender gap in test scores</t>
  </si>
  <si>
    <t>PROCEEDINGS OF THE NATIONAL ACADEMY OF SCIENCES OF THE UNITED STATES OF AMERICA</t>
  </si>
  <si>
    <t>Multiple-choice examinations play a critical role in university admissions across the world. A key question is whether imposing penalties for wrong answers on these examinations deters guessing from women more than men, disadvantaging female test-takers. We consider data from a large-scale, high-stakes policy change that removed penalties for wrong answers on the national college entry examination in Chile. The policy change reduced a large gender gap in questions skipped. It also narrowed gender gaps in performance, primarily among high-performing test-takers, and in the fields of math, social science, and chemistry.</t>
  </si>
  <si>
    <t>0027-8424</t>
  </si>
  <si>
    <t>APR 21</t>
  </si>
  <si>
    <t>10.1073/pnas.1920945117</t>
  </si>
  <si>
    <t>WOS:000528260600024</t>
  </si>
  <si>
    <t>Carreño, C; Seguel, F; Adasme, P; Soto, I; Krommenacker, N; Charpentier, P; Bombardier, V</t>
  </si>
  <si>
    <t>Carreno, Cristobal; Seguel, Fabian; Adasme, Pablo; Soto, Ismael; Krommenacker, Nicolas; Charpentier, Patrick; Bombardier, Vincent</t>
  </si>
  <si>
    <t>Comparison of metaheuristic optimization algorithms for RSS-based 3-D visible light positioning systems</t>
  </si>
  <si>
    <t>2020 SECOND SOUTH AMERICAN COLLOQUIUM ON VISIBLE LIGHT COMMUNICATIONS (IEEE SACVC 2020)</t>
  </si>
  <si>
    <t>2nd South American Colloquium on Visible Light Communications (IEEE SACVLC)</t>
  </si>
  <si>
    <t>JUN 04-05, 2020</t>
  </si>
  <si>
    <t>IEEE Chile Sect,Univ Santiago Chile,IEEE,IEEE Commun,Gobierno Chile, Minist Educ, Fondo Nacl Desarrollo Cientifico Tecnologico,Gobierno Chile, Minist Educ, Fondo Fomento Desarrollo Cientifico Tecnologico,Gobierno Chile, Minist Educ, Programa Cooperac Int</t>
  </si>
  <si>
    <t>In this work we present a comparison between two classical metaheuristic optimization algorithms to solve two different received signal strength (RSS) based fitness function formulations for 3-D visible light positioning systems. For this purpose, simulations have been carried out to analyze the performance of genetic algorithm (GA) and particle swarm optimization (PSO) methods for mobile node's position determination. Based on simulation results, GA overcomes PSO. GA shows to be more robust than PSO and it is capable to provide feasible optimal solutions when no map information is added as constraints to the optimization problem. When map information is used as lower and upper bound constraints, GA and PSO methods increase their accuracy and precision significantly.</t>
  </si>
  <si>
    <t>Adasme, Pablo/U-1735-2019; Krommenacker, Nicolas/IAR-4851-2023; Seguel, Fabian/ABC-4765-2020</t>
  </si>
  <si>
    <t>Seguel, Fabian/0000-0001-6567-8988</t>
  </si>
  <si>
    <t>978-1-7281-6341-3</t>
  </si>
  <si>
    <t>10.1109/sacvlc50805.2020.9129861</t>
  </si>
  <si>
    <t>WOS:000856038700004</t>
  </si>
  <si>
    <t>Mira, CR; Moreno, XJ</t>
  </si>
  <si>
    <t>Mira, Claudia Rojas; Moreno, Ximena Jiles</t>
  </si>
  <si>
    <t>The extraordinary political action starring the Pro-Emancipation Movement of Women of Chile, (MEMCH): 1935-1949</t>
  </si>
  <si>
    <t>IZQUIERDAS</t>
  </si>
  <si>
    <t>In the present text we will describe and analyze the political action of the MEMCH, as well as its influence on Chilean society, between the years 1935-1949. We will review its geographic scope; its massiveness and plurality in terms of adherents and its emancipatory and visionary program, with the multifaceted use of determined and effective strategies of action, on which historiography has not sufficiently repaired until the present. Among them: its organic, through the formation of local committees in various parts of the country, its relations with the Central Committee; the assiduous epistolary exchange, sustained between the members of these and the leadership; the train trips of its delegates with the purpose of deploying in the provinces, both in the North and South of the country, to approach and train women; the enlarged National Congresses, which heard the voice of leaders and militants; the emblematic leadership; public demonstrations; alliances with fraternal organizations, political parties, unions, unions and influential people in the political sphere; the creation and use of identity elements; the specific campaigns marked by the national and international contingency and the dissemination of its editorial line through the newspaper La Mujer Nueva. It is also highlighted as articulating attributes of the MEMCH's political action: the fraternity among its militants, the plurality of ideas, creeds and social classes present in its ranks. Within a political context, they not only devoted themselves to the struggle to achieve the female vote, but they also developed communication and organizational strategies that were very effective, such as letter communication and the visits of their delegates to the north and south. As a hypothesis, we formulated that the MEMCH articulated its activities creating and using a plurality of strategies that made it possible to massify the movement. It established a strong and sustained link between sectors of enlightened and popular women, and in favor of an integral program of women's demands, whose efficiency was due, in spite of inter-class tensions, to the fact that the autonomy of the organization was the fundamental principle, as well as the construction of an own identity. Not only was it a political movement but it raised problems that are still current and are part of the demands of the current feminist movements.</t>
  </si>
  <si>
    <t>0718-5049</t>
  </si>
  <si>
    <t>WOS:000614864700018</t>
  </si>
  <si>
    <t>Parada, SFP; Flores, RA; Salas, CB; Zamorano, EP</t>
  </si>
  <si>
    <t>Peredo Parada, Santiago F.; Alvarez Flores, Ricardo; Barrera Salas, Claudia; Parada Zamorano, Esperanza</t>
  </si>
  <si>
    <t>NUTRITIONAL VALUE OF Dasyphyllum diacanthoides (Less.) Carb.: AN ENDEMIC TREE USED AS SUPLEMENTARY FORAGE IN AGROFORESTRY SYSTEMS</t>
  </si>
  <si>
    <t>BIOAGRO</t>
  </si>
  <si>
    <t>In view of the evidence of the use of Dasyphyllum diacanthoides by peasants of the Region of the Araucania, in the center-south zone of Chile, as winter food for their cattle, and the nonexistence of reports on the use of this forage, in this paper we determined the nutritional value of the species. Samples taken from different edible parts of D. diacanthoides were dried and subjected to a proximate analysis and detergent system to determine dry matter; crude protein, ether extract; phosphorus, crude fiber, acid detergent fiber, neutral detergent fiber, total ash and metabolizable energy. It was shown that shoots and leaves are the edible parts that have the best nutritional values among the analyzed variables. Additionally, by calculating the digestible energy, digestible dry matter and the average metabolizable energy, it was found that D. diacanthoides has intermediate values for these variables compared to those of forage tree species used in different parts of the world and to the main local forage species. The plant presents balanced energy-protein ratio values, turning into an important winter supplement forage in view of the low availability of forage in the mountain localities of the Region of the Araucania, as compared to other forage species used in Chile.</t>
  </si>
  <si>
    <t>1316-3361</t>
  </si>
  <si>
    <t>2521-9693</t>
  </si>
  <si>
    <t>WOS:000530873500008</t>
  </si>
  <si>
    <t>Figueroa, JA; Castro, SA; Reyes, M; Teillier, S</t>
  </si>
  <si>
    <t>Figueroa, Javier A.; Castro, Sergio A.; Reyes, Margarita; Teillier, Sebastian</t>
  </si>
  <si>
    <t>Urban park area and age determine the richness of native and exotic plants in parks of a Latin American city: Santiago as a case study</t>
  </si>
  <si>
    <t>URBAN ECOSYSTEMS</t>
  </si>
  <si>
    <t>Plant diversity and composition in urban parks is determined by socio-economics, environmental, and ecological drivers. These drivers give rise to urban spaces with unique compositions of flora, consisting of planted and spontaneous species. The present study aimed to determine the contribution of native and exotic species in urban parks of a Latin American city, and to assess the related role of park area, age and socio-economic status. We also evaluated administration type (public or private) and the effect of environmental factors on plant richness. We hypothesized that the composition of park vegetation differs according to urban-rural gradient. To determine flora composition, two transects (100 m long by 1-3 m wide) per park were selected in 49 parks. In each of these, we identified all the vascular plants found (woody and herbs, planted and spontaneous), which were then classified as native or exotic. We conducted ANCOVAs in order to determine the effect of five independent variables and one factor, on native and exotic plant richness. Of 550 recorded species, 16.2% were native and 83.8% exotic. Number of plant species per park varied between 42 and 146. The parks are known urban habitats containing the highest planted and spontaneously occurring exotic diversity in the city of Santiago, contrasting with other types of habitats. Likewise, parks in Santiago are habitats with low levels of planted and spontaneously occurring native diversity, compared to the parks of Europe, America North and Asia. Ours results show that park area and age affected native plant richness, while exotic plant richness was determined only by park age. We rejected all other possible drivers. Finally, according to the low frequency of native species, we propose that Santiago's parks could be gradually reoriented towards ex-situ conservation of native plants.</t>
  </si>
  <si>
    <t>Figueroa, Javier/I-3451-2019</t>
  </si>
  <si>
    <t>1083-8155</t>
  </si>
  <si>
    <t>1573-1642</t>
  </si>
  <si>
    <t>10.1007/s11252-018-0743-0</t>
  </si>
  <si>
    <t>WOS:000438128600006</t>
  </si>
  <si>
    <t>Tapia, SM; Cuevas, M; Abarcao, V; Delgado, V; Rojas, V; García, V; Brice, C; Martínez, C; Salinas, F; Larrondo, LF; Cubillos, FA</t>
  </si>
  <si>
    <t>Tapia, Sebastian M.; Cuevas, Mara; Abarcao, Valentina; Delgado, Veronica; Rojas, Vicente; Garcia, Veronica; Brice, Claire; Martinez, Claudio; Salinas, Francisco; Larrondo, Luis F.; Cubillos, Francisco A.</t>
  </si>
  <si>
    <t>GPD1 and ADH3 Natural Variants Underlie Glycerol Yield Differences in Wine Fermentation</t>
  </si>
  <si>
    <t>Glycerol is one of the most important by-products of alcohol fermentation, and depending on its concentration it can contribute to wine flavor intensity and aroma volatility. Here, we evaluated the potential of utilizing the natural genetic variation of noncoding regions in budding yeast to identify allelic variants that could modulate glycerol phenotype during wine fermentation. For this we utilized four Saccharomyces cerevisiae strains (WE - Wine/European, SA - Sake, NA - North American, and WA - West African), which were previously profiled for genome-wide Allele Specific Expression (ASE) levels. The glycerol yields under Synthetic Wine Must (SWM) fermentations differed significantly between strains; WA produced the highest glycerol yields while SA produced the lowest yields. Subsequently, from our ASE database, we identified two candidate genes involved in alcoholic fermentation pathways, ADH3 and GPD1, exhibiting significant expression differences between strains. A reciprocal hemizygosity assay demonstrated that hemizygotes expressing GPD1(WA), GPD1(SA), ADH3(WA) and ADH3(SA) alleles had significantly greater glycerol yields compared to GPD1(WE) and ADH3(WE). We further analyzed the gene expression profiles for each GPD1 variant under SWM, demonstrating that the expression of GPD1(WE) occurred earlier and was greater compared to the other alleles. This result indicates that the level, timing, and condition of expression differ between regulatory regions in the various genetic backgrounds. Furthermore, promoter allele swapping demonstrated that these allele expression patterns were transposable across genetic backgrounds; however, glycerol yields did not differ between wild type and modified strains, suggesting a strong trans effect on GPD1 gene expression. In this line, Gpd1 protein levels in parental strains, particularly Gpd1p(WE), did not necessarily correlate with gene expression differences, but rather with glycerol yield where low Gpd1p(WE) levels were detected. This suggests that GPD1(WE) is influenced by recessive negative post-transcriptional regulation which is absent in the other genetic backgrounds. This dissection of regulatory mechanisms in GPD1 allelic variants demonstrates the potential to exploit natural alleles to improve glycerol production in wine fermentation and highlights the difficulties of trait improvement due to alternative trans-regulation and gene-gene interactions in the different genetic background.</t>
  </si>
  <si>
    <t>García, Verónica/AAM-1175-2021; Cubillos, Francisco/MIT-2389-2025; Martinez, Claudio/MGS-9961-2025; Rojas, Vicente/KEV-8263-2024; Larrondo, Luis/J-1086-2016; Cubillos, Francisco/G-5195-2019; Salinas, Francisco/W-3269-2017</t>
  </si>
  <si>
    <t>Tapia, Sebastian/0000-0001-6047-8178; Larrondo, Luis/0000-0002-8832-7109; Cubillos, Francisco/0000-0003-3022-469X; garcia, veronica/0000-0002-5312-925X; Salinas, Francisco/0000-0002-8391-8145</t>
  </si>
  <si>
    <t>10.3389/fmicb.2018.01460</t>
  </si>
  <si>
    <t>WOS:000437183900001</t>
  </si>
  <si>
    <t>The Political Impact of Chilean New Song in Exile</t>
  </si>
  <si>
    <t>LATIN AMERICAN PERSPECTIVES</t>
  </si>
  <si>
    <t>The musical movement known as Chilean New Song became a key mobilizing force in politics in the 1960s and early 1970s in Chile, inspiring, uniting, and motivating people in a common cause and articulating the dreams and hopes of masses of people for progressive social change. Similarly, the New Song movement in exile, after the 1973 coup, helped to generate and sustain the support and solidarity of Chilean exiles and foreign nationals around the world, speaking about the repression in Chile, communicating the ideals of the popular movements, and inspiring and strengthening solidarity movements in many countries.</t>
  </si>
  <si>
    <t>0094-582X</t>
  </si>
  <si>
    <t>1552-678X</t>
  </si>
  <si>
    <t>10.1177/0094582X16683374</t>
  </si>
  <si>
    <t>WOS:000406599400002</t>
  </si>
  <si>
    <t>Moraga-Amaro, R; Gonzalez, H; Ugalde, V; Donoso-Ramos, JP; Quintana-Donoso, D; Lara, M; Morales, B; Rojas, P; Pacheco, R; Stehberg, J</t>
  </si>
  <si>
    <t>Moraga-Amaro, Rodrigo; Gonzalez, Hugo; Ugalde, Valentina; Pablo Donoso-Ramos, Juan; Quintana-Donoso, Daisy; Lara, Marcelo; Morales, Bernardo; Rojas, Patricio; Pacheco, Rodrigo; Stehberg, Jimmy</t>
  </si>
  <si>
    <t>Dopamine receptor D5 deficiency results in a selective reduction of hippocampal NMDA receptor subunit NR2B expression and impaired memory</t>
  </si>
  <si>
    <t>NEUROPHARMACOLOGY</t>
  </si>
  <si>
    <t>Pharmacological evidence associates type I dopamine receptors, including subtypes D1 and D5, with learning and memory. Analyses using genetic approaches have determined the relative contribution of dopamine receptor Dl (D1R) in cognitive tasks. However, the lack of drugs that can discriminate between D1R and D5R has made the pharmacological distinction between the two receptors difficult. Here, we aimed to determine the role of D5R in learning and memory. In this study we tested D5R knockout mice and wild-type littermates in a battery of behavioral tests, including memory, attention, locomotion, anxiety and motivational evaluations. Our results show that genetic deficiency of D5R significantly impairs performance in the Morris water maze paradigm, object location and object recognition memory, indicating a relevant role for D5R in spatial memory and recognition memory. Moreover, the lack of D5R resulted in decreased exploration and locomotion. In contrast, D5R deficiency had no impact on working memory, anxiety and depressive-like behavior, measured using the spontaneous alternation, open-field, tail suspension test, and forced swimming test. Electrophysiological analyses performed on hippocampal slices showed impairment in long-term-potentiation in mice lacking D5R. Further analyses at the molecular level showed that genetic deficiency of D5R results in a strong and selective reduction in the expression of the NMDA receptor subunit NR2B in the hippocampus. These findings demonstrate the relevant contribution of D5R in memory and suggest a functional interaction of D5R with hippocampal glutamatergic pathways. (C) 2015 Elsevier Ltd. All rights reserved.</t>
  </si>
  <si>
    <t>Rojas, Patricio/ISS-1091-2023; stehberg, jimmy/JVZ-2690-2024; Morales Castañeda, Bernardo/GPP-1642-2022; Moraga-Amaro, Rodrigo/HZK-6376-2023</t>
  </si>
  <si>
    <t>Pacheco, Rodrigo/0000-0001-8057-9806; Stehberg, Jimmy/0000-0001-7897-9552; Gonzalez Velozo, Hugo A/0000-0003-2183-3637</t>
  </si>
  <si>
    <t>0028-3908</t>
  </si>
  <si>
    <t>1873-7064</t>
  </si>
  <si>
    <t>10.1016/j.neuropharm.2015.12.018</t>
  </si>
  <si>
    <t>WOS:000371098800020</t>
  </si>
  <si>
    <t>Mascayano, C; Espinosa, V; Sepúlveda-Boza, S; Hoobler, EK; Perry, S; Diaz, G; Holman, TR</t>
  </si>
  <si>
    <t>Mascayano, Carolina; Espinosa, Victoria; Sepulveda-Boza, Silvia; Hoobler, Eric K.; Perry, Steve; Diaz, Giovanni; Holman, Theodore R.</t>
  </si>
  <si>
    <t>Enzymatic Studies of Isoflavonoids as Selective and Potent Inhibitors of Human Leukocyte 5-Lipo-Oxygenase</t>
  </si>
  <si>
    <t>CHEMICAL BIOLOGY &amp; DRUG DESIGN</t>
  </si>
  <si>
    <t>Continuing our search to find more potent and selective 5-LOX inhibitors, we present now the enzymatic evaluation of seventeen isoflavones (IR) and nine isoflavans (HIR), and their in vitro and in cellulo potency against human leukocyte 5-LOX. Of the 26 compounds tested, 10 isoflavones and 9 isoflavans possessed micromolar potency, but only three were selective against 5-LOX (IR-2, HIR-303, and HIR-309), with IC50 values at least 10 times lower than those of 12-LOX, 15-LOX-1, and 15-LOX-2. Of these three, IR-2 (6,7-dihydroxy-4-methoxy-isoflavone, known as texasin) was the most selective 5-LOX inhibitor, with over 80-fold potency difference compared with other isozymes; Steered Molecular Dynamics (SMD) studies supported these findings. The presence of the catechol group on ring A (6,7-dihydroxy versus 7,8-dihydroxy) correlated with their biological activity, but the reduction of ring C, converting the isoflavones to isoflavans, and the substituent positions on ring B did not affect their potency against 5-LOX. Two of the most potent/selective inhibitors (HIR-303 and HIR-309) were reductive inhibitors and were potent against 5-LOX in human whole blood, indicating that isoflavans can be potent and selective inhibitors against human leukocyte 5-LOX in vitro and in cellulo.</t>
  </si>
  <si>
    <t>Mascayano Collado, Carolina Lorena/0000-0002-3488-9309; Perry, Steven/0000-0003-4428-5338</t>
  </si>
  <si>
    <t>1747-0277</t>
  </si>
  <si>
    <t>1747-0285</t>
  </si>
  <si>
    <t>10.1111/cbdd.12469</t>
  </si>
  <si>
    <t>WOS:000356362300009</t>
  </si>
  <si>
    <t>Vera-Villarroel, P; Celis-Atenas, K; Lillo, S; Contreras, D; Díaz-Pardo, N; Torres, J; Vargas, S; Oyanedel, JC; Páez, D</t>
  </si>
  <si>
    <t>Vera-Villarroel, Pablo; Celis-Atenas, Karem; Lillo, Sebastian; Contreras, Daniela; Diaz-Pardo, Natalia; Torres, Javier; Vargas, Salvador; Carlos Oyanedel, Juan; Paez, Dario</t>
  </si>
  <si>
    <t>Towards a Model of Psychological Well-Being. The Role of Socioeconomic Status and Satisfaction with Income in Chile</t>
  </si>
  <si>
    <t>UNIVERSITAS PSYCHOLOGICA</t>
  </si>
  <si>
    <t>Association between indexes of socioeconomic status, satisfaction with income and status, and psychological well-being (PWB) was examined in a representative sample of Chileans. Results confirm a positive association between socioeconomic status and satisfaction with income and status and PWB. Associations were stronger with PWB facets related to relational, control and self-esteem processes, and weaker with purpose of life, growth and autonomy. Structural equation modeling confirmed a direct significant coefficient of socioeconomic status on PWB, as well as an indirect significant path through satisfaction with income and status. Control for satisfaction with socioeconomic status and purchase power reduced but did not eliminate the effect of socioeconomic status on PWB. Results are consistent with a direct effect model of socio-structural position on well-being, but also with the relevance of satisfaction with social position as an appraisal process to indicate high psychological well-being.</t>
  </si>
  <si>
    <t>Lillo, Sara/KVB-4124-2024; Torres-Vallejos, Javier/AAH-3587-2020; Oyanedel, Juan/V-2833-2019; Vera-Villarroel, Pablo/AAQ-8476-2020; Paez, Dario/D-5207-2009; Vera-Villarroel, Pablo/A-1134-2011</t>
  </si>
  <si>
    <t>Moller Pardo, Natalia/0000-0003-2545-575X; Torres-Vallejos, Javier/0000-0002-4229-7768; Oyanedel, Juan/0000-0003-4023-6926; Paez, Dario/0000-0002-8459-6037; Vera-Villarroel, Pablo/0000-0001-9187-8414</t>
  </si>
  <si>
    <t>1657-9267</t>
  </si>
  <si>
    <t>WOS:000369827500022</t>
  </si>
  <si>
    <t>Mansilla, MA; Sepúlveda, J; Orellana, L</t>
  </si>
  <si>
    <t>Angel Mansilla, Miguel; Sepulveda, Juan; Orellana, Luis</t>
  </si>
  <si>
    <t>When Opium Rebels: the Confraternidad Cristiana de Iglesias (Evangelical) as a critic of the Military Dictatorship and its Project of Society (1981-1989)</t>
  </si>
  <si>
    <t>REVISTA DE CIENCIA POLITICA</t>
  </si>
  <si>
    <t>This article is an analysis of the Confratenidad Cristiana de Iglesias (Christian Fellowship of Churches), which was founded in 1981 as an evangelical and Pentecostal religious minority active and liberationist, which deprivatize in entering the public world and protest against the political, social and economic; fight for democracy, and assumes a political stance peaceful and non-violent, against the dictatorship. This is an analysis of four public statements made between 1984-1988 that were published in the Magazine Evangelio y Sociedad. The purpose of this article is to discuss and refute previous research on the Chilean evangelical movement conceived as ideological-religious supporters of the military dictatorship.</t>
  </si>
  <si>
    <t>0716-1417</t>
  </si>
  <si>
    <t>WOS:000361271100004</t>
  </si>
  <si>
    <t>Vásquez, F; Vanegas, J</t>
  </si>
  <si>
    <t>Vasquez V, Fabian; Vanegas L, Jairo</t>
  </si>
  <si>
    <t>Dietetic supplements for weight reduction: Medical and ethical dilemmas</t>
  </si>
  <si>
    <t>Obesity is an important public health problem. Dietetic supplements are commonly used by obese patients who are not aware of the effectiveness or potential harms of these products. The aim of this paper is to discuss the ethical dilemma associated with the use of these supplements. The principles of autonomy, beneficence and justice are involved. Obesity as a chronic disease, requires qualified medical care. Obese individuals should be aware of their disease and voluntarily agree to receive professional care.</t>
  </si>
  <si>
    <t>Vasquez, Felipe/B-6987-2016; Vanegas, Jairo/AAK-4264-2020</t>
  </si>
  <si>
    <t>Vanegas Lopez, Jairo Javier/0000-0001-5281-483X</t>
  </si>
  <si>
    <t>10.4067/S0034-98872014000800016</t>
  </si>
  <si>
    <t>WOS:000342602500016</t>
  </si>
  <si>
    <t>Rubio, MA; Lissi, E; Olivera, N; Reyes, JL; López-Alarcon, C</t>
  </si>
  <si>
    <t>Rubio, Maria A.; Lissi, Eduardo; Olivera, Nicol; Reyes, Jael L.; Lopez-Alarcon, Camilo</t>
  </si>
  <si>
    <t>Reactions of p-Substituted Phenols with Nitrous Acid in Aqueous Solution</t>
  </si>
  <si>
    <t>INTERNATIONAL JOURNAL OF CHEMICAL KINETICS</t>
  </si>
  <si>
    <t>Lopez, Camilo/J-5770-2013; Bajo, Maria/ABF-6991-2020</t>
  </si>
  <si>
    <t>Reyes, Jael/0000-0001-5478-9017; Lopez, Camilo/0000-0002-0174-8972</t>
  </si>
  <si>
    <t>0538-8066</t>
  </si>
  <si>
    <t>1097-4601</t>
  </si>
  <si>
    <t>10.1002/kin.20834</t>
  </si>
  <si>
    <t>WOS:000331192400001</t>
  </si>
  <si>
    <t>Scheuermann, E; Ihl, M; Beraud, L; Quiroz, A; Salvo, S; Alfaro, S; Bustos, RO; Seguel, I</t>
  </si>
  <si>
    <t>Scheuermann, Erick; Ihl, Monica; Beraud, Lisette; Quiroz, Andres; Salvo, Sonia; Alfaro, Susana; Bustos, Ruben O.; Seguel, Ivette</t>
  </si>
  <si>
    <t>Effects of Packaging and Preservation Treatments on the Shelf Life of Murtilla Fruit (Ugni molinae Turcz) in Cold Storage</t>
  </si>
  <si>
    <t>Murtilla (Ugni molinae Turcz) fruit has a unique aroma; along with its pleasant sweet flavour, this has stimulated its commercial development in international markets. This development, however, requires the application of suitable conservation methods. Five different packaging treatments for murtilla fruit (Red Pearl-INIA variety) conservation were evaluated at 0 degrees C for 60days. The treatments consisted of two types of packaging [polyethylene terephthalate (PET) punnets and low-density polyethylene (LDPE) bags] and the application of an edible coating of carboxymethyl cellulose to the fruits. The incorporation of the aqueous extracts of murtilla leaves from the 18-1 and 27-1 ecotypes into the carboxymethyl cellulose edible coating was also evaluated for its antimicrobial effects. There was a significant (p&lt;0.05) reduction in the moisture content, a significant weight loss and an increase in soluble solids when the murtilla fruit was packed only in a PET punnet. However, with the other four treatments, in which an LDPE bag and edible coating were used, the moisture content (76.8-74.4g/100g) and soluble solids (15.6-17.8oBrix) in the fruit remained stable during storage. Low weight loss (1.64-2.25%) occurred in the fruits that received treatments with the LDPE bag and edible coating. Under experimental conditions and from operational facilities, packaging in PET punnets with an LDPE bag was the best alternative to preserve the murtilla fruit at 0 degrees C for 60days. Copyright (c) 2013 John Wiley &amp; Sons, Ltd.</t>
  </si>
  <si>
    <t>Quiroz, Andres/I-2748-2018; Scheuermann, Erick/J-6222-2013; Salvo, Sonia/G-8661-2012; Bustos, Ruben/AAM-2029-2020</t>
  </si>
  <si>
    <t>Salvo-Garrido, Sonia/0000-0002-9567-2285; Bustos, Ruben/0000-0003-0183-0324; SCHEUERMANN, ERICK/0000-0002-6782-662X</t>
  </si>
  <si>
    <t>10.1002/pts.2014</t>
  </si>
  <si>
    <t>WOS:000331112700007</t>
  </si>
  <si>
    <t>Lissi, E; Campos, AM; Calderón, C; Lobato, S; López-Alarcón, C</t>
  </si>
  <si>
    <t>Preedy, V</t>
  </si>
  <si>
    <t>Lissi, Eduardo; Maria Campos, Ana; Calderon, Cristian; Lobato, Sergio; Lopez-Alarcon, Camilo</t>
  </si>
  <si>
    <t>Effects of Aging on the Antioxidant Capacity of Red Wines</t>
  </si>
  <si>
    <t>PROCESSING AND IMPACT ON ANTIOXIDANTS IN BEVERAGES</t>
  </si>
  <si>
    <t>Ruiz, Cristian/JUU-2085-2023; Lopez, Camilo/J-5770-2013</t>
  </si>
  <si>
    <t>978-0-12-404695-5; 978-0-12-404738-9</t>
  </si>
  <si>
    <t>10.1016/B978-0-12-404738-9.00008-8</t>
  </si>
  <si>
    <t>WOS:000337295200009</t>
  </si>
  <si>
    <t>Andrade, R; Skurtys, O; Osorio, F</t>
  </si>
  <si>
    <t>Andrade, R.; Skurtys, O.; Osorio, F.</t>
  </si>
  <si>
    <t>Drop impact behavior on food using spray coating: Fundamentals and applications</t>
  </si>
  <si>
    <t>FOOD RESEARCH INTERNATIONAL</t>
  </si>
  <si>
    <t>Spray coating is among the most commonly used methods to coat foods, especially fruits. To obtain high quality of coated products the properties of the material to be coated, the properties of coating-forming solutions, method of coating, temperature and contact time between food and coating material should be optimized. In spray coating, drops are impacted and may rebound, splash, or deposit cleanly as is desirable. This review discusses the importance of the drop impact behavior on food using spray coating. The main parameters affecting the behavior such as: physico-chemical characteristics of the liquid, velocity of impact, and physical properties of the food are discussed. Models applied to predict different parameters of drop behavior after impact are presented. (C) 2013 Elsevier Ltd. All rights reserved.</t>
  </si>
  <si>
    <t>skurtys, olivier/HNS-4835-2023; Andrade-Pizarro, Ricardo/H-4016-2017; osorio, fernando/AAY-7304-2021</t>
  </si>
  <si>
    <t>Andrade-Pizarro, Ricardo/0000-0002-1673-0361; skurtys, olivier/0000-0003-1432-7242; osorio, fernando/0000-0001-7206-0924</t>
  </si>
  <si>
    <t>0963-9969</t>
  </si>
  <si>
    <t>1873-7145</t>
  </si>
  <si>
    <t>10.1016/j.foodres.2013.07.042</t>
  </si>
  <si>
    <t>WOS:000329377700049</t>
  </si>
  <si>
    <t>Ovalle, EM; Vidal, SE; Foppiano, AJ; Weatherwax, AT; Stepanova, MV</t>
  </si>
  <si>
    <t>Ovalle, Elias M.; Vidal, Sergio E.; Foppiano, Alberto J.; Weatherwax, Allan T.; Stepanova, Marina V.</t>
  </si>
  <si>
    <t>Comparison of Antarctic riometer radio wave absorption and THEMIS mission energetic electron fluxes</t>
  </si>
  <si>
    <t>Simultaneous observations of in situ plasma properties in the tail of the Earth's magnetosphere and of ground based instruments, lying on the same geomagnetic field lines, have recently proved to yield significant new results. In most cases magnetosphere ionosphere interactions during the night-time northern hemisphere conditions are studied. Here, observations of energetic electrons in the tail of the Earth's magnetosphere made by the THEM IS mission satellites are compared with auroral radio wave absorption determined by riometers in the Antarctic for sunlit conditions. Days for which satellites and riometers are connected by the same geomagnetic field line are selected using a geomagnetic field model. The six days analysed show clear associations between fluxes and absorptions in some cases. However, these do not necessarily correspond to conjugacy intervals. Hours of positive associations are 1.65 times those for negative associations, all hours and days considered (1.42-3.6 on five days and 0.58 on the other day). These computations are assumed appropriate since the footprints of the satellites used approximately follow corrected geomagnetic parallels for all six days studied. The use of a finer parameterization of geomagnetic models to determine conjugacy may be needed. (C) 2012 COSPAR. Published by Elsevier Ltd. All rights reserved.</t>
  </si>
  <si>
    <t>Foppiano, Alberto/LJM-1122-2024; Ovalle, Elias/AAD-9289-2020; Stepanova, Marina/D-6329-2011</t>
  </si>
  <si>
    <t>Stepanova, Marina/0000-0002-1053-3375; Weatherwax, Allan/0000-0003-4732-358X</t>
  </si>
  <si>
    <t>10.1016/j.asr.2012.02.019</t>
  </si>
  <si>
    <t>WOS:000304502000002</t>
  </si>
  <si>
    <t>Escudey, M; Moraga, N; Zambra, C; Antilén, M</t>
  </si>
  <si>
    <t>Einschlag, FSG</t>
  </si>
  <si>
    <t>Escudey, Mauricio; Moraga, Nelson; Zambra, Carlos; Antilen, Monica</t>
  </si>
  <si>
    <t>Sewage Sludge Disposal and Applications: Self-heating and Spontaneous Combustion of Compost Piles - Trace Metals Leaching in Volcanic Soils After Sewage Sludge Disposal</t>
  </si>
  <si>
    <t>WASTE WATER - EVALUATION AND MANAGEMENT</t>
  </si>
  <si>
    <t>978-953-307-233-3</t>
  </si>
  <si>
    <t>10.5772/2051</t>
  </si>
  <si>
    <t>WOS:000385161700022</t>
  </si>
  <si>
    <t>Lavín, R; Torres, B; Serafini, D; Denardin, JC</t>
  </si>
  <si>
    <t>Lavin, R.; Torres, B.; Serafini, D.; Denardin, J. C.</t>
  </si>
  <si>
    <t>Identifying the Magnetic Phases on Annealed Amorphous Alloys Using Forc Diagrams</t>
  </si>
  <si>
    <t>MOLECULAR CRYSTALS AND LIQUID CRYSTALS</t>
  </si>
  <si>
    <t>10th International Conference on Frontiers of Polymers and Advanced Materials</t>
  </si>
  <si>
    <t>SEP 28-OCT 02, 2009</t>
  </si>
  <si>
    <t>Results of thermal annealing on Fe66Co18B15Si1 amorphous alloy by means of linear heating and isothermal process are presented. The analysis of the DSC curve and X-ray diffraction of the annealed samples indicate the synthesis of magnetic nanocrystals in the Fe7Co3 phase, and the co-existence of two coupled magnetic phases; one soft magnetic phase due to the remaining amorphous matrix and a hard magnetic phase associated to the crystalline nanoparticles. The presence of these different magnetic phases and their coupling are unhidden by analysis of FORC diagrams of the samples.</t>
  </si>
  <si>
    <t>Denardin, Juliano/S-6407-2019</t>
  </si>
  <si>
    <t>Serafini, Daniel/0000-0002-1764-5900; Denardin, Juliano/0000-0002-1373-6207</t>
  </si>
  <si>
    <t>1542-1406</t>
  </si>
  <si>
    <t>1563-5287</t>
  </si>
  <si>
    <t>10.1080/15421401003715835</t>
  </si>
  <si>
    <t>WOS:000278163100026</t>
  </si>
  <si>
    <t>Salinas, F; Garrido, D; Ganga, A; Veliz, G; Martínez, C</t>
  </si>
  <si>
    <t>Salinas, Francisco; Garrido, Daniel; Ganga, Angelica; Veliz, Guido; Martinez, Claudio</t>
  </si>
  <si>
    <t>Taqman real-time PCR for the detection and enumeration of Saccharomyces cerevisiae in wine</t>
  </si>
  <si>
    <t>FOOD MICROBIOLOGY</t>
  </si>
  <si>
    <t>Saccharomyces cerevisiae is the main yeast species responsible for wine fermentation: however, its presence during maturing or barrel-ageing can sometimes result in a reduction in the quality of wine by refermentation. In this work, we developed a quantitative real-time PCR (QPCR) for the rapid detection and quantification of S. cerevisiae in wine. The primers and the hydrolysis probe (TaqMan (R)) were designed from the sequence of a DNA fragment present only in S. cerevisiae and absent in other wine yeasts obtained from an RAPD-PCR analysis. The QPCR developed was highly reproducible, allowing the specific detection and quantification of this yeast in artificially contaminated wines, with a detection limit of 78 CFU/mL Furthermore, the usefulness of the QPCR developed was evaluated through the quantification of the yeast in wine samples obtained from vineyards, confirming the quantitative capacity of the method. The methodology developed was specific, fast and a sensitive tool for the detection and enumeration of S. cerevisiae cells in wine. (C) 2008 Elsevier Ltd. All rights reserved.</t>
  </si>
  <si>
    <t>Ganga, Maria/S-8176-2019; Garrido, Daniel/F-8229-2013; Martinez, Claudio/MGS-9961-2025; Salinas, Francisco/W-3269-2017</t>
  </si>
  <si>
    <t>Martinez, Claudio/0000-0001-8564-9287; Salinas, Francisco/0000-0002-8391-8145</t>
  </si>
  <si>
    <t>0740-0020</t>
  </si>
  <si>
    <t>1095-9998</t>
  </si>
  <si>
    <t>10.1016/j.fm.2008.12.001</t>
  </si>
  <si>
    <t>WOS:000264633100016</t>
  </si>
  <si>
    <t>Patton, JT; Carpi, RVD; Spencer, E</t>
  </si>
  <si>
    <t>Replication and transcription of the rotavirus genome</t>
  </si>
  <si>
    <t>CURRENT PHARMACEUTICAL DESIGN</t>
  </si>
  <si>
    <t>Rotaviruses are an important cause of human morbidity and mortality, representing the primary pathogens responsible for acute dehydrating diarrhea in children under the age of 3. The infectious rotavirus particle is made up of three concentric layers of protein, and contains a genome consisting of eleven segments of double-stranded (ds)RNA. Upon infection.. RNA polymerases associated with double-layered virus particles are activated, resulting in genome transcription and extrusion of the eleven viral mRNAs from such particles. The mRNAs not only direct protein synthesis, but also serve as templates for minus-strand synthesis to yield dsRNAs. Synthesis of the dsRNAs is an event that occurs following the gene-specific packaging of viral mRNAs into core-like assembly intermediates. Electron-dense cytoplasmic inclusions, termed viroplasms, function as sites of genome packaging and replication in the infected cell. On understanding of key events in the viral life cycle has been advanced considerably by the development of cell-free systems that support mRNA synthesis from virion-derived double-layered particles and dsRNA synthesis from virion-derived cort: particles. The recent expression and purification of rotavirus recombinant proteins have also allowed progress to be made in defining the roles of viral proteins in genome replication and viroplasm formation. However, our efforts towards a ful description of the viral life cycle, most notably an understanding of the events occurring during gene-specific packaging remain hampered by the lack of a cell-free packaging system and a reverse genetics systems. The lack of a reverse genetics systems also confounds efforts towards the generation of molecular engineered second-generation vaccines.</t>
  </si>
  <si>
    <t>1381-6128</t>
  </si>
  <si>
    <t>1873-4286</t>
  </si>
  <si>
    <t>10.2174/1381612043382620</t>
  </si>
  <si>
    <t>WOS:000224542300007</t>
  </si>
  <si>
    <t>Dobrego, KV; Kozlov, IM; Bubnovich, VI; Rosas, CE</t>
  </si>
  <si>
    <t>Dynamics of filtration combustion front perturbation in the tubular porous media burner</t>
  </si>
  <si>
    <t>The state-of-the-art of filtration combustion instability researches is presented. Dynamics of filtration combustion inclination instability is investigated experimentally, analytically and numerically. It is found that inclination amplitude growth velocity on the linear stage is proportional to filtration combustion wave velocity u(w), system diameter D-0 and inversed diameter of porous media particles d(0) : Delta(X) over dot similar to u(w)(D-0/d(0)). The tendency of thermal compensation of perturbation is confirmed by experiments and 2D numerical simulation. In the case of inclination growth stoppage, inclination maximum amplitude or amplitude of saturation can be estimated via the dimensionless wave velocity u and system geometrical parameters DeltaX(max) similar to (u/(1 - u))(D-0(2)/d(0)). The concept of perturbation two-staged evolution, which includes initial linear perturbation growth due to local filtration redistribution and following complex thermal and hydrodynamic reorganization of the system, is supported by experimental data and 2D simulation. (C) 2003 Elsevier Science Ltd. All rights reserved.</t>
  </si>
  <si>
    <t>Dobrego, Kirill/HTM-4644-2023</t>
  </si>
  <si>
    <t>10.1016/S0017-9310(03)00125-X</t>
  </si>
  <si>
    <t>WOS:000183675100014</t>
  </si>
  <si>
    <t>Ter Elst, AFM; Prado, H</t>
  </si>
  <si>
    <t>Gaussian bounds for reduced heat kernels of subelliptic operators on nilpotent lie groups</t>
  </si>
  <si>
    <t>MATHEMATICA SCANDINAVICA</t>
  </si>
  <si>
    <t>We obtain Gaussian estimates for the kernels of the semigroups generated by a class of subelliptic operators H acting on L-p(R-k), The class includes anharmonic oscillators and Schrodinger operators with external magnetic fields. The estimates imply an H-infinity-functional calculus for the operator H on L-p with p is an element of (1, infinity) and in many cases the spectral p-independence. Moreover, we show for a subclass of operators satisfying a homogeneity property that the Riesz transforms of all orders are bounded.</t>
  </si>
  <si>
    <t>0025-5521</t>
  </si>
  <si>
    <t>WOS:000176987500006</t>
  </si>
  <si>
    <t>Baricelli, PJ; Sánchez, VJ; Pardey, AJ; Moya, SA</t>
  </si>
  <si>
    <t>Catalytic oxidation of 1-hexene and cyclohexene with molecular oxygen by iridium nitro complexes</t>
  </si>
  <si>
    <t>The oxidation of 1-hexene and cyclohexene by molecular oxygen catalyzed by the iridium complexes [Ir(CH3CN)(4)NO2](A)(2) (A=PF6 (1) or BF4 (2)) has been studied in acetonitrile under P(O-2)=20 atm, T=120 degreesC, substrate/catalyst=100, t=20 h. Both complexes are active for oxidizing 1-hexene to 1,2-epoxyhexane, 1-hexen-3-one, 2-hexenal, 1-hexen-3-ol and 2-hexen-l-ol and also oxidize cyclohexene to 2-cyclohexen-1-one, 7-oxabicyclo[4.1.0]hexane and 2-cyclohexen-l-ol. Preliminary kinetic parameters are reported for complex (1). (C) 2000 Elsevier Science B.V. All rights reserved.</t>
  </si>
  <si>
    <t>10.1016/S1381-1169(00)00343-5</t>
  </si>
  <si>
    <t>WOS:000166078400008</t>
  </si>
  <si>
    <t>Pardey, AJ; Mediavilla, M; Canestrari, M; Urbina, C; Moronta, D; Lujano, E; Baricelli, P; Longo, C; Pastene, R; Moya, SA</t>
  </si>
  <si>
    <t>WGSR catalyzed by cis-[Rh(CO)2(amine)2]PF6 heterogenised on poly(4-vinylpyridine)</t>
  </si>
  <si>
    <t>This paper describes catalytic activation studies of the water-gas shift reaction by cis-[Rh(CO)(2)(amine)(2)]PF6 (amine = 4-picoline, 3-picoline, 2-picoline, pyridine, or 2,6-lutidine) heterogenised on poly( 4-vinylpyridine) in aqueous 2-ethoxyethanol. The effect of varying the nature of the amine was investigated. The rhodium complexes bearing 4-picoline (4-pic) ligands proved to be most active among those surveyed, and displaying turnover frequencies for hydrogen production of 8.9 mol of H-2 per mole of Rh per day for 9.4 x 10(-5) mol cis-[Rh(CO)(2)(4-pic)(2)]PF6/1.00 g poly(4-vinylpyridine), P( CO) = 0.9 atm at 100 degrees C.</t>
  </si>
  <si>
    <t>10.1023/A:1019042003685</t>
  </si>
  <si>
    <t>WOS:000078510300012</t>
  </si>
  <si>
    <t>Rios, E; Gautier, JL; Poillerat, G; Chartier, P</t>
  </si>
  <si>
    <t>Mixed valency spinel oxides of transition metals and electrocatalysis:: case of the MnxCo3-xO4 system</t>
  </si>
  <si>
    <t>Correlations between solid state chemistry, surface properties and electrocatalytical reactivities towards the reaction of oxygen are investigated on powder electrodes of cobalt and manganese spinel type oxides MnxCo3-xO4 (0 less than or equal to x less than or equal to 1). The cationic distributions have been computed from X-ray diffractometry, magnetism and oxidation power:data, showing the occurrence of the Mn4+/Mn3+ solid state redox couple in octahedral sites. The change of the Mn4+/Mn3+ content as a function of x have been correlated to pH of zero charge, pH(z), rest potential, E-i=0, activation-energy of conductance, E-a, and to the electrocatalytical parameters of the oxygen reduction reaction (ORR) and evolution reaction (OER). Manganese catalyzes the ORR but inhibits the OER. (C) 1998 Published by Elsevier Science Ltd. All rights reserved.</t>
  </si>
  <si>
    <t>8-9</t>
  </si>
  <si>
    <t>10.1016/S0013-4686(98)00272-2</t>
  </si>
  <si>
    <t>WOS:000077559300025</t>
  </si>
  <si>
    <t>GonzalezClemente, JM; Goyti, C; Mendola, J; Conget, JI; Casamitjana, R; Gomis, R; Vilardell, E</t>
  </si>
  <si>
    <t>Cryopreservation: In vitro results in rat pancreatic islets</t>
  </si>
  <si>
    <t>METABOLISM-CLINICAL AND EXPERIMENTAL</t>
  </si>
  <si>
    <t>Cryopreservation is an effective method of islet storage and may facilitate clinical trials of islet transplantation. It was the aim of the present study to evaluate the in vitro viability of cryopreserved rat islets, including the response to nonglucose secretagogues and glucose oxidation. After pancreatic digestion via intraductal injection of collagenase, 75- to 200-mu m Wistar rat islets were handpicked and cultured in RPMI 1640 (glucose 11.1 mmol/L) and randomized into two groups: control (cultured 20 to 24 hours at 37 degrees C) and cryopreserved (after 20 to 24 hours of culture at 37 degrees C, islets were cryopreserved according to Rajotte's protocol: freezing velocity, -0.25 degrees C/min; thawing velocity, 200 degrees C/min). In the two groups, we evaluated recovery, insulin content per islet, staining viability (ethidium bromide/orange acridine; semiquantitative scoring, measuring the viable area of the islet from 0 = less viable to 3 = more viable), insulin secretion after glucose and nonglucose secretagogues, and oxidation of D-[U-C-14]glucose. The results for the control group were always higher for the following: recovery (95.4% +/- 1.2% v 83.0% +/- 2.1%, P = .00), insulin content (2,203.9 +/- 335.2 v 1,443.3 +/- 171.8 mu U/islet, P = .03), insulin secretion after 5.5 mmol/L glucose (61.3 +/- 8.0 v 28.3 +/- 3.4 mu U/islet/90 min, P = .00), 16.7 mmol/L glucose (151.4 +/- 16.1 v 98.7 +/- 14.1 mu U/islet/90 min, P = .03), 10 mmol/L L-leucine + 10 mmol/L L-glutamine (125.6 +/- 27.9 v 56.8 +/- 6.4 mu U/islet/90 min, P = .05), and 10 mmol/L L-arginine (202.5 +/- 27.5 v 128.8 +/- 14.2 mu U/islet/90 min, P = .01), and glucose oxidation at 5.5 mmol/L (12.5 +/- 1.1 v 7.9 +/- 0.6 pmol/islet/120 min, P = .00) and at 16.7 mmol/L (26.1 +/- 2.6 v 14.3 +/- 1.6 pmol/islet/120 min, P = .00). No significant differences in staining viability were found between groups (2.35 and 2.48, respectively, P = .55). However, cryopreserved and control islets showed a significant increase in insulin secretion and glucose oxidation after increasing the glucose concentration from 5.5 to 16.7 mmol/L. We conclude that when glucose is increased, cryopreserved islets keep the capacity to increase insulin secretion, but cryopreservation produces a significant decrease in several islet viability characteristics. This decrease may be due to a decline of beta-cell number per islet and/or a decrease in the content of insulin per beta cell. Copyright (C) 1997 by W.B. Saunders Company.</t>
  </si>
  <si>
    <t>0026-0495</t>
  </si>
  <si>
    <t>1532-8600</t>
  </si>
  <si>
    <t>10.1016/S0026-0495(97)90007-X</t>
  </si>
  <si>
    <t>WOS:A1997XC87300008</t>
  </si>
  <si>
    <t>HellerLing, N; Prestat, M; Gautier, JL; Koenig, JF; Poillerat, G; Chartier, P</t>
  </si>
  <si>
    <t>Oxygen electroreduction mechanism at thin NixCo3-xO4 spinel films in a double channel electrode flow cell (DCEFC)</t>
  </si>
  <si>
    <t>The electroreduction of O-2 on pure thin oxide films of composition NixCo3-xO4 (0 less than or equal to x less than or equal to 1.8) sprayed onto nickel substrates has been studied with the help of a double channel electrode flow cell (DCEFC). The ratio of O-2 molecules reduced to H2O via the direct 4e(-) pathway with respect to those reduced via the indirect 2 x 2e(-) pathway depends on x, being maximum for Co3O4 (x = 0) and for oxides straddling NiCo2O4 (0.6 &lt; x &lt; 1.2). This ratio does not depend on the electrode potential. Copyright (C) 1996 Elsevier Science Ltd</t>
  </si>
  <si>
    <t>König, Julia/GVS-7641-2022</t>
  </si>
  <si>
    <t>10.1016/0013-4686(96)00144-2</t>
  </si>
  <si>
    <t>WOS:A1997VT64100004</t>
  </si>
  <si>
    <t>ORELLANA, M; ROSENBLUT, G; WEINBERGER, J; RODRIGO, R</t>
  </si>
  <si>
    <t>URINARY ACIDIFICATION AND GLUCOSE-PRODUCTION IN THE RENAL-CORTEX OF PROTEIN-DEPLETED RATS WITH AMMONIUM CHLORIDE-INDUCED ACIDOSIS</t>
  </si>
  <si>
    <t>MEDICAL SCIENCE RESEARCH</t>
  </si>
  <si>
    <t>Rodrigo, Ramon/A-7352-2012</t>
  </si>
  <si>
    <t>0269-8951</t>
  </si>
  <si>
    <t>WOS:A1994QB74900021</t>
  </si>
  <si>
    <t>BALLESTER, D; ZACARIAS, I; GARCIA, E; YANEZ, E</t>
  </si>
  <si>
    <t>BAKING STUDIES AND NUTRITIONAL-VALUE OF BREAD SUPPLEMENTED WITH FULL-FAT SWEET LUPINE FLOUR (L-ALBUS CV MULTOLUPA)</t>
  </si>
  <si>
    <t>Full fat sweet lupine flour (FFLF) was used to replace 3, 6, 9 and 12% of the wheat flour (WF) in bread. Physical characteristics of the dough and the chemical composition and biological quality of the breads were investigated. Farinological studies showed that water absorption increased gradually from 60% for WF to 77% for a blend with 12% FFLF. Developing time, weakening of dough and valorimeter value were adversely modified by addition of FFLF. Different levels of FFLF increased in water absorption, loaf volume and loaf weight as compared to tall wheat bread. Specific loaf volume remained constant (3.72) up to 6% FFLF, then decreased. Protein content of wheat bread increased from 10.3% for the control to 11.7% for 9% FFLF bread. Protein efficiency ratio increased from 1.72 for the control bread to 2.00 for 9% lupine-bread (P &lt; 0.01). Bread with 9% FFLF is a possibility for using this legume in human feeding.</t>
  </si>
  <si>
    <t>10.1111/j.1365-2621.1984.tb13657.x</t>
  </si>
  <si>
    <t>WOS:A1984SD41600004</t>
  </si>
  <si>
    <t>Borrescio-Higa, F; Bozzoli, CG; Droller, F</t>
  </si>
  <si>
    <t>Borrescio-Higa, Florencia; Bozzoli, Carlos Guillermo; Droller, Federico</t>
  </si>
  <si>
    <t>Early-life nutrition and schooling</t>
  </si>
  <si>
    <t>SOCIAL SCIENCE &amp; MEDICINE</t>
  </si>
  <si>
    <t>We study a large supplemental nutrition program aimed at reducing malnutrition in Chile and its impact on the education of children ages 6-13. Using individual-level data from representative samples from the 1970, 1982, and 1992 national censuses, along with variation in milk distribution across provinces and over time, we estimate the effect of exposure to the milk program on years of schooling. We find that the impact was greatest for cohorts born between 1969 and 1976, a period of significant program expansion. The main effect implies an increase of 0.18 years of schooling due to exposure to the program, accounting for about 20% of the overall growth in educational attainment. These results show the substantial role of an early-life nutritional intervention in improving long-term educational outcomes for a significant portion of the population.</t>
  </si>
  <si>
    <t>Droller, Federico/S-7630-2019</t>
  </si>
  <si>
    <t>0277-9536</t>
  </si>
  <si>
    <t>1873-5347</t>
  </si>
  <si>
    <t>10.1016/j.socscimed.2025.117717</t>
  </si>
  <si>
    <t>WOS:001437849600001</t>
  </si>
  <si>
    <t>Fuenzalida, H; Herrera-Reyes, H; Aragón-Caqueo, D; Gatica, JL</t>
  </si>
  <si>
    <t>Fuenzalida, Hector; Herrera-Reyes, Hernan; Aragon-Caqueo, Diego; Gatica, Jose Luis</t>
  </si>
  <si>
    <t>Pediatric Teledermatology in the General Teledermatology Practice: Population Variances in Contrasting Health Care Scenarios</t>
  </si>
  <si>
    <t>Introduction: Pediatric dermatology access is limited. Pediatric teledermatology (TD) opens the opportunity to explore diverse dermatological pathology promptly. Different TD modalities and providers may influence the consulting population. This study compares a synchronous TD from a private provider with the asynchronous TD of the public sector in Chile's health care system. Methods: A descriptive and inferential analysis of 168 synchronous and 239 asynchronous pediatric teleconsultations, responded from January 2023 to August 2023. Results: Pediatric teleconsultations accounted for nearly one-fifth of all consultations in both models. The synchronous group was significantly older (p = 0.0065; 10.18 years +/- 5.43 [0-18 years]) than the asynchronous group (8.65 years +/- 5.74 [0-18 years]). June marked the highest and lowest teleconsultation volumes in synchronous and asynchronous platforms, respectively. The most frequent diagnostic group in both modalities was the noninfectious inflammatory pathology. Significant differences were noted within this group (p &lt; 0.0001), with acne and dermatitis being predominant in the synchronous model. Significant differences also emerged within the infectious inflammatory group (p = 0.002), with bacterial and fungal infections being more common in the synchronous modality, whereas chronic viral infections predominated in the asynchronous group. Discussion: Pediatric TD is an emerging tool that optimizes access, manages the demand, and reduces waiting times. Seasonal variations may influence caregiver preferences for a specific attention model. The consulting population using synchronous and asynchronous modalities differs significantly in age and diagnostic distributions. Understanding these differences is crucial for effectively addressing specific practice gaps in each attention model.</t>
  </si>
  <si>
    <t>2025 JAN 30</t>
  </si>
  <si>
    <t>10.1089/tmj.2024.0317</t>
  </si>
  <si>
    <t>WOS:001410859500001</t>
  </si>
  <si>
    <t>Carrillo, D; Duran-Meza, E; Castillo-Caceres, C; Alarcon, DE; Guzman, H; Diaz-Espinoza, R</t>
  </si>
  <si>
    <t>Korendovych, IV</t>
  </si>
  <si>
    <t>Carrillo, Daniel; Duran-Meza, Eva; Castillo-Caceres, Claudio; Eduardo Alarcon, Diego; Guzman, Hardy; Diaz-Espinoza, Rodrigo</t>
  </si>
  <si>
    <t>Catalytic amyloids for nucleotide hydrolysis</t>
  </si>
  <si>
    <t>PEPTIDE CATALYSTS, INCLUDING CATALYTIC AMYLOIDS</t>
  </si>
  <si>
    <t>Methods in Enzymology</t>
  </si>
  <si>
    <t>The design of small peptides that assemble into catalytically active intermolecular structures has proven to be a successful strategy towards developing minimalistic catalysts that exhibit some of the unique functional features of enzymes. Among these, catalytic amyloids have emerged as a fruitful source to unravel many different activities. These assemblies can potentially have broad applications that range from biotechnology to prebiotic chemistry. Although many peptides that assemble into catalytic amyloids have been developed in recent years, the elucidation of convergent mechanistic aspects of the catalysis and the structure/function relationship is still a challenge. Novel catalytic activities are necessary to better address these issues and expand the current repertoire of applicability. In this chapter, we described a methodology to produce catalytic amyloids that are specifically active towards the hydrolysis of phosphoanhydride bonds of nucleotides. The design of potentially active amyloid-prone peptide sequences is explored using as template the active site of enzymes with nucleotidyltransferase activity. The procedures include an approach for sequence design, in vitro aggregation assays, morphological characterization of the amyloid state and a comprehensive methodology to measure activity in vitro using nucleoside and deoxynucleosides triphosphates as model substrates. The proposed strategy can also be implemented to explore different types of activities for the design of future catalytic amyloids.</t>
  </si>
  <si>
    <t>0076-6879</t>
  </si>
  <si>
    <t>978-0-443-23667-9</t>
  </si>
  <si>
    <t>10.1016/bs.mie.2024.01.017</t>
  </si>
  <si>
    <t>WOS:001297377800012</t>
  </si>
  <si>
    <t>Toledo, K; Gómez, JT; Dressler, F; García, MJFG</t>
  </si>
  <si>
    <t>Toledo, Karel; Gomez, Jorge Torres; Dressler, Falko; Garcia, M. Julia Fernandez-Getino</t>
  </si>
  <si>
    <t>Energy-Aware Cooperative Spectrum Sensing Under Ignorance on Internet of Mobile Things</t>
  </si>
  <si>
    <t>IEEE OPEN JOURNAL OF THE COMMUNICATIONS SOCIETY</t>
  </si>
  <si>
    <t>The Internet of Things (IoT) enables the interconnection of multiple devices, typically sharing network resources. These devices must identify a suitable time to access the channel without interfering with each other, which can lead to additional energy consumption. To extend the network lifetime, cooperative strategies have been proposed that modify the device operations between the ON/OFF states to conserve energy. However, the challenge of selecting active devices for spectrum sensing increases with mobile agents, referred to as Internet of Mobile Things (IoMT), since their positions may be unknown. To deal with this uncertainty, we propose using the ordered weighted averaging (OWA) operator, which provides a framework for decision-making under ignorance, to model the position uncertainty resulting from node movement. We estimate node positions by assigning representative values for their distances to the fusion center and primary user. We then determine the optimal number of active nodes that minimize energy consumption while meeting detection constraints. We evaluate performance for different scenarios in networks of various sizes consistent with smart agriculture environments, employing optimistic and pessimistic approaches. The quality of decisions is validated under the assumption of nodes governed by particular mobility patterns.</t>
  </si>
  <si>
    <t>Dressler, Falko/M-9321-2014; Torres Gómez, Jorge/AAE-8595-2022; Torres Gomez, Jorge/F-8061-2016; Toledo de la Garza, Karel/V-5325-2019</t>
  </si>
  <si>
    <t>Torres Gomez, Jorge/0000-0001-9523-048X; FERNANDEZ-GETINO GARCIA, MARIA JULIA/0000-0001-8346-8140; Toledo de la Garza, Karel/0000-0001-9896-9570; Dressler, Falko/0000-0002-1989-1750</t>
  </si>
  <si>
    <t>2644-125X</t>
  </si>
  <si>
    <t>10.1109/OJCOMS.2024.3449633</t>
  </si>
  <si>
    <t>WOS:001308212800006</t>
  </si>
  <si>
    <t>Barrera-Verdugo, G</t>
  </si>
  <si>
    <t>Barrera-Verdugo, Gustavo</t>
  </si>
  <si>
    <t>Measuring the effect of university students' psychological resilience on their valuation of sustainability in entrepreneurship</t>
  </si>
  <si>
    <t>COGENT SOCIAL SCIENCES</t>
  </si>
  <si>
    <t>For decades, resilience and sustainability have been considered to be two concepts that are related on a systemic and organizational level; however, little has been studied regarding the influence of psychological resilience on the valuation of sustainable ventures. This research analyzes the responses of 240 university students in Chile to an online self-report survey through logistic regressions to determine the effect of psychological resilience on the appreciation of sustainable entrepreneurship from an environmental and social perspective, measuring the moderating effect of age cohort and gender. The results supported that students with a higher self-perceived resilience that is measured by the Brief Resilience Scale (BRS) also show a higher appreciation toward sustainability in entrepreneurship. A moderating effect of belonging to the centennial generation on the relationship between psychological resilience and valuation of sustainable ventures has also been supported. The findings contribute to understanding how personal adaptation, which is part of resilience, influences the perceived importance of sustainability in entrepreneurship, which is a perspective related to organizational innovation.</t>
  </si>
  <si>
    <t>Barrera, Gustavo/ABC-4583-2021</t>
  </si>
  <si>
    <t>Barrera Verdugo, Gustavo/0000-0002-1609-5003</t>
  </si>
  <si>
    <t>2331-1886</t>
  </si>
  <si>
    <t>10.1080/23311886.2023.2221100</t>
  </si>
  <si>
    <t>WOS:001004678100001</t>
  </si>
  <si>
    <t>Suárez-Reyes, M; Fernández-Verdejo, R</t>
  </si>
  <si>
    <t>Suarez-Reyes, Monica; Fernandez-Verdejo, Rodrigo</t>
  </si>
  <si>
    <t>Work/household, transport, and leisure domains account for the sex gap in physical activity in Chile</t>
  </si>
  <si>
    <t>BackgroundWomen usually have lower levels of moderate-vigorous physical activity (MVPA) than men. This sex gap can be accounted for by differences in MVPA in the work/household, transport, and/or leisure domains. Identifying where the differences lay in a context-specific manner may help close the gap. We aimed to compare MVPA by domain, and the relative contribution of each domain to total MVPA, between men and women in Chile. MethodsWe analyzed the cross-sectional National Health Survey of Chile 2016-2017 (n = 5,056, 64% women, &gt;= 18 years old). MVPA was estimated with the Global Physical Activity Questionnaire. MVPA was expressed in MET x min/week, and the relative contribution to total MVPA by each domain was expressed as percentage. Analyses were conducted including all participants, and also including participants reporting &gt;0 MET x min/week of MVPA (relative contributions can only be computed in the latter). ResultsIncluding all participants, women (vs. men) had lower MVPA (median [25-75th percentile]) for work/household (0 [0-960] vs. 0 [0-5,760] MET x min/week), for transport (360 [0-1,200] vs. 600 [0-1,680] MET x min/week), and for leisure domains (0 [0-0] vs. 0 [0-480] MET x min/week). Including only participants with &gt;0 MET x min/week of MVPA, women (vs. men) had lower mean relative contributions to total MVPA from work/household (31.3 vs. 35.9%) and leisure domains (10.8 vs. 16.3%, respectively), but higher from the transport domain (57.9 vs. 47.8%). ConclusionIn Chile, differences in all physical activity domains account for the sex gap in MVPA. Strategies to break job stereotypes, increase opportunities for leisure, and ease active transport are required to encourage MVPA in women.</t>
  </si>
  <si>
    <t>Suárez- Reyes, Mónica/GYE-3153-2022; Fernández-Verdejo, Rodrigo/ITV-7233-2023</t>
  </si>
  <si>
    <t>Suarez-Reyes, Monica/0000-0002-5663-4673</t>
  </si>
  <si>
    <t>SEP 28</t>
  </si>
  <si>
    <t>10.3389/fpubh.2022.1011790</t>
  </si>
  <si>
    <t>WOS:000868027100001</t>
  </si>
  <si>
    <t>Alvarez-Ortiz, NJ; Bugueño-Peña, L; Vega, N; Ferreira, R; Criado, F</t>
  </si>
  <si>
    <t>Alvarez-Ortiz, Nancy Jezzi; Bugueno-Pena, Lilian; Vega F, Nicolas; Ferreira S, Rodrigo; Criado P, Fanny</t>
  </si>
  <si>
    <t>Analysis of mammograms performed in a public imaging center in Santiago, Metropolitan Region Chile 2008-2018</t>
  </si>
  <si>
    <t>Background: Mammograms are one of the most effective preventive means for the early detection of breast cancer. Objective: To describe the features of patients and results of mammograms performed at a public breast imaging service of the Santiago Metropolitan Area. Material and Methods: We reviewed the reports of mammograms performed on 174,017 women and 18 men, between 2008 and 2018 in an Imaging Center. The BI-RADS classification was used in the reports. Results: Forty-six percent of mammograms (75,781) were reported as BI-RADS 2. The high proportion of BI-RADS 4 reports (674 reports) was seen in patients aged 40 to 49 years, corresponding to 30% of reports in this age range. Among patients aged 50 to 59 years, there were 779 BI-RADS 4 reports (35%). BI-RADS 5 reports were more common among patients aged 50 to 59 years (50 reports, 30%) and among patients aged 70 years or older (83 reports, 28%). Conclusions: The presence of a significant number of women between 40 and 49 years of age with a BI-RADS 4 mammography result stands out; being an opportunity to develop new clinical research and public health strategies within the framework of the Universal Health Care policy for breast cancer in Chile.</t>
  </si>
  <si>
    <t>WOS:000899175900004</t>
  </si>
  <si>
    <t>Núnez, C; Segura, R; Arancibia, V</t>
  </si>
  <si>
    <t>Nunez, Claudia; Segura, Rodrigo; Arancibia, Veronica</t>
  </si>
  <si>
    <t>Development of an amperometric sensor based on the synergistic action between alginic acid and nPEDOT on a gold nanoparticle-modified screen-printed carbon electrode for As(III) determination in natural water samples</t>
  </si>
  <si>
    <t>A simple and fast amperometric sensor for As(III) determination has been developed using alginic acid (AA) and nPEDOT on gold nanoparticle-modified screen-printed carbon electrodes (AuNP-SPCE). To obtain a selective method for As(III) determination, the effects of various parameters, such as pH, supporting electrolyte, AA and nPEDOT concentration (C-AA, C-nPEDOT), and applied potential (E-app), were studied. The optimal experimental conditions were chosen to be as follows: phosphoric acid pH 3.0 (0.05 mol L-1); C-AA: 0.50 mu g L-1 and C-nPEDOT 50% w/v (E-app: -0.30V). The peak current was proportional to the As concentration between 5.0 and 25.0 mu g L-1 (R=0.9903), with a detection limit (DL, 3 sigma) of 2.7 mu g L-1 and a sensitivity of 0.0481 mA/mu g L-1. Four different modified electrodes were used in this study: AuNPs-SPCE, AA/AuNPs-SPCE, nPEDOT/AuNPs-SPCE and AA/nPEDOT/AuNPs-SPCE. It was found that in the presence of AA and nPEDOT, the current of the arsenic signal was higher than that obtained using each of the compounds individually. AA allowed the adsorption of the arsenic on the electrode obtaining good sensitivity and nPEDOT, an excellent conductor, improved the electronic transfer in the electroanalytical system. The advantages of this new procedure are fast complexation kinetics, high specificity, simplicity and speed. Finally, the best electrode (AA/nPEDOT/AuNPs-SPCE) was applied to the determination of total arsenic in a water sample from the Loa River (North zone) and two samples from the Central zone (Santiago and Fifth region) with satisfactory results. Values obtained were compared with an ICP-MS method. To determine As-total, As(V) was reduced in the presence of thiosulfate in an acidic medium.</t>
  </si>
  <si>
    <t>Segura, Rodrigo/J-6696-2016</t>
  </si>
  <si>
    <t>Segura, Rodrigo/0000-0001-5747-2357</t>
  </si>
  <si>
    <t>10.20964/2021.12.31</t>
  </si>
  <si>
    <t>WOS:000756422800029</t>
  </si>
  <si>
    <t>de Moura, BF; Martins, MF; Palma, FHS; da Silva, WB; Cabello, JA; Ramos, R</t>
  </si>
  <si>
    <t>de Moura, Bruno Furtado; Martins, Marcio Ferreira; Sepulveda Palma, Francisco Hernan; da Silva, Wellington Betencurte; Acevedo Cabello, Jorge; Ramos, Rogerio</t>
  </si>
  <si>
    <t>Nonstationary bubble shape determination in Electrical Impedance Tomography combining Gauss-Newton Optimization with particle filter</t>
  </si>
  <si>
    <t>Electrical Impedance Tomography (EIT) is a technique utilized in multiphase flow for identifying flow patterns and void-fraction calculation. An image made of the conductivity of the domain is formed by combining an inverse problem and measurements. Recursive statistical inversion, such as the particle filters, is scarce when dealing with EIT. For that matter, it is proposed a recursive Gauss-Newton Optimization Sequential Importance Resampling (GNOSIR) filter aimed to reconstruct vertical slug flow. It combines the Optimization with an Image Processing algorithm to improve the prior information when the posterior density is far from likelihood. The Level Set Method describes the contour of the inclusion using an elliptical Level Set Function to avoid the curse of dimensionality. Results demonstrate that the GNOSIR filter improves the estimation when there is a sudden and fast evolution of the inclusion's contour between states.</t>
  </si>
  <si>
    <t>Martins, Marcio/T-5321-2017; de Moura, Bruno/AAT-7554-2021; Sepúlveda, Francesca/AAW-8092-2021; Escobedo Cabello, Jesús Arturo/I-6601-2018</t>
  </si>
  <si>
    <t>Ramos, Rogerio/0000-0003-4493-2435; Sepulveda Palma, Francisco Hernan/0000-0002-1930-3859; de Moura, Bruno Furtado/0000-0003-1912-3732</t>
  </si>
  <si>
    <t>10.1016/j.measurement.2021.110216</t>
  </si>
  <si>
    <t>WOS:000705009400004</t>
  </si>
  <si>
    <t>Perez, P; Menares, C; Ramírez, C</t>
  </si>
  <si>
    <t>Perez, Patricio; Menares, Camilo; Ramirez, Camilo</t>
  </si>
  <si>
    <t>PM2.5 forecasting in Coyhaique, the most polluted city in the Americas</t>
  </si>
  <si>
    <t>URBAN CLIMATE</t>
  </si>
  <si>
    <t>Perez, Patricio/AAS-7390-2020</t>
  </si>
  <si>
    <t>2212-0955</t>
  </si>
  <si>
    <t>10.1016/j.uclim.2020.100608</t>
  </si>
  <si>
    <t>WOS:000540235900002</t>
  </si>
  <si>
    <t>Cook, FG</t>
  </si>
  <si>
    <t>Grez Cook, Francesca</t>
  </si>
  <si>
    <t>Hispanicism in Chilean women: Francoist influences in the National Secretariat for Women (Chile 1973-1989)</t>
  </si>
  <si>
    <t>The present article studies the collaboration between Spanish and Chilean regime from 1973 to 1989. It will analyze the influence from Hispanics ideas, through the Feminine Section (FS), to the creation and activities of the National Secretariat for Women (SNM). Throughout this paper it will be possible to see the institutional and ideologically collaboration done by Section Female, that certainly made the Hispanics thought one of the ideological influences in the project established in Chile. The transfer of Hispanic in our country helped to create a specific ideology on women that was promoted by officialdom.</t>
  </si>
  <si>
    <t>WOS:000614864700021</t>
  </si>
  <si>
    <t>Lattice Dynamical Systems Associated with a Fractional Laplacian</t>
  </si>
  <si>
    <t>NUMERICAL FUNCTIONAL ANALYSIS AND OPTIMIZATION</t>
  </si>
  <si>
    <t>We derive optimal well-posedness results and explicit representations of solutions in terms of special functions for the linearized version of the equationfor some constant where denotes the Caputo fractional derivative in time of order and denotes the discrete fractional Laplacian of order We also prove a comparison principle. A special case of this equation is the discrete Fisher- equation with and without delay. We show that if for every and the function is concave on f(x, s) is nonnegative for every and satisfiesfor some then the system has a nonnegative unique solution u satisfying for every and Our results include cubic nonlinearities and incorporate new results for the discrete Newell-Whitehead-Segel equation. We use Levy stable processes as well as Mittag-Leffler, Wright and modified Bessel functions to describe the solutions of the linear lattice model, providing a useful framework for further study. For the nonlinear model, we use a generalization of the upper-lower solution method for reaction-diffusion equations in order to prove existence and uniqueness of solutions.</t>
  </si>
  <si>
    <t>Lizama, Carlos/0000-0002-9807-1100; Warma, Mahamadi/0000-0002-2342-9585; Keyantuo, Valentin/0000-0003-3476-532X</t>
  </si>
  <si>
    <t>0163-0563</t>
  </si>
  <si>
    <t>1532-2467</t>
  </si>
  <si>
    <t>AUG 18</t>
  </si>
  <si>
    <t>10.1080/01630563.2019.1602542</t>
  </si>
  <si>
    <t>WOS:000468286200005</t>
  </si>
  <si>
    <t>Saucedo, S; González, A; Gómez, M; Contreras, RA; Laporte, D; Sáez, CA; Zúñiga, G; Moenne, A</t>
  </si>
  <si>
    <t>Saucedo, Silvia; Gonzalez, Alberto; Gomez, Melissa; Contreras, Rodrigo A.; Laporte, Daniel; Saez, Claudio A.; Zuniga, Gustavo; Moenne, Alejandra</t>
  </si>
  <si>
    <t>Oligo-carrageenan kappa increases glucose, trehalose and TOR-P and subsequently stimulates the expression of genes involved in photosynthesis, and basal and secondary metabolisms in Eucalyptus globulus</t>
  </si>
  <si>
    <t>BMC PLANT BIOLOGY</t>
  </si>
  <si>
    <t>BackgroundIt has been previously shown that oligo-carrageenan (OC) kappa increases growth, photosynthesis and activities of enzymes involved in basal and secondary metabolisms in Eucalyptus globulus. However, it is not known whether OC kappa may induce the activation of TOR pathway and the increase in expression of genes encoding proteins involved in photosynthesis and enzymes of basal and secondary metabolisms.ResultsE. globulus trees were sprayed on leaves with water (control) or with OC kappa 1mgmL(-1), once a week, four times in total, and cultivated for 17 additional weeks (21weeks in total). Treated trees showed a higher level of net photosynthesis than controls, beginning at week 3, a higher height, beginning at week 9, and those differences remained until week 21. In addition, treated trees showed an increase in the level of glucose beginning at week 1, trehalose at weeks 1-3, and in TOR-P level at week 1-2. On the other hand, transcripts encoding proteins involved in photosynthesis, and enzymes involved in glucose accumulation, C, N and S assimilation, and synthesis of secondary metabolites began at weeks 3-4 and with additional peaks at weeks 5-6, 8-11,13-14 and 17-19. Thus, OC kappa induced initial increases in glucose, trehalose and TOR-P levels that were followed by oscillatory increases in the level of transcripts coding for proteins involved in photosynthesis, and in basal and secondary metabolisms suggesting that initial increases in glucose, trehalose and TOR-P may trigger activation of gene expression.ConclusionsThe stimulation of growth induced by OC kappa in E. globulus trees is due, at least in part, to activation of TOR pathway and the increase in expression of genes encoding proteins involved in photosynthesis and enzymes of basal metabolism.</t>
  </si>
  <si>
    <t>Sáez, Claudio/AAP-6923-2021; Zuñiga, Gustavo/P-8306-2015; Contreras, Rodrigo/I-1871-2013; González, Alberto/IYJ-8593-2023</t>
  </si>
  <si>
    <t>Moenne, Alejandra/0000-0002-7309-9713; Laporte, Daniel/0000-0003-0883-0917; Zuniga, Gustavo/0000-0002-8286-9468; Contreras, Rodrigo/0000-0001-9970-3125; Gonzalez Figueroa, Alberto/0000-0002-5777-9022; Saez, Claudio/0000-0002-5037-3484</t>
  </si>
  <si>
    <t>1471-2229</t>
  </si>
  <si>
    <t>JUN 17</t>
  </si>
  <si>
    <t>10.1186/s12870-019-1858-z</t>
  </si>
  <si>
    <t>WOS:000471892600002</t>
  </si>
  <si>
    <t>Duch, RM; Laroze, D; Reinprecht, C; Robinson, TS</t>
  </si>
  <si>
    <t>Duch, Raymond M.; Laroze, Denise; Reinprecht, Constantin; Robinson, Thomas S.</t>
  </si>
  <si>
    <t>Where Will the British Go? And Why?*</t>
  </si>
  <si>
    <t>SOCIAL SCIENCE QUARTERLY</t>
  </si>
  <si>
    <t>Objective Immigration is a highly salient political issue. We examine the migration preferences of potential emigrants from the United Kingdom to determine whether the migration calculus is primarily economic or political. Methods A conjoint survey experiment was conducted with U.K. subjects drawn from the CESS, Nuffield College, Oxford University, student subject pool to identify causal drivers of emigration preferences. Results Logit estimation of emigration preferences indicates that economics and politics matters. Anti-immigrant rhetoric, Trumpian policies, and the United States deter high-skilled U.K. potential emigrants; economic growth, education, and social benefits attract them. Politics and social benefits are more important for those on the political left, while economics and education weigh more heavily for those on the right. Conclusion What will attract the highly skilled migrants from a post-Brexit United Kingdom? Economics matters of course but for many of these potential emigrants politics is important-they are particularly sensitive to anti-immigrant rhetoric.</t>
  </si>
  <si>
    <t>Robinson, Thomas/AAI-8344-2021</t>
  </si>
  <si>
    <t>Duch, Raymond/0000-0002-1166-7674; Robinson, Thomas S./0000-0001-7097-1599</t>
  </si>
  <si>
    <t>0038-4941</t>
  </si>
  <si>
    <t>1540-6237</t>
  </si>
  <si>
    <t>10.1111/ssqu.12584</t>
  </si>
  <si>
    <t>WOS:000461194800007</t>
  </si>
  <si>
    <t>Rezende, MC; Aliaga, C; Barriga, G; Vidal, M</t>
  </si>
  <si>
    <t>Caroli Rezende, Marcos; Aliaga, Carolina; Barriga, German; Vidal, Matias</t>
  </si>
  <si>
    <t>Visualization of Phase-Transfer Catalysis through Charge-Transfer Complexes</t>
  </si>
  <si>
    <t>JOURNAL OF CHEMICAL EDUCATION</t>
  </si>
  <si>
    <t>Unlike the large number of laboratory experiments on phase-transfer catalysis (PTC) that focus on a catalyzed chemical process, the present laboratory emphasizes the mechanism of phase-transfer catalysis itself. Students can follow visually the actual transfer of the reagent by the catalyst, and its consumption in the organic phase, in a step-by-step process that employs a colored charge-transfer (CT) complex as the transferred reacting species. Consumption of the transferred nucleophile is followed by discoloration of the organic phase. This transfer-consumption cycle can be repeated several times by shaking the two separated phases again, allowing students to finally grasp the whole process as a continuous repetition of these cycles. The experiment also links, through visualization, the important synthetic tool of PTC with abstract concepts based on molecular-orbital and hard-soft acid-base theories, invoked in the formation of a CT complex.</t>
  </si>
  <si>
    <t>Caroli, Marcos/H-3570-2019; Aliaga, Carolina/G-6024-2019</t>
  </si>
  <si>
    <t>Aliaga, Carolina/0000-0002-1352-3164; Rezende, Marcos/0000-0003-2040-9009; Barriga-Gonzalez, German/0000-0002-9628-2414</t>
  </si>
  <si>
    <t>0021-9584</t>
  </si>
  <si>
    <t>1938-1328</t>
  </si>
  <si>
    <t>10.1021/acs.jchemed.7b00988</t>
  </si>
  <si>
    <t>WOS:000445440100026</t>
  </si>
  <si>
    <t>Arrieta, MP; de Dicastillo, CL; Garrido, L; Roa, K; Galotto, MJ</t>
  </si>
  <si>
    <t>Arrieta, M. P.; Lopez de Dicastillo, C.; Garrido, L.; Roa, K.; Galotto, M. J.</t>
  </si>
  <si>
    <t>Electrospun PVA fibers loaded with antioxidant fillers extracted from Durvillaea antarctica algae and their effect on plasticized PLA bionanocomposites</t>
  </si>
  <si>
    <t>EUROPEAN POLYMER JOURNAL</t>
  </si>
  <si>
    <t>Marine algae are important biomass source which can be used as sources for the extraction of interesting reinforcing materials with antioxidant activity. An extraction protocol was developed to determine the extraction yield (%), the total phenolic compounds and the antioxidant activity of Durvillaea antarctica algae extract, a Chilean brown algae. D. antarctica extract was added to plasticized poly(lactic acid) (PLA) matrices with triethyl citrate (TEC) to produce antioxidant bionanocomposites for active food packaging. Two different approaches were followed: the direct incorporation of D. antarctica, as well as its introduction encapsulated into electrospun poly(vinyl alcohol) (PVA) fibers. Flexible and optically transparent bionanocomposite films were obtained by solvent casting method. The effects of D. antarctica concentration and its incorporation into electrospun PVA fibers on the structural, thermal, mechanical and barrier properties of PLA based films were studied. D. antarctica protected plasticized PLA matrix from thermal degradation. The synergic effect of the D. antarctica and electrospun PVA fibers enhanced the PLA crystallinity, the oxygen barrier and mechanical performance. The antioxidant effectiveness of bionanocomposites was confirmed by release studies into a fatty food simulant, and the antimicrobial activity was also tested against Escherichia coli. The successful production of bionanocomposites incorporating D. antarctica extracted from biomass and the improved mechanical resistance, enhanced oxygen barrier as well as the antioxidant activity suggest potential applications as sustainable active food packaging.</t>
  </si>
  <si>
    <t>Lopez-de-Dicastillo, Carol/C-6347-2019; Arrieta, Marina Patricia/F-9067-2016</t>
  </si>
  <si>
    <t>Lopez-de-Dicastillo, Carol/0000-0003-0067-9765; Arrieta, Marina Patricia/0000-0003-1816-011X</t>
  </si>
  <si>
    <t>0014-3057</t>
  </si>
  <si>
    <t>1873-1945</t>
  </si>
  <si>
    <t>10.1016/j.eurpolymj.2018.04.012</t>
  </si>
  <si>
    <t>WOS:000434745200016</t>
  </si>
  <si>
    <t>Godoy-Guzmán, C; Fuentes, JL; Osses, M; Toledo-Ordonez, I; Orihuela, P</t>
  </si>
  <si>
    <t>Godoy-Guzman, C.; Fuentes, J. L.; Osses, M.; Toledo-Ordonez, I; Orihuela, P.</t>
  </si>
  <si>
    <t>The Uterine Tube: From Herophilus to Horacio Croxatto</t>
  </si>
  <si>
    <t>The uterine tubes (UT) are fundamental tubular organs in human reproduction. However, it was not until the middle of the 17th century that Reinier De Graafs research began to reveal its true role in reproduction. In this work the main contributions of Horacio Croxatto Avoni toward the knowledge of the morphology and physiology of the human UT are summarized. Its main contributions are related to the physiology of zygote transport and gametes throughout the UT.</t>
  </si>
  <si>
    <t>Godoy-Guzman, Carlos Ignacio/IUO-1065-2023</t>
  </si>
  <si>
    <t>Godoy-Guzman, Carlos/0000-0001-8451-7047</t>
  </si>
  <si>
    <t>10.4067/S0717-95022018000200387</t>
  </si>
  <si>
    <t>WOS:000438815300001</t>
  </si>
  <si>
    <t>Barbosa, KA; de Souza, CE; Coutinho, D</t>
  </si>
  <si>
    <t>Barbosa, Karina A.; de Souza, Carlos E.; Coutinho, Daniel</t>
  </si>
  <si>
    <t>Admissibility analysis of discrete linear time-varying descriptor systems</t>
  </si>
  <si>
    <t>AUTOMATICA</t>
  </si>
  <si>
    <t>This paper deals with the problem of admissibility analysis (i.e. regularity, causality and exponential stability) of discrete-time linear descriptor systems with uncertain time-varying parameters in the system state-space model matrices. The parameters enter affinely into all the matrices, and both their admissible values and variations are assumed to belong to given intervals. First, necessary and sufficient admissibility conditions for uncertainty-free discrete linear time-varying descriptor systems are presented. Next, strict linear matrix inequality conditions based on parameter-dependent Lyapunov functions are proposed to ensure robust admissibility of uncertain linear descriptor systems. Both the cases of Lyapunov functions with affine and quadratic dependence on the system uncertain parameters are considered. The robust admissibility analysis methods incorporate information on available bounds on both the admissible values and variation of the uncertain parameters. Numerical examples are presented to demonstrate the potentials of the proposed methods. (C) 2018 Elsevier Ltd. All rights reserved.</t>
  </si>
  <si>
    <t>de Souza, Carlos/A-6676-2009; Barbosa, Karina/A-2236-2014; Coutinho, Daniel/M-6790-2013</t>
  </si>
  <si>
    <t>Barbosa, Karina A./0000-0001-7183-2662; de Souza, Carlos/0000-0002-9374-9517</t>
  </si>
  <si>
    <t>0005-1098</t>
  </si>
  <si>
    <t>1873-2836</t>
  </si>
  <si>
    <t>10.1016/j.automatica.2018.01.033</t>
  </si>
  <si>
    <t>WOS:000430756000016</t>
  </si>
  <si>
    <t>Hofman, A; Mas, M; Aravena, C; de Guevara, JF</t>
  </si>
  <si>
    <t>Hofman, Andre; Mas, Matilde; Aravena, Claudio; Fernandez de Guevara, Juan</t>
  </si>
  <si>
    <t>Economic Growth and Productivity in Latin America: LA-KLEMS</t>
  </si>
  <si>
    <t>Background: The purpose of this article is to analyze economic growth, productivity and its determinants in five countries in Latin America (Argentina, Brazil, Chile, Colombia and Mexico) during the period 1990-2010. This analysis applies to the aggregate economy as well as to nine economic sectors. Methods: A new database, LA-KLEMS, is used that will serve as a fundamental tool for empirical and theoretical research in the area of economic growth and productivity for Latin America. The variables are organized around the growth accounting methodology, which provides a clear conceptual framework for consistent analysis of interaction between the variables. The LA-KLEMS figures highlight discrepancies between countries and give a new perspective to understand how the series evolve over time. Results: Results show that the sluggish economic growth is basically driven by the negative contribution of total factor productivity (TFP) in all countries and in almost all sectors, despite the investment efforts made in the last 20 years. Latin American countries face a genuine problem of productivity, as the shift-share analysis shows. Conclusions: The problems of TFP are common to all industries and do not seem to be driven by structural change, that is the reallocation of resources from low to high productive industries.</t>
  </si>
  <si>
    <t>Fernández de Guevara-Radoselovics, Juan/I-1996-2012; Fernandez de Guevara-Radoselovics, Juan/I-2337-2012</t>
  </si>
  <si>
    <t>Fernandez de Guevara-Radoselovics, Juan/0000-0003-0590-612X</t>
  </si>
  <si>
    <t>10.20430/ete.v84i334.302</t>
  </si>
  <si>
    <t>WOS:000400805200001</t>
  </si>
  <si>
    <t>Lozano, I; Wacyk, J; Carrasco, J; Cortez-San Martin, M</t>
  </si>
  <si>
    <t>Lozano, I; Wacyk, J.; Carrasco, J.; Cortez-San Martin, M.</t>
  </si>
  <si>
    <t>IMMUNE RESPONSE STUDY IN BLOOD OF ATLANTIC SALMON FED WITH DIETS SUPPLEMENTED WITH SEAWEED: AN ANTIVIRAL NUTRIGENOMICS APPROACH</t>
  </si>
  <si>
    <t>12th International Symposium on Genetics in Aquaculture (ISGA)</t>
  </si>
  <si>
    <t>JUN 21-27, 2015</t>
  </si>
  <si>
    <t>Santiago de Compostela, SPAIN</t>
  </si>
  <si>
    <t>Univ Santiago Compostela, Genet Aquaculture &amp; Conservat Biol Resources Res Grp,Grupo Pescanova,Illumina,NRGene,Geneaqua,Stolt Sea Farm,Piscifactoria Piszolla,Acuinuga,Andromeda Grp,Comercial Hospitalaria Grupo3,Xenetica Fontao,Xenetica Mol</t>
  </si>
  <si>
    <t>Wacyk, Jurij/AAG-4868-2021</t>
  </si>
  <si>
    <t>WOS:000411454500197</t>
  </si>
  <si>
    <t>Maisey, K; Montero, R; Christodoulides, M</t>
  </si>
  <si>
    <t>Maisey, Kevin; Montero, Ruth; Christodoulides, Myron</t>
  </si>
  <si>
    <t>Vaccines for piscirickettsiosis (salmonid rickettsial septicaemia, SRS): the Chile perspective</t>
  </si>
  <si>
    <t>EXPERT REVIEW OF VACCINES</t>
  </si>
  <si>
    <t>Introduction: Piscirickettsia salmonis (P. salmonis) is the aetiological bacterium of the contagious disease piscirickettsiosis or salmonid rickettsial septicaemia (SRS) and causes significant economic losses to aquaculture production in Chile. Current strategies to control infection are i) indiscriminate antibiotic use and ii) vaccination with predominantly P. salmonis bacterin vaccines that do not provide acceptable levels of protection against piscirickettsiosis.Areas covered: This review covers the basic biology of P. salmonis, clinical piscirickettsiosis and disease control, the development of current P. salmonis vaccines, innate and adaptive immunity and a 5-year plan to develop new piscirickettsiosis vaccines.Expert commentary: Fundamental knowledge is lacking on the complexities of P. salmonis-host interactions, relating to bacterial virulence and host innate and adaptive immune responses, which needs to be addressed. The development of new P. salmonis vaccines needs the application of comprehensive omics' technologies to identify candidate vaccine antigens capable of stimulating long-lasting protective immune responses.</t>
  </si>
  <si>
    <t>Maisey, Kevin/AAP-2886-2021; Christodoulides, Myron/C-6699-2011</t>
  </si>
  <si>
    <t>Maisey, Kevin/0000-0002-7423-6329; Christodoulides, Myron/0000-0002-9663-4731; Montero, Ruth Tamara/0000-0002-3019-1800</t>
  </si>
  <si>
    <t>1476-0584</t>
  </si>
  <si>
    <t>1744-8395</t>
  </si>
  <si>
    <t>10.1080/14760584.2017.1244483</t>
  </si>
  <si>
    <t>WOS:000395180000003</t>
  </si>
  <si>
    <t>Reyes, J; Lissi, E; López-Alarcón, C; Rubio, MA</t>
  </si>
  <si>
    <t>Reyes, Jael; Lissi, Eduardo; Lopez-Alarcon, Camilo; Rubio, Maria A.</t>
  </si>
  <si>
    <t>Kinetics of the Anaerobic Reaction of para-Substituted Phenols with Nitrogen Dioxide</t>
  </si>
  <si>
    <t>para-Substituted phenols in aqueous solution under anaerobic conditions readily react with nitrogen dioxide (NO2 center dot) over a wide range of experimental conditions. The rate and rate law of the process were dependent on phenol concentration and solution pH. The kinetic order in phenol changed from one (low concentration) to zero (high concentration), a result attributable to total NO2 center dot capture. Initial consumption rate (r(0)) of phenols versus pH plots showed parabolic behavior with a minimum rate at pH ca. 5. On the other hand, the maximum rate took place at high pH (pH&gt; 10) and involved the protonated phenols. The reaction rate of para-substituted phenols with NO2 center dot correlated with the bond dissociation energy and with Hammett's parameter. Based on such results and also supported by analysis of products carried out by HPLC-MS/MS, our data conclusively show that, in spite of the fast acid-base interchanges of phenols and the interconversion of the different nitrogen oxides, the mechanisms of phenols nitration mediated by NO2 center dot or HONO are clearly different. (C) 2016 Wiley Periodicals, Inc. Int J Chem Kinet 49: 28-36, 2017</t>
  </si>
  <si>
    <t>Bajo, Maria/ABF-6991-2020; Lopez, Camilo/J-5770-2013</t>
  </si>
  <si>
    <t>10.1002/kin.21054</t>
  </si>
  <si>
    <t>WOS:000389196400004</t>
  </si>
  <si>
    <t>Abadias, L; Lizama, C; Miana, PJ; Velasco, MP</t>
  </si>
  <si>
    <t>Abadias, Luciano; Lizama, Carlos; Miana, Pedro J.; Pilar Velasco, M.</t>
  </si>
  <si>
    <t>CESARO SUMS AND ALGEBRA HOMOMORPHISMS OF BOUNDED OPERATORS</t>
  </si>
  <si>
    <t>ISRAEL JOURNAL OF MATHEMATICS</t>
  </si>
  <si>
    <t>Let X be a complex Banach space. The connection between algebra homomorphisms defined on subalgebras of the Banach algebra l (1)(N-0) and fractional versions of CesA ro sums of a linear operator T a B(X) is established. In particular, we show that every (C, alpha)-bounded operator T induces an algebra homomorphism - and it is in fact characterized by such an algebra homomorphism. Our method is based on some sequence kernels, Weyl fractional difference calculus and convolution Banach algebras that are introduced and deeply examined. To illustrate our results, improvements to bounds for Abel means, new insights on the (C, alpha)-boundedness of the resolvent operator for temperated a-times integrated semigroups, and examples of bounded homomorphisms are given in the last section.</t>
  </si>
  <si>
    <t>Velasco, M. Pilar/G-6747-2015; Lizama, Carlos/E-5909-2011</t>
  </si>
  <si>
    <t>Velasco, M. Pilar/0000-0002-0988-2527; Lizama, Carlos/0000-0002-9807-1100; Miana Sanz, Pedro Jose/0000-0001-9430-343X</t>
  </si>
  <si>
    <t>0021-2172</t>
  </si>
  <si>
    <t>1565-8511</t>
  </si>
  <si>
    <t>10.1007/s11856-016-1417-3</t>
  </si>
  <si>
    <t>WOS:000385411200016</t>
  </si>
  <si>
    <t>Espinoza-Nevárez, D; Ortiz-Bayliss, JC; Terashima-Marín, H; Gatica, G</t>
  </si>
  <si>
    <t>Friedrich, T</t>
  </si>
  <si>
    <t>Espinoza-Nevarez, David; Carlos Ortiz-Bayliss, Jose; Terashima-Marin, Hugo; Gatica, Gustavo</t>
  </si>
  <si>
    <t>Selection and Generation Hyper-heuristics for Solving the Vehicle Routing Problem with Time Windows</t>
  </si>
  <si>
    <t>PROCEEDINGS OF THE 2016 GENETIC AND EVOLUTIONARY COMPUTATION CONFERENCE (GECCO'16 COMPANION)</t>
  </si>
  <si>
    <t>Genetic and Evolutionary Computation Conference (GECCO)</t>
  </si>
  <si>
    <t>JUL 20-24, 2016</t>
  </si>
  <si>
    <t>Denver, CO</t>
  </si>
  <si>
    <t>Assoc Comp Machinery Special Interest Grp Genet &amp; Evolutionary Computat</t>
  </si>
  <si>
    <t>The vehicle routing problem is a classic optimization problem with many variants. One of the variants is given by the inclusion of the time windows constraint which requires the clients to be served within a delimited time frame. Because of its complexity, vehicle routing problems are usually solved by using heuristics without optimality guarantee. This paper describes two hyper-heuristics capable of producing results comparable to the ones obtained by the best-performing heuristics on different sets of benchmark instances.</t>
  </si>
  <si>
    <t>Terashima-Marin, Hugo/JLM-9695-2023; Ortiz-Bayliss, José Carlos/HNI-6058-2023</t>
  </si>
  <si>
    <t>Gustavo, Gatica/0000-0002-1816-6856; Terashima-Marin, Hugo/0000-0002-5320-0773; Ortiz-Bayliss, Jose Carlos/0000-0003-3408-2166</t>
  </si>
  <si>
    <t>978-1-4503-4323-7</t>
  </si>
  <si>
    <t>10.1145/2908961.2909051</t>
  </si>
  <si>
    <t>WOS:000383741800070</t>
  </si>
  <si>
    <t>Quezada, D; Honores, J; García, M; Armijo, F; Isaacs, M</t>
  </si>
  <si>
    <t>Quezada, Diego; Honores, Jessica; Garcia, Macarena; Armijo, Francisco; Isaacs, Mauricio</t>
  </si>
  <si>
    <t>Electrocatalytic reduction of carbon dioxide on a cobalt tetrakis(4-aminophenyl)porphyrin modified electrode in BMImBF4</t>
  </si>
  <si>
    <t>Electro-catalytic reduction of carbon dioxide has been studied with cobalt 5,10,15,20 tetrakis(4-aminophenyl)porphyrin forming a conducting polymer on an indium tin oxide electrode, using an ionic liquid as a novel reaction media. Electrocatalytic reduction of CO2 has been carried out, the potential at which this occurs has been reduced from -2.4 V vs. Ag/AgCl reported before, to -0.8 V vs. Ag/AgCl which means a significant energy gain regarding the electrochemical fixation of CO2. Electrochemical impedance spectroscopy (EIS) experiments have been carried out in order to understand the electrical behavior of the modified electrode in ionic liquid medium. Spectroelectrochemical evidence suggests that the reactive species which promotes the reaction is an electrochemically generated Co(I) porphyrin species which can be detected in an inert atmosphere but not in the carbon dioxide saturated medium.</t>
  </si>
  <si>
    <t>Armijo, Francisco/G-3391-2013; García, Macarena/GXG-8380-2022; Isaacs, Mauricio/N-3027-2013</t>
  </si>
  <si>
    <t>Quezada, Diego/0000-0001-7661-076X; Honores Sotelo, Jessica/0000-0003-1172-4728; Quezada, Diego/0009-0003-0231-5866; Armijo, Francisco/0000-0002-2479-6280; Isaacs Casanova, Mauricio/0000-0003-0503-0949</t>
  </si>
  <si>
    <t>10.1039/c4nj00519h</t>
  </si>
  <si>
    <t>WOS:000339469500038</t>
  </si>
  <si>
    <t>Arizaga, L; Gancheff, JS; Faccio, R; Cañón-Mancisidor, W; González, R; Kremer, C; Chiozzone, R</t>
  </si>
  <si>
    <t>Arizaga, Livia; Gancheff, Jorge S.; Faccio, Ricardo; Canon-Mancisidor, Walter; Gonzalez, Ricardo; Kremer, Carlos; Chiozzone, Raul</t>
  </si>
  <si>
    <t>Synthesis, crystal structure and magnetic properties of a novel tetranuclear oxo-bridged iron(III) butterfly</t>
  </si>
  <si>
    <t>JOURNAL OF MOLECULAR STRUCTURE</t>
  </si>
  <si>
    <t>A novel carboxylate/picolinate oxo-bridged iron(III) cluster, namely [Na-2(H2O)(8)][Fe-4(mu-O)(2)(O2CPh)(7) (Pic)(2)](2)center dot 2H(2)O (1) where pic = picolinate, has been obtained by reacting basic iron benzoate [Fe3O (O2CPh)(6)(H2O)(3)](O2CPh) with sodium picolinate in acetonitrile. The compound has been characterized by elemental analysis and IR spectroscopy and its crystal structure has been determined by single-crystal X-ray diffraction. Variable-temperature magnetic susceptibility measurements in polycrystalline samples reveal moderate antiferromagnetic couplings leading to an S = 0 ground state. Theoretically computed values of the exchange constants in the title compound were also obtained with DFT calculations and were in agreement with the overall conclusions of the analysis of the experimental data. (C) 2013 Elsevier B.V. All rights reserved.</t>
  </si>
  <si>
    <t>Faccio, Ricardo/C-4108-2018; Canon-Mancisidor, Walter/K-8764-2014</t>
  </si>
  <si>
    <t>Faccio, Ricardo/0000-0003-1650-7677; Canon-Mancisidor, Walter/0000-0003-1703-8729</t>
  </si>
  <si>
    <t>0022-2860</t>
  </si>
  <si>
    <t>1872-8014</t>
  </si>
  <si>
    <t>JAN 24</t>
  </si>
  <si>
    <t>10.1016/j.molstruc.2013.10.070</t>
  </si>
  <si>
    <t>WOS:000330258200019</t>
  </si>
  <si>
    <t>Flores, EIS; Friswell, MI; Xia, YY</t>
  </si>
  <si>
    <t>Saavedra Flores, Erick I.; Friswell, Michael I.; Xia, Yuying</t>
  </si>
  <si>
    <t>Variable stiffness biological and bio-inspired materials</t>
  </si>
  <si>
    <t>JOURNAL OF INTELLIGENT MATERIAL SYSTEMS AND STRUCTURES</t>
  </si>
  <si>
    <t>This article reviews the main mechanisms of stiffness variation typically found in nature. The temporal changes in stiffness may be fully or partially reversible, or completely irreversible, and can be very slow or fast in time depending on the strategy adopted to alter the mechanical properties. It is also possible to observe changes in the stiffness in order to recover the original mechanical properties in damaged natural materials by means of self-healing mechanisms. In addition to stiffness variations in time, natural materials can also exhibit stiffness changes in space. These variations can be represented by alterations in the spatial distribution of the microscopic constituents across multiple hierarchical scales, from very small physical scales to large macroscopic dimensions. In order to optimise the strength and multifunctionality of these materials, spatial changes can also occur over larger areas at one single scale. In addition, several examples are provided to illustrate how natural materials have been exploited further in order to develop new bio-inspired materials.</t>
  </si>
  <si>
    <t>1045-389X</t>
  </si>
  <si>
    <t>1530-8138</t>
  </si>
  <si>
    <t>10.1177/1045389X12461722</t>
  </si>
  <si>
    <t>WOS:000317625600001</t>
  </si>
  <si>
    <t>Lavín, R; Farías, C; Denardin, JC</t>
  </si>
  <si>
    <t>Lavin, R.; Farias, C.; Denardin, J. C.</t>
  </si>
  <si>
    <t>FORC analysis of Ni(SiO2) nanogranular film in the blocked regime</t>
  </si>
  <si>
    <t>In this work the magnetic and structural properties of granular Ni(SiO2) films are studied by means of FORCs diagrams and microscopy. Transmission electron microscopy images show that the sample is composed of a fine dispersion of Ni nanoparticles with 3.7 nm in average sizes. Magnetic measurements as function of temperature show that the nanoparticles are superparamagnetic at room temperature and are blocked at 5 K. The FORCs diagrams obtained below the blocking temperature allow us to determine the average size of the nanoparticles and the distribution of sizes in a very good agreement with TEM images. (C) 2012 Elsevier B.V. All rights reserved.</t>
  </si>
  <si>
    <t>Denardin, Juliano/0000-0002-1373-6207</t>
  </si>
  <si>
    <t>10.1016/j.jmmm.2012.01.001</t>
  </si>
  <si>
    <t>WOS:000300782700009</t>
  </si>
  <si>
    <t>Santibanez, F; Munoz, R; Caussarieu, A; Job, S; Melo, F</t>
  </si>
  <si>
    <t>Santibanez, Francisco; Munoz, Romina; Caussarieu, Aude; Job, Stephane; Melo, Francisco</t>
  </si>
  <si>
    <t>Experimental evidence of solitary wave interaction in Hertzian chains</t>
  </si>
  <si>
    <t>We study experimentally the interaction between two solitary waves that approach one another in a linear chain of spheres interacting via the Hertz potential. When these counterpropagating waves collide, they cross each other and a phase shift in respect to the noninteracting waves is introduced as a result of the nonlinear interaction potential. This observation is well reproduced by our numerical simulations and is shown to be independent of viscoelastic dissipation at the bead contact. In addition, when the collision of equal amplitude and synchronized counterpropagating waves takes place, we observe that two secondary solitary waves emerge from the interacting region. The amplitude of the secondary solitary waves is proportional to the amplitude of incident waves. However, secondary solitary waves are stronger when the collision occurs at the middle contact in chains with an even number of beads. Although numerical simulations correctly predict the existence of these waves, experiments show that their respective amplitudes are significantly larger than predicted. We attribute this discrepancy to the rolling friction at the bead contact during solitary wave propagation.</t>
  </si>
  <si>
    <t>Melo, Francisco/M-3923-2014; Santibañez, Francisco/E-4809-2011; Job, Stephane/D-9735-2011</t>
  </si>
  <si>
    <t>Job, Stephane/0000-0003-2853-1893; Munoz Buzeta, Romina/0009-0009-1134-6297; Melo, Francisco Esteban/0000-0001-6818-5476</t>
  </si>
  <si>
    <t>1539-3755</t>
  </si>
  <si>
    <t>1550-2376</t>
  </si>
  <si>
    <t>AUG 5</t>
  </si>
  <si>
    <t>10.1103/PhysRevE.84.026604</t>
  </si>
  <si>
    <t>WOS:000293560900010</t>
  </si>
  <si>
    <t>Palma, C; Contreras, E; Urra, J; Martínez, MJ</t>
  </si>
  <si>
    <t>Palma, Carolyn; Contreras, Elsa; Urra, Johana; Jesus Martinez, Maria</t>
  </si>
  <si>
    <t>Eco-friendly Technologies Based on Banana Peel Use for the Decolourization of the Dyeing Process Wastewater</t>
  </si>
  <si>
    <t>WASTE AND BIOMASS VALORIZATION</t>
  </si>
  <si>
    <t>This study analyzed some alternatives to the valorization of agricultural residues considering its use in the treatment of colored effluents. The acid-base behavior of the banana peel surface was thus determined in order to establish the feasibility of its use as a bioadsorbent for dyes. The adsorption capacity of Acid Black 1 was evaluated, through the equilibrium isotherm and the kinetics of this uptake process was also analyzed. Additionally, banana peel was used as substrate-support to evaluate the growth of Inonotus sp SP2, Stereum hirsutum RU 104 and Pleurotus eryngii IJFM 169 and their ligninolytic enzymes production. The decolourization ability of strain fungi was moreover screened. The concentration of functional basic groups in the banana peel surface was determined in 5.5 mmol g(-1) as six and a half times higher than acid groups, while the lowest value of the maximum adsorption capacity of Acid Black 1 was 250 mg g(-1). The adsorption kinetics of this dye was suitably represented by a pseudo second order model, obtaining correlation coefficients greater than 0.98. Additionally, the banana peel was demonstrated to be a source of carbon available for growth of the fungi studied. Reducing sugars supplied for banana peel were abruptly consumed up to the 5th day by S. hirsutum and Inonotus sp, while a slower consumption was observed in the case of P. eryngii. Manganese Peroxidase was produced by the three fungal strains, Inonotus sp. additionally produces Laccase and Aryl-alcohol oxidase. Screening assays showed that all of the dyes were decolorized, resulting in efficiencies between 50 and 99% by the three strains, with the exception of Basic Violet 4. Acid Black 1 was decolorized efficiently by Inonotus sp and S. hirsutum. In conclusion, banana peel is a promising material for development of an integral bioremediation strategy for wastewater containing hazardous compounds.</t>
  </si>
  <si>
    <t>Martinez, Maria Jesus/F-9147-2015</t>
  </si>
  <si>
    <t>Martinez, Maria Jesus/0000-0003-2166-1097</t>
  </si>
  <si>
    <t>1877-2641</t>
  </si>
  <si>
    <t>1877-265X</t>
  </si>
  <si>
    <t>10.1007/s12649-010-9052-4</t>
  </si>
  <si>
    <t>WOS:000209196500007</t>
  </si>
  <si>
    <t>Jesam, C; Salvatierra, AM; Schwartz, JL; Croxatto, HB</t>
  </si>
  <si>
    <t>Jesam, Cristian; Maria Salvatierra, Ana; Schwartz, Jill L.; Croxatto, Horacio B.</t>
  </si>
  <si>
    <t>Suppression of follicular rupture with meloxicam, a cyclooxygenase-2 inhibitor: potential for emergency contraception</t>
  </si>
  <si>
    <t>There is evidence that cyclooxygenase-2 (COX-2) inhibitors can prevent or delay follicular rupture. COX-2 inhibitors, such as meloxicam, may offer advantages over emergency contraception with levonorgestrel, such as extending the therapeutic window for up to 24 h. We assessed the effect of meloxicam administered in the late follicular phase upon ovulation in women. This was a single center, double blind, crossover study designed to assess the effects in 27 eligible women (18-40 years old, surgically sterilized with regular menstrual cycles) of meloxicam, 15 or 30 mg/day, administered orally for five consecutive days during the late follicular phase, starting when the leading follicle reached 18 mm diameter. Volunteers underwent two treatment cycles separated by one resting cycle, with randomization to dose sequence. Main outcomes were follicular rupture; serum LH, progesterone and estradiol (E(2)) levels; and incidence of adverse events. Twenty-two volunteers completed the study. There were no differences between meloxicam doses in menstrual cycle length. Dysfunctional ovulation was observed in 11/22 (50%) cycles treated with 15 mg/day and 20/22 (90.9%) cycles with 30 mg/day (P = 0.0068). All women had normal luteal phase progesterone levels; mean maximal values +/- SEM were 42 +/- 4.1 and 46.8 +/- 2.6 nmol/l for 15 and 30 mg/day groups, respectively. There were no serious adverse events, and no changes in LH and E(2) levels or in cycle length. Meloxicam 30 mg given for five consecutive days in the late follicular phase is safe, effective and may be an alternative form of emergency contraception.</t>
  </si>
  <si>
    <t>10.1093/humrep/dep392</t>
  </si>
  <si>
    <t>WOS:000273703400011</t>
  </si>
  <si>
    <t>Villegas, ML; Bertolotti, SG; Previtali, CM; Encinas, MV</t>
  </si>
  <si>
    <t>Reactions of excited states of phenoxazin-3-one dyes with amino acids</t>
  </si>
  <si>
    <t>The interaction with amino acids of the excited states of the N-oxide resazurin and its deoxygenation product resorufin, has been studied in aqueous solution at pH 7.5. Steady-state and time-resolved studies show that the fluorescence is quenched by amino acids. Complexation of the dyes in the ground state with aromatic amino acids was also observed. The singlet quenching is attributed to electron transfer from the amino acids to the excited dye based on the dependence of the bimolecular rate constants with the, ionization potential of quenchers. Flash photolysis experiments allowed determination of the quenching rate constants for the triplet deactivation of dyes by several amino acids, as well as the characterization of the transients formed in the process. These data show that the triplet is also deactivated by an electron transfer process. However, the deactivation of the N-oxide dye by tryptophan can be described by a hydrogen atom transfer. The protolytic dissociation constants of the dye radical ions are reported. The irradiation of rezasurin in the presence of amino acids leads to deoxygenation of the dye to give resorufin. This process involves the triplet excited state of resazurin and is efficient only in the presence of amino acids containing the -SH group.</t>
  </si>
  <si>
    <t>10.1562/2004-10-12-RA-342R1.1</t>
  </si>
  <si>
    <t>WOS:000231367600022</t>
  </si>
  <si>
    <t>Johnson, MC; Pinto, C; Alves, A; Palomino, A; Fuentes, A; Boric, A; Vega, M</t>
  </si>
  <si>
    <t>P450Arom and estrogenic microenvironment of eutopic endometria in endometriosis</t>
  </si>
  <si>
    <t>Background: Endometriosis, a common gynecologic disorder characterized by endometrial glands and stroma outside the uterus, is diagnosed by direct visualization of peritoneal and ovarian implants during laparoscopy. Aim: To study the estrogenic microenvironment in eutopic endometria of women with and without endometriosis. Patients and methods: Eutopic endometria, obtained during laparoscopy from 23 women with endometriosis and 20 fertile cyclic women undergoing tubal sterilization, was studied. P(450)Arom mRNA expression (RT-PCR) was measured. Also, P(450)Arom activity was assessed measuring testosterone conversion to estradiol and the concentration of this last hormone in cultured endometrial explants. Results: Age and body mass index was similar in both groups studied. Seventy nine percent of endometria from women with endometriosis and in 29.4% from control group expressed P(450)Arom mRATA (p &lt;0.01). The intensity of the band was higher in secretory endometria from women with endometriosis when compared to controls (p &lt;0.01), but it was similar during the proliferative phase. Estradiol secretion to the culture media by proliferative endometria explants from women with endometriosis was 3-fold higher than secretory endometria (p &lt;0.01) and endometria from control women in both phases. P(450)Arom activity, in the presence testosterone, was 7-fold higher in endometrial cultures from women with endometriosis, when compare with the basal culture (p &lt;0.01). However in endometrial explant cultures from control women, this activity was not statistical different. Conclusions: These results indicate that in women with endometriosis, the microenvironment in the endometria is estrogenic as a consequence of an increased expression and activity of the P(450)Arom.</t>
  </si>
  <si>
    <t>WOS:000226878600004</t>
  </si>
  <si>
    <t>Parada, V; Ferland, JA; Arias, M; Daniels, K</t>
  </si>
  <si>
    <t>Optimization of electrical distribution feeders using simulated annealing</t>
  </si>
  <si>
    <t>IEEE TRANSACTIONS ON POWER DELIVERY</t>
  </si>
  <si>
    <t>The planning of electrical power distribution systems strongly influences the supply of electrical power to consumers. The problem is to minimize both the investment cost for feeder and substations, and the power-loss cost. When the substations can already provide enough power flow, then the problem reduces to minimize the total cost related to the feeders and their power-loss. The difficulty of dealing with this problem increases rapidly with its size (i.e., the number of customers). It seems appropriate to use heuristic methods to obtain suboptimal solutions, since exact methods are too much time consuming. In this paper, a simulated annealing algorithm is used. A set of numerical results are provided.</t>
  </si>
  <si>
    <t>0885-8977</t>
  </si>
  <si>
    <t>10.1109/TPWRD.2004.829091</t>
  </si>
  <si>
    <t>WOS:000222429300032</t>
  </si>
  <si>
    <t>Pena, O.; Bodenez, V.; Guizouarn, T.; Meza, E.; Gautier, J. L.</t>
  </si>
  <si>
    <t>Magnetic properties of lithium-based spinels Li(NixCo2-x)O4</t>
  </si>
  <si>
    <t>We report on the magnetic properties of the solid solution Li(NixCo2-x) O-4 (0 &lt;= x &lt;= 1.0). LiCo2O4 behaves as an antiferromagnet (T-N similar to 35 K). The nickel substitution affects the antiferromagnetic interactions, first lowering T-N (22 and 25 K, at x = 0.25 and 0.50, respectively) and then increasing it up to 38 K (x = 0.75 and 1.0). A dramatic change with x(Ni) is observed for Theta, from - 225 K ( at x = 0) up to very large positive values (+ 200 K or more). This is interpreted as a canted AF structure with large ferromagnetic components. (C) 2004 Elsevier B. V. All rights reserved.</t>
  </si>
  <si>
    <t>bodenez, vincent/C-1139-2008; Meza, Erika/S-5934-2017</t>
  </si>
  <si>
    <t>Meza, Erika/0009-0009-0588-1808</t>
  </si>
  <si>
    <t>E1579</t>
  </si>
  <si>
    <t>E1580</t>
  </si>
  <si>
    <t>10.1016/j.jmmm.2003.12.813</t>
  </si>
  <si>
    <t>WOS:000202897200610</t>
  </si>
  <si>
    <t>Escalona, N; Yates, M; Avila, P; Agudo, AL; Fierro, JLG; Ojeda, J; Gil-Llambías, FJ</t>
  </si>
  <si>
    <t>Effect of Re loading on the structure, activity and selectivity of Re/C catalysts in hydrodenitrogenation and hydrodesulphurisation of gas oil</t>
  </si>
  <si>
    <t>A series of Re-containing catalysts supported on activated carbon, with Reloading between 0.74 and 11.44 wt.% Re2O7, was prepared by wet impregnation and tested in the simultaneous hydrodesulphurisation (HDS) and hydrodenitrogenation (HDN) of a commercial gas oil. Textural analysis, XRD, X-ray photoelectron spectroscopy (XPS) and surface acidity techniques were used for physicochemical characterisation of the catalysts. Increase in the Re concentration resulted in a rise in the HDS and HDN activity due to-the formation of a monolayer structure of Re and the higher surface acidity. At Re concentrations &gt;2.47 wt.% Re2O7 (0.076 Re atoms nm(-2)) the reduction in the catalytic activity was related to the loss in specific surface area (BET) due to reduction in the microporosity of the carbon support. The magnitude of the catalytic effect was different for HDS and HDN, and depended strongly on the Re content and reaction temperature. The apparent activation energies were about 116-156 kJ mol(-1) for HDS and 24-30 kJ mol(-1) for HDN. This led to a marked increase in the HDN/HDS selectivity with decreasing temperature (values &gt;3 at 325 degreesC), due to the large differences in the apparent activation energies of HDS and HDN found for all catalysts. A gradual increase in the HDN/HDS selectivity with increased Re loading was also found and related to the observed increase of catalyst acidity. The results are compared with those obtained for a series of Re/-Y-Al2O3 catalysts. (C) 2002 Elsevier Science B.V. All rights reserved.</t>
  </si>
  <si>
    <t>Escalona, Nestor/F-3593-2016; Avila, Pedro/S-7588-2017; Yates, Malcolm/H-5152-2015; Garcia Fierro, Jose Luis/C-4774-2014</t>
  </si>
  <si>
    <t>Escalona Burgos, Nestor/0000-0002-2628-4609; Avila, Pedro/0000-0002-0212-941X; Ojeda, Juan/0000-0002-9484-5017; Yates, Malcolm/0000-0001-5128-1218; Garcia Fierro, Jose Luis/0000-0002-6880-3737</t>
  </si>
  <si>
    <t>FEB 10</t>
  </si>
  <si>
    <t>PII S0926-860X(02)00430-1</t>
  </si>
  <si>
    <t>10.1016/S0926-860X(02)00430-1</t>
  </si>
  <si>
    <t>WOS:000181008200012</t>
  </si>
  <si>
    <t>Avila, RE; Navarro, PO; Martin, VD; Fernandez, LM; Sylvester, G; Retuert, PJ; Gramsch, E</t>
  </si>
  <si>
    <t>Properties of SrBi2Nb2O9 thin films on Pt-coated Si</t>
  </si>
  <si>
    <t>SrBi2Nb2O9 powders and thin films, on Pt-coated Si, were synthesithed by the sol-gel method. Three-layer thin films appear homogeneous down to the 100 nm scale, polycrystalline in the tetragonal Aurivillius phase, at a average thickness of 40 nm per layer. The index of refraction at the center of the visible range increases with the sintering temperature from roughly 2.1 (at 400 degreesC) to 2.5 (at 700 degreesC). The expression n(2) - 1 increases linearly with the relative density of the thin films, in similar fashion as previous studies in PbTiO3 thin films. The dielectric constant in quasistatic and high frequency (I MHz) modes, is between 160 and 230.</t>
  </si>
  <si>
    <t>Gramsch, Ernesto/M-5507-2017; Fernandez, Laura/K-4717-2012</t>
  </si>
  <si>
    <t>WOS:000180065500017</t>
  </si>
  <si>
    <t>Muñoz, E; Barticevic, A; Pacheco, M</t>
  </si>
  <si>
    <t>Two-dimensional arrangement of quantum points in the presence of a magnetic field and an electric field in a Hall configuration</t>
  </si>
  <si>
    <t>This work reports a theoretical study on the energy spectrum of a two-dimensional periodic array of quantum dots, with electric and magnetic external fields applied in the Hall configuration. The model is developed in the effective-mass approximation for noninteracting electrons and a tight-binding scheme, with atomic-like functions for every quantum clot coupled to the magnetic field, is adopted. The confining potential for the dots is modeled by a two-dimensional harmonic oscillator. We study the influence of having a finite number of dots on the band structure of the array and we show results illustring the effect of the electric field on the energy spectrurn for a given set of geometric parameters.</t>
  </si>
  <si>
    <t>Pacheco, Monica/AAG-8440-2019; Munoz, Enrique/D-7237-2013; Pacheco, Monica/L-9669-2014</t>
  </si>
  <si>
    <t>Munoz, Enrique/0000-0003-4457-0817; Pacheco, Monica/0000-0002-4293-5213</t>
  </si>
  <si>
    <t>WOS:000180065500012</t>
  </si>
  <si>
    <t>Lemp, E; Pizarro, N; Encinas, MV; Zanocco, AL</t>
  </si>
  <si>
    <t>Solvent effect on the quenching of singlet oxygen by 3-methylindole</t>
  </si>
  <si>
    <t>PHYSICAL CHEMISTRY CHEMICAL PHYSICS</t>
  </si>
  <si>
    <t>Detection of O-2((1)Delta (g)) emission, lambda (max) = 1270 nm, following laser excitation and steady-state methods were employed to measure total, k(T), and chemical, k(R), reaction rate constants for the reaction between 3-methylindole and singlet oxygen in several solvents. Values of k(T) range from 0.12 +/- 0.008 x 10(7) M-1 s(-1) in n-heptane to 32.0 +/- 1.12 x 10(7) M-1 s(-1) in D2O at pD = 7.4. Analysis of the solvent effect on k(T) by using the semiempirical and theoretical linear solvent free-energy relationship (LSER and TLSER) solvatochromic equations indicates that singlet oxygen deactivation by 3-methylindole is accelerated by solvents with large pi* values. This result supports the participation of an exciplex intermediate with partial charge transfer character, leading to either chemical reaction or physical quenching. The contribution of chemical reaction to total quenching depends significantly on the solvent. Chemical reaction can be neglected in non-polar solvents, whereas in hydrogen-bond donor solvents, such as methanol or D2O, chemical reaction is near to 30-40%. Solvents with larger p* and a values increase the contribution of chemical reaction relative to that of physical quenching.</t>
  </si>
  <si>
    <t>Pizarro, Nancy/E-1131-2015; Encinas, Maria/L-9686-2014</t>
  </si>
  <si>
    <t>Pizarro, Nancy/0000-0002-4688-0889; ZANOCCO, ANTONIO/0000-0002-6521-5382</t>
  </si>
  <si>
    <t>1463-9076</t>
  </si>
  <si>
    <t>1463-9084</t>
  </si>
  <si>
    <t>10.1039/b104673j</t>
  </si>
  <si>
    <t>WOS:000172414400022</t>
  </si>
  <si>
    <t>Patton, JT; Spencer, E</t>
  </si>
  <si>
    <t>Genome replication and packaging of segmented double-stranded RNA viruses</t>
  </si>
  <si>
    <t>Patton, John/0000-0003-1572-0732</t>
  </si>
  <si>
    <t>10.1006/viro.2000.0645</t>
  </si>
  <si>
    <t>WOS:000165628300001</t>
  </si>
  <si>
    <t>VIDELA, LA; CACERES, T; LISSI, EA</t>
  </si>
  <si>
    <t>ANTIOXIDANT CAPACITY OF DESFERRIOXAMINE AND FERRIOXAMINE IN THE CHEMICALLY-INITIATED LIPID-PEROXIDATION OF RAT ERYTHROCYTE GHOST MEMBRANES</t>
  </si>
  <si>
    <t>2,2''-Azo-bis-(2-amidinopropane) induces the thermal lipid peroxidation of red blood cells membranes by a mechanism that is not iron dependent. The peroxidation rate, as assessed by oxygen uptake or visible chemiluminescence measurements, can be diminished by micromolar concentrations of desferrioxamine (DF), with a median inhibitory concentration (the concentration of DF that reduces the lipid peroxidation rate to 50% of that observed without scavengers addition) of 10 .mu.M. In these conditions, the DF/Fe3+ (1:2) complex is nearly five times less efficient than DF. The present data show that DF is able to trap the initiator radicals and/or the free radicals involved in the lipid peroxidative chain at micromolar concentrations, range in which the agent cannot be used as a general test for iron involvement.</t>
  </si>
  <si>
    <t>WOS:A1988P003500003</t>
  </si>
  <si>
    <t>GASKELL, DR; REYES, RA</t>
  </si>
  <si>
    <t>THE ACTIVITY OF ZINC-OXIDE IN SILICATE MELTS</t>
  </si>
  <si>
    <t>JOURNAL OF METALS</t>
  </si>
  <si>
    <t>0148-6608</t>
  </si>
  <si>
    <t>A90</t>
  </si>
  <si>
    <t>WOS:A1982PX54500723</t>
  </si>
  <si>
    <t>Carleo, C; Raijmakers, M; Zamora, F</t>
  </si>
  <si>
    <t>Carleo, Cinthia; Raijmakers, Mariella; Zamora, Francisco</t>
  </si>
  <si>
    <t>Pneumocystis jirovecii pneumonia associated with diffuse alveolar hemorrhage in a renal transplant patient. Case report</t>
  </si>
  <si>
    <t>REVISTA CHILENA DE INFECTOLOGIA</t>
  </si>
  <si>
    <t>Pneumocystis jirovecii pneumonia is an opportunistic fungal infection, described mainly in HIV patients, however, after the introduction of ART, its presentation has increased in patients with non -HIV immunosuppression, such as hematological cancers, solid or hematopoietic stem cell transplantation. We report the case of a 17 -year -old male, kidney transplant patient, with prolonged immunosuppression with corticoesteroids, with history of cough, dyspnea, and fever. Chest CT evidences centrilobular pulmonary micronodules with ground glass. BAL was performed compatible with diffuse alveolar hemorrhage, with positive PCR for P. jirovecii. Other infections and autoimmune disease were ruled out. He received treatment with cotrimoxazole with clinical improvement of the patient, and follow up chest CT at the end of treatment showed decrease of pulmonary infiltrates. Although the most frequent causes of DAH are autoimmune etiologies such as rheumatic diseases or vasculitis, it is a priority to rule out infectious causes, including P. jirovecii , since targeted treatment could have a significant impact on mortality outcomes in this group of patients.</t>
  </si>
  <si>
    <t>Raijmakers, Mariella/ABD-8342-2021</t>
  </si>
  <si>
    <t>0716-1018</t>
  </si>
  <si>
    <t>0717-6341</t>
  </si>
  <si>
    <t>WOS:001259835500014</t>
  </si>
  <si>
    <t>Ortega, IJ; Stefanato, CM</t>
  </si>
  <si>
    <t>Ortega, Isabel Jimeno; Stefanato, Catherine M.</t>
  </si>
  <si>
    <t>Telogen effluvium: a 360 degree review</t>
  </si>
  <si>
    <t>ITALIAN JOURNAL OF DERMATOLOGY AND VENEREOLOGY</t>
  </si>
  <si>
    <t>Telogen effluvium (TE) is one of the most common presentations of diffuse non-cicatricial alopecia and is generally self-limited. Multiple causes are associated with TE onset and its maintenance, with stress being felt the most common factor. The multifactorial etiologies involved in TE makes it a complex disorder to diagnose and treat often placing this entity into a waste basket diagnosis. By critically assessing the available scientific literature we aimed to review the multifaceted aspects of TE. Our objectives were to review the pathogenesis with the role of stress (including Coronavirus 19-associated TE), as well as to describe the main clinical findings, its differential diagnosis and the current knowledge on TE treatments along with the future treatment's insights.</t>
  </si>
  <si>
    <t>Stefanato, Catherine/ABI-4775-2020</t>
  </si>
  <si>
    <t>Jimeno Ortega, Isabel/0000-0003-4631-4382</t>
  </si>
  <si>
    <t>2784-8671</t>
  </si>
  <si>
    <t>2784-8450</t>
  </si>
  <si>
    <t>10.23736/S2784-8671.23.07579-5</t>
  </si>
  <si>
    <t>WOS:001123635300012</t>
  </si>
  <si>
    <t>Vilalta-Perdomo, C; Fondevila, G; Dammert, L</t>
  </si>
  <si>
    <t>Vilalta-Perdomo, Carlos; Fondevila, Gustavo; Dammert, Lucia</t>
  </si>
  <si>
    <t>Getting back to the state: policing the Covid-19 pandemic</t>
  </si>
  <si>
    <t>POLICING &amp; SOCIETY</t>
  </si>
  <si>
    <t>This paper analyzes the impact of the pandemic (from 2020 to 2021) on levels of trust and legitimacy of the Chilean police (Carabineros) by the population in the metropolitan area of Santiago, Chile. Based on a pseudo-panel method and a cohort fixed-effects regression model that controlled for unobserved time invariant heterogeneity, we found a significant increase in police legitimacy during the pandemic (on average, 63%, among the adult residents of the region, based on the police legitimacy index comprising six perceptual variables). Evidence suggests that the perceived performance of the Carabineros during the pandemic served to recover the trust of citizens, at least temporarily, even when this intervention entailed the enforcement of anti-popular measures.</t>
  </si>
  <si>
    <t>Fondevila, Gustavo/AAL-9502-2020; Vilalta, Carlos/AAP-1410-2020; Dammert, Lucia/U-2327-2019</t>
  </si>
  <si>
    <t>Fondevila, Gustavo/0000-0003-4818-0584</t>
  </si>
  <si>
    <t>1043-9463</t>
  </si>
  <si>
    <t>1477-2728</t>
  </si>
  <si>
    <t>10.1080/10439463.2023.2195648</t>
  </si>
  <si>
    <t>WOS:000961454500001</t>
  </si>
  <si>
    <t>Moreira-Ramos, S; Arias, L; Flores, R; Katz, A; Levicán, G; Orellana, O</t>
  </si>
  <si>
    <t>Moreira-Ramos, Sandra; Arias, Loreto; Flores, Rodrigo; Katz, Assaf; Levican, Gloria; Orellana, Omar</t>
  </si>
  <si>
    <t>Synonymous mutations in the phosphoglycerate kinase 1 gene induce an altered response to protein misfolding in Schizosaccharomyces pombe</t>
  </si>
  <si>
    <t>BackgroundProteostasis refers to the processes that regulate the biogenesis, folding, trafficking, and degradation of proteins. Any alteration in these processes can lead to cell malfunction. Protein synthesis, a key proteostatic process, is highly-regulated at multiple levels to ensure adequate adaptation to environmental and physiological challenges such as different stressors, proteotoxic conditions and aging, among other factors. Because alterations in protein translation can lead to protein misfolding, examining how protein translation is regulated may also help to elucidate in part how proteostasis is controlled. Codon usage bias has been implicated in the fine-tuning of translation rate, as more-frequent codons might be read faster than their less-frequent counterparts. Thus, alterations in codon usage due to synonymous mutations may alter translation kinetics and thereby affect the folding of the nascent polypeptide, without altering its primary structure. To date, it has been difficult to predict the effect of synonymous mutations on protein folding and cellular fitness due to a scarcity of relevant data. Thus, the purpose of this work was to assess the effect of synonymous mutations in discrete regions of the gene that encodes the highly-expressed enzyme 3-phosphoglycerate kinase 1 (pgk1) in the fission yeast Schizosaccharomyces pombe. ResultsBy means of systematic replacement of synonymous codons along pgk1, we found slightly-altered protein folding and activity in a region-specific manner. However, alterations in protein aggregation, heat stress as well as changes in proteasome activity occurred independently of the mutated region. Concomitantly, reduced mRNA levels of the chaperones Hsp9 and Hsp16 were observed. ConclusionTaken together, these data suggest that codon usage bias of the gene encoding this highly-expressed protein is an important regulator of protein function and proteostasis.</t>
  </si>
  <si>
    <t>Katz, Assaf/K-7130-2018; Levican, Gloria/R-5191-2019</t>
  </si>
  <si>
    <t>Katz, Assaf/0000-0001-5481-7399</t>
  </si>
  <si>
    <t>JAN 11</t>
  </si>
  <si>
    <t>10.3389/fmicb.2022.1074741</t>
  </si>
  <si>
    <t>WOS:000920074700001</t>
  </si>
  <si>
    <t>Maquieira, C; Espinosa-Méndez, C</t>
  </si>
  <si>
    <t>Maquieira, Carlos; Espinosa-Mendez, Christian</t>
  </si>
  <si>
    <t>Herding behavior in the Chinese stock market and the impact of COVID-19</t>
  </si>
  <si>
    <t>ESTUDIOS DE ECONOMIA</t>
  </si>
  <si>
    <t>We analyze herding behavior in the Chinese stock markets in the context of the COVID-19 pandemic using the cross-sectional absolute deviation (CSAD) model proposed by Chang et al. (2000) to detect herding behavior in the time period between January 30, 2001, and June 12, 2020. We consider stock prices for all firms listed (A-shares) on the Shanghai Stock Exchange (SHSE) and Shenzhen Stock Exchange (SZSE) in China. We report the presence of herding behavior during the period under study and that herding behavior becomes stronger after December 31, 2019 (the COVID-19 event date). We also study herding activity in the context of potential asymmetries in market return and volatility states. The results show that when the market return is high and the volatility is low, there is a more predominant herding behavior trend. Our results do not depend on using different time windows. Results do not change when time-varying coefficients are considered using rolling regressions. Other control variables which may be relevant in explaining CSAD do not change the results when included in the estimations.</t>
  </si>
  <si>
    <t>Maquieira, Carlos/ISB-9473-2023; Espinosa-Méndez, Christian/G-5177-2019</t>
  </si>
  <si>
    <t>0718-5286</t>
  </si>
  <si>
    <t>WOS:000955847300004</t>
  </si>
  <si>
    <t>Mella-Torres, A; Escobar, A; Barrera-Avalos, C; Vargas-Salas, S; Pirazzoli, M; Gonzalez, U; Valdes, D; Rojas, P; Luraschi, R; Vallejos-Vidal, E; Imarai, M; Sandino, AM; Reyes-Lopez, FE; Vera, R; Acuna-Castillo, C</t>
  </si>
  <si>
    <t>Mella-Torres, Andrea; Escobar, Alejandro; Barrera-Avalos, Carlos; Vargas-Salas, Sergio; Pirazzoli, Michelle; Gonzalez, Ulises; Valdes, Daniel; Rojas, Patricio; Luraschi, Roberto; Vallejos-Vidal, Eva; Imarai, Monica; Sandino, Ana Maria; Reyes-Lopez, Felipe E.; Vera, Rodrigo; Acuna-Castillo, Claudio</t>
  </si>
  <si>
    <t>Epidemiological characteristics of Omicron and Delta SARS-CoV-2 variant infection in Santiago, Chile</t>
  </si>
  <si>
    <t>The variant of concern (VOC) SARS-CoV-2 Omicron (B.1.1529) has been described as a highly contagious variant but less virulent than the current variant being monitored (VBM) Delta (B.1.617.2), causing fewer cases of hospitalizations, symptomatology, and deaths associated with COVID-19 disease. Although the epidemiological comparison of both variants has been previously reported in other countries, no report indicates their behavior and severity of infection in Chile. In this work, we report for the first time the effect of the Omicron and Delta variants in a cohort of 588 patients from the Hospital de Urgencia Asistencia publica (HUAP), a high-complexity health center in Santiago, Chile. This report is framed at the beginning of Chile's third wave of the COVID-19 pandemic, with a marked increase in the Omicron variant and a decrease in the circulating Delta variant. Our results indicated a similar proportion of patients with a complete vaccination schedule for both variants. However, the Delta variant was associated with a higher prevalence of hospitalization and more significant symptomatology associated with respiratory distress. On the other hand, our data suggest that vaccination is less effective in preventing infection by the Omicron variant. This antecedent, with a low severity but high contagiousness, suggests that the Omicron variant could even collapse the primary health care service due to the high demand for health care.</t>
  </si>
  <si>
    <t>Luraschi, Roberto/AAI-7965-2021; Acuña-Castillo, Claudio/AAI-7090-2021; Rojas, Patricio/ISS-1091-2023; Reyes-López, Felipe/S-1760-2018; Vera, Rodrigo/KIJ-9518-2024; Escobar, Alejandro/I-2775-2013; Vallejos-Vidal, Eva/R-9606-2019</t>
  </si>
  <si>
    <t>Luraschi, Roberto/0000-0001-5611-4320; Vallejos-Vidal, Eva/0000-0002-3091-2700; Reyes-Lopez, Felipe E./0000-0002-5001-457X; Vera Garcia, Rodrigo E./0000-0001-9032-7194</t>
  </si>
  <si>
    <t>10.3389/fpubh.2022.984433</t>
  </si>
  <si>
    <t>WOS:000880070500001</t>
  </si>
  <si>
    <t>Qobbi, H; Zoulagh, T; Barbosa, KA; Hmamed, A; Boukili, B; Chaibi, N</t>
  </si>
  <si>
    <t>Qobbi, H.; Zoulagh, T.; Barbosa, K. A.; Hmamed, A.; Boukili, B.; Chaibi, N.</t>
  </si>
  <si>
    <t>Robust H∞ observer-controller for 2-D FMII systems with the protocol of Round-Robin and randomly occurring uncertainties</t>
  </si>
  <si>
    <t>2022 10TH INTERNATIONAL CONFERENCE ON SYSTEMS AND CONTROL (ICSC)</t>
  </si>
  <si>
    <t>International Conference on Systems and Control</t>
  </si>
  <si>
    <t>10th International Conference on Systems and Control (ICSC)</t>
  </si>
  <si>
    <t>NOV 23-25, 2022</t>
  </si>
  <si>
    <t>Aix Marseille Univ, Marseille, FRANCE</t>
  </si>
  <si>
    <t>IEEE,IEEE Control Syst Soc,Aix Marseille Univ, Lab Informatique &amp; Syst</t>
  </si>
  <si>
    <t>Aix Marseille Univ</t>
  </si>
  <si>
    <t>An H-infinity state observer-controller for the two-dimensional system Marchesini-Fornasini second model (FMII) is addressed by considering the Round-Robin (R-R) protocol based on the quantization process. Additionally, the under-consideration system features uncertainties of norm-bounded type, which are managed by two stochastic variables fulfilling the Bernoulli distribution. The R-R protocol is a sort of static scheduling, it grants communication access rights to sensors in chronological order. The objective of this letter is to design an H-infinity observer-controller that guarantees the mean square stability of the 2-D error system. Sufficient conditions are derived for H-infinity performance analysis and design by involving some auxiliary variables that lead to reduced conservatism. Thereafter, a linear matrix inequality is proposed to allow a one-step design of the observer-controller gains. In the end, an illustrative example borrowed from literature is suggested to highlight the efficiency of the proposed approach.</t>
  </si>
  <si>
    <t>Zoulagh, Taha/AAT-5521-2020; Barbosa, Karina/A-2236-2014</t>
  </si>
  <si>
    <t>Zoulagh, Taha/0000-0003-4796-2744; Barbosa, Karina A./0000-0001-7183-2662</t>
  </si>
  <si>
    <t>2379-0059</t>
  </si>
  <si>
    <t>978-1-6654-6507-6</t>
  </si>
  <si>
    <t>10.1109/ICSC57768.2022.9993896</t>
  </si>
  <si>
    <t>WOS:000927654200081</t>
  </si>
  <si>
    <t>Vega, CR; Pina, JC; Bosco, E; Flores, EIS; Guzman, CF; Yanez, SJ</t>
  </si>
  <si>
    <t>Vega, Carlos Rojas; Pina, Juan Carlos; Bosco, Emanuela; Flores, Erick I. Saavedra; Guzman, Carlos F.; Yanez, Sergio J.</t>
  </si>
  <si>
    <t>Thermo-mechanical analysis of wood through an asymptotic homogenisation approach</t>
  </si>
  <si>
    <t>CONSTRUCTION AND BUILDING MATERIALS</t>
  </si>
  <si>
    <t>In the last decades the use of wood as a construction material has been steadily increasing. Among the main reasons behind this, are its renewable resource nature and its low environmental footprint. In this context, one of the main challenges faced by engineers during the design process is the knowledge and characterization of wood's thermo-mechanical properties. This is related to the large morphological variations present at the microstructural level, that lead to a wide scatter of the macroscopic properties. To circumvent this issue, in this work a multiscale modelling strategy based on asymptotic homogenisation is proposed. The model is based on the hierarchical nature of wood and incorporates the three material scales generally identified in soft woods: (i) the microfibril scale, (ii) the wood cell scale, and (iii) the growth ring scale. The effective thermomechanical macroscopic properties are obtained by sequentially applying the homogenisation procedure from the microfibril scale all the way up to the macroscopic scale. The model is employed here to investigate the thermo-mechanical response of radiata pine grown in Chile. To determine values of the microstructural parameters that yield macroscopic properties consistent with those observed experimentally, a parameter identification strategy is proposed. The latter considers four elements: an existing experimental database on timber boards density and bending tests, the multiscale model, a timber board bending test finite element model and a genetic algorithm for the optimization procedure. With the resulting microstructural parameters the model is then used to estimate the effective elastic, thermal, and thermo-mechanical properties of radiata pine wood. When compared with measured experimental data and typical experimental values found in the literature, the numerical estimates demonstrate the model predicting capabilities.</t>
  </si>
  <si>
    <t>Pina, Juan/AAC-3455-2021; Yanez, Sergio/G-5230-2019; Flores, Erick/I-7646-2012; Bosco, Emanuela/N-3626-2015; Guzman, Carlos Felipe/D-7722-2013</t>
  </si>
  <si>
    <t>Bosco, Emanuela/0000-0003-1985-2150; Guzman, Carlos Felipe/0000-0002-5537-3854; Pina, Juan Carlos/0000-0003-2556-3638; Rojas Vega, Carlos Alberto/0000-0002-3350-2125; Yanez, Sergio/0000-0002-8856-0955</t>
  </si>
  <si>
    <t>0950-0618</t>
  </si>
  <si>
    <t>1879-0526</t>
  </si>
  <si>
    <t>10.1016/j.conbuildmat.2021.125617</t>
  </si>
  <si>
    <t>DEC 2021</t>
  </si>
  <si>
    <t>WOS:000740146400002</t>
  </si>
  <si>
    <t>Vidal, JEV; Campos, DA; Bauer, DD; Muñoz, DA</t>
  </si>
  <si>
    <t>Vergara Vidal, Jorge Eduardo; Alvarez Campos, Daniela; Dintrans Bauer, Denisse; Asenjo Munoz, Diego</t>
  </si>
  <si>
    <t>CORVI, RATIONALIZED HOUSING TYPOLOGIES: AN EXERCISE IN STANDARDIZATION</t>
  </si>
  <si>
    <t>ARQUITECTURAS DEL SUR</t>
  </si>
  <si>
    <t>The social housing designed by the teams of the Corporacion de la Vivienda (CORVI) constitutes a material presence of enormous influence within Chilean society and within the community of architectural practices. This paper observes the work of these teams, by analyzing the information contained in the CORVI document called Tipologias de viviendas racionalizadas 1966-1972 (Rationalized Housing Typologies 1966-1972), which provides data on the shapes, dimensions, materials, and programs of eighteen housing typologies developed by the design teams between 1966 and 1971. Not all of these prototypes were built, but as a whole, it shows how the idea of social housing rationalization was conceived, and how it became an exercise in standardization, based on typologies, from which it is possible to learn both the forms of order and layout of everyday life that they propose, along with the interpretative flexibility used in their communication.</t>
  </si>
  <si>
    <t>0716-2677</t>
  </si>
  <si>
    <t>0719-6466</t>
  </si>
  <si>
    <t>10.22320/07196466.2021.39.059.07</t>
  </si>
  <si>
    <t>WOS:000670226000008</t>
  </si>
  <si>
    <t>Neira, S; Pereda, J; Rojas, F</t>
  </si>
  <si>
    <t>Neira, Sebastian; Pereda, Javier; Rojas, Felix</t>
  </si>
  <si>
    <t>Three-Port Full-Bridge Bidirectional Converter for Hybrid DC/DC/AC Systems</t>
  </si>
  <si>
    <t>IEEE TRANSACTIONS ON POWER ELECTRONICS</t>
  </si>
  <si>
    <t>Sustainable solutions such as renewable energies, distributed generation, energy storage, and electric vehicles require power conversion and advance control techniques. This process is usually done in two stages by more than one power converter, specially in hybrid systems, increasing power losses and costs. The configuration with two dc stages and one ac port is widely used in several applications, such as grid-connected photovoltaic inverters; fuel cells, hybrid and electric vehicles; and ac/dc microgrids. Thus, three-port topologies have been developed to operate such systems, most of them comprising multiple power processing stages for the connection of the different elements. This article proposes a three-port full-bridge converter with a single power processing stage for dc/dc/ac systems. The ac port can be single-phase or three-phase, using two legs like an H-bridge or three legs like the conventional three-phase inverter. In both configurations, each leg is used as an inverter and as a buck-boost converter at the same time. The converter is able to manage the power flow among three ports with just four or six switches through a multivariable control strategy. Simulation and experimental results show the capability of the converter to manage the interaction between a battery and a capacitor connected to the grid achieving a fast dynamic response, bidirectional capability in all ports and reduction of components.</t>
  </si>
  <si>
    <t>Rojas, Felix/U-3305-2019; Neira, Sebastián/AAB-2381-2021; Pereda Torres, Javier/F-8244-2013</t>
  </si>
  <si>
    <t>Pereda Torres, Javier/0000-0002-3407-5233; Neira, Sebastian/0000-0001-6411-5892; Rojas, Felix/0000-0001-6145-2826</t>
  </si>
  <si>
    <t>0885-8993</t>
  </si>
  <si>
    <t>1941-0107</t>
  </si>
  <si>
    <t>10.1109/TPEL.2020.2990667</t>
  </si>
  <si>
    <t>WOS:000557436900048</t>
  </si>
  <si>
    <t>Valdés, N; Gonzalez, A; Garcia, V; Tello, M</t>
  </si>
  <si>
    <t>Valdes, Natalia; Gonzalez, Alex; Garcia, Veronica; Tello, Mario</t>
  </si>
  <si>
    <t>Analysis of the Microbiome of Rainbow Trout (Oncorhynchus mykiss) Exposed to the Pathogen Flavobacterium psychrophilum 10094</t>
  </si>
  <si>
    <t>MICROBIOLOGY RESOURCE ANNOUNCEMENTS</t>
  </si>
  <si>
    <t>Rainbow trout that were resistant or susceptible to Flavobacterium psychrophilum infection were compared with respect to their microbial composition by using 16S rRNA V3-V4 sequencing. The differences occurred in gills, where resistant fish displayed a greater abundance of the phylum Proteobacteria and a smaller proportion of Firmicutes relative to those of susceptible fish.</t>
  </si>
  <si>
    <t>Valdes, Natalia/AAI-8151-2021; García, Verónica/AAM-1175-2021; González, Alex/GYU-3220-2022; Tello, Mario/N-4198-2019</t>
  </si>
  <si>
    <t>valdes parra, Natalia/0000-0002-6884-7799; Tello, Mario/0000-0003-4573-6460</t>
  </si>
  <si>
    <t>2576-098X</t>
  </si>
  <si>
    <t>e01562-19</t>
  </si>
  <si>
    <t>10.1128/MRA.01562-19</t>
  </si>
  <si>
    <t>WOS:000521129100016</t>
  </si>
  <si>
    <t>Calvo, E; Negretto, G</t>
  </si>
  <si>
    <t>Brinks, DM; Levitsky, S; Murillo, MV</t>
  </si>
  <si>
    <t>Calvo, Ernesto; Negretto, Gabriel</t>
  </si>
  <si>
    <t>When (Electoral) Opportunity Knocks Weak Institutions, Political Shocks, and Electoral Reforms in Latin America</t>
  </si>
  <si>
    <t>POLITICS OF INSTITUTIONAL WEAKNESS IN LATIN AMERICA</t>
  </si>
  <si>
    <t>Negretto, Gabriel/MIP-0759-2025</t>
  </si>
  <si>
    <t>978-1-108-70233-1; 978-1-108-48933-1</t>
  </si>
  <si>
    <t>10.1017/9781108776608</t>
  </si>
  <si>
    <t>WOS:000649832500002</t>
  </si>
  <si>
    <t>Devés, E; Alvarez, ST</t>
  </si>
  <si>
    <t>Deves, Eduardo; Alvarez, Silvia T.</t>
  </si>
  <si>
    <t>International and world problems from Latin American thought. Theories, Schools, Concepts, Doctrines, Figures</t>
  </si>
  <si>
    <t>WOS:000608865900001</t>
  </si>
  <si>
    <t>Gallegos, CA; Henríquez, HR; Mesquita, JG</t>
  </si>
  <si>
    <t>Gallegos, Claudio A.; Henriquez, Hernan R.; Mesquita, Jaqueline G.</t>
  </si>
  <si>
    <t>Growth of solutions for measure differential equations and dynamic equations on time scales</t>
  </si>
  <si>
    <t>In this paper, we investigate the asymptotic behavior for measure differential equations and dynamic equations on time scales via generalized ordinary differential equations (generalized ODEs, for short). At first, we establish new results that guarantee the existence of unbounded solutions for generalized ODEs, and after that, using the known correspondence between generalized ODEs and measure differential equations, also between measure differential equations and dynamic equations on time scales, we obtain similar results for these equations. Finally, we present an application to illustrate our main results. (C) 2019 Elsevier Inc. All rights reserved.</t>
  </si>
  <si>
    <t>Mesquita, Jaqueline/A-2356-2012</t>
  </si>
  <si>
    <t>Gallegos, Claudio A./0000-0002-6410-8470</t>
  </si>
  <si>
    <t>10.1016/j.jmaa.2019.06.059</t>
  </si>
  <si>
    <t>WOS:000480510700045</t>
  </si>
  <si>
    <t>Plaza, A; Tapia, X; Yañez, C; Vilches, F; Candia, O; Cabezas, R; Romero, J</t>
  </si>
  <si>
    <t>Plaza, Andrea; Tapia, Ximena; Yanez, Camila; Vilches, Fernanda; Candia, Oscar; Cabezas, Rene; Romero, Julio</t>
  </si>
  <si>
    <t>Obtaining Hydroxytyrosol from Olive Mill Waste Using Deep Eutectic Solvents and Then Supercritical CO2</t>
  </si>
  <si>
    <t>The main objective of this study was to recover hydroxytyrosol from olive mill waste (olive leaves and a semi-solid waste with a 65-75% of humidity called alperujo). The recovery process involved solid-liquid extractions using two hydrophilic deep eutectic solvents (DESs), CIS-DES (a 1:1 mixture of choline chloride and citric acid) and Etagline (a 1:2 mixture of choline chloride and ethylene glycol). The results achieved using this non-conventional process was compared with the results achieved using conventional solid-liquid extraction processes using ethanol, methanol, and water. The extraction ratio (R) achieved using Etagline DES was 11.4 times higher than the R achieved using methanol. The hydroxytyrosol extraction efficiencies were higher when using the selected DESs than using methanol, under the same working conditions. On the other hand, with the use of DES it is possible to obtain similar extraction efficiencies to those obtained with organic solvents, but using 75% less extraction phase, when DESs were used instead of methanol. The DES extraction processes gave high re-extraction capacities when supercritical CO(2)was used as a stripping phase. The highest pure hydroxytyrosol extraction efficiency, 80%, was achieved using Etagline and supercritical CO(2)re-extraction at a pressure and temperature close to the critical values. The results suggest that DES is an efficient, safe, and sustainable alternative to methanol for extracting bioactive compounds from olive mill waste and that DES extraction combined with supercritical CO(2)extraction can be classed as a green process.</t>
  </si>
  <si>
    <t>Romero, Julio/I-6705-2013; Cabezas, Rene/AAY-2094-2020</t>
  </si>
  <si>
    <t>Romero, Julio/0000-0002-1229-1592; Cabezas, Rene/0000-0002-4162-3429; Plaza, Andrea/0000-0001-9475-007X</t>
  </si>
  <si>
    <t>10.1007/s12649-019-00836-1</t>
  </si>
  <si>
    <t>OCT 2019</t>
  </si>
  <si>
    <t>WOS:000541856900002</t>
  </si>
  <si>
    <t>Seguel, F; Krommenacker, N; Charpentier, P; Soto, I</t>
  </si>
  <si>
    <t>Seguel, Fabian; Krommenacker, Nicolas; Charpentier, Patrick; Soto, Ismael</t>
  </si>
  <si>
    <t>A novel range free visible light positioning algorithm for imaging receivers</t>
  </si>
  <si>
    <t>OPTIK</t>
  </si>
  <si>
    <t>In this paper a novel 2-D range free visible light positioning algorithm for imaging receivers is presented. Its performance is obtained by computational simulation. For doing this, an heterogeneous visible light communications network inside a room of dimensions 3 x 3 x 3 m is modelled in MATLAB. A receiver's height localization interest zone between 1 and 1.5 m is considered for simulation. Moreover, different field of view angles at the receiver side ranging from 40 degrees to 120 degrees are used in order to measure the behaviour of our proposed algorithm to changes on detector parameters. Optimal detector architecture that minimizes the error of position estimation is identified and used as case of study. Our method overcomes the traditional convex position estimation (CPE) in terms of accuracy, in all proposed scenarios. The combination of convex polygon positioning (CPP) method and imaging detectors at the receiver side increases the accuracy of position estimation and, robustness to changes in receiver's height. Field of view angles have low impact on method performance when four photodetectors are used. Effect of mismatches in height measurement, filling and rotation angles is also analysed.</t>
  </si>
  <si>
    <t>Seguel, Fabian/ABC-4765-2020; Krommenacker, Nicolas/IAR-4851-2023</t>
  </si>
  <si>
    <t>Seguel, Fabian/0000-0001-6567-8988; Soto, Ismael/0000-0002-5501-5651</t>
  </si>
  <si>
    <t>0030-4026</t>
  </si>
  <si>
    <t>1618-1336</t>
  </si>
  <si>
    <t>10.1016/j.ijleo.2019.163028</t>
  </si>
  <si>
    <t>WOS:000494477600005</t>
  </si>
  <si>
    <t>Hermosilla-Ibáñez, P; Wrighton-Araneda, K; Cañón-Mancisidor, W; Gutiérrez-Cutiño, M; Paredes-García, V; Venegas-Yazigi, D</t>
  </si>
  <si>
    <t>Hermosilla-Ibanez, Patricio; Wrighton-Araneda, Kerry; Canon-Mancisidor, Walter; Gutierrez-Cutino, Marlen; Paredes-Garcia, Veronica; Venegas-Yazigi, Diego</t>
  </si>
  <si>
    <t>Substitution Effect on the Charge Transfer Processes in Organo-Imido Lindqvist-Polyoxomolybdate</t>
  </si>
  <si>
    <t>Two new aromatic organo-imido polyoxometalates with an electron donor triazole group ([n-Bu4N](2)[Mo6O18NC6H4N3C2H2]) (1) and a highly conjugated fluorene ([n-Bu4N](2)[Mo6O18NC13H9]) (2) have been obtained. The electrochemical and spectroscopic properties of several organo-imido systems were studied. These properties were analysed by the theoretical study of the redox potentials and by means of the excitation analysis, in order to understand the effect on the substitution of the organo-imido fragment and the effect of the interaction to a metal centre. Our results show a bathochromic shift related to the charge transfer processes induced by the increase of the conjugated character of the organic fragment. The cathodic shift obtained from the electrochemical studies reflects that the electronic communication and conjugation between the organic and inorganic fragments is the main reason of this phenomenon.</t>
  </si>
  <si>
    <t>Venegas-Yazigi, Diego/C-5022-2009; Wrighton-Araneda, Kerry Jeffry/X-2381-2019; Canon-Mancisidor, Walter/K-8764-2014; Paredes-Garcia, Veronica/C-4415-2011; Hermosilla-Ibanez, Patricio/Y-7454-2018</t>
  </si>
  <si>
    <t>Venegas-Yazigi, Diego/0000-0001-7816-2841; Gutierrez Cutino, Marlen/0000-0001-6839-6353; Wrighton-Araneda, Kerry Jeffry/0000-0003-4872-8976; Canon-Mancisidor, Walter/0000-0003-1703-8729; Paredes-Garcia, Veronica/0000-0002-7537-7430; Hermosilla-Ibanez, Patricio/0000-0002-2272-9690</t>
  </si>
  <si>
    <t>10.3390/molecules24010044</t>
  </si>
  <si>
    <t>WOS:000457150200044</t>
  </si>
  <si>
    <t>Corona-Esquivel, R; Levresse, G; Solé, J; Henriquez, F; Pi, T</t>
  </si>
  <si>
    <t>Corona-Esquivel, Rodolfo; Levresse, Gilles; Sole, Jesus; Henriquez, Fernando; Pi, Teresa</t>
  </si>
  <si>
    <t>New age in the geological evolution of the Cerro de Mercado Iron Oxide Apatite deposit, Mexico: Implication in the Durango apatite standard (DAP) age variability</t>
  </si>
  <si>
    <t>JOURNAL OF SOUTH AMERICAN EARTH SCIENCES</t>
  </si>
  <si>
    <t>Cerro de Mercado Iron Oxide Apatite deposit (CM-IOA) is known as a classical example of an IOA deposit worldwide and is also probably the most prolific locality in terms of gem-quality fluorapatite. The CM-IOA deposit is located in the Chupaderos Caldera Complex (CCC), a large rhyolitic volcanic center belonging to the Upper Volcanic Supergroup of Oligocene age. The main Cerro de Mercado IOA mineralization body is crosscut by a kilometer long rhyodacite dyke that acted as channelway for the rhyodacite flow. The rhyodacite dyke crosscuts all the volcanic sequence. K-Ar ages of this dyke range from ca. 28 to 27 Ma. Apatite in the Cerro de Mercado deposit appears in two different positions, (1) altered crystals intergrown with martite within massive mineralization, with or without diopside; and (2) on martite in degassing cavities and fracture zones, with accompanying chalcedony and calcite. Crystallization of the apatite phase was complete prior to the eruption of the overlying felsic flows of the Tinaja Member of the Cacaria Formation at ca. 31.44 Ma and preserve of potential late thermal event (McDowell et al., 2005). The mean ages reported by numerous and different isotopic methods for the fluorapatite DAP are coincident within the margins of uncertainty with the volcanic host rocks ages. But DAP ages reported present a significant variability of up to 8%. Such variability is also found in all dating technics applied in Durango Apatite (fission-track, U/Pb and (U-Th)/He ages) and suggest a thermal resetting related to the late volcanic event at 28-27 Ma.</t>
  </si>
  <si>
    <t>Viñas, Jesús/A-7688-2012; levresse, gilles/AAD-9580-2022; Henriquez, Fernando/C-9830-2009</t>
  </si>
  <si>
    <t>levresse, gilles/0000-0001-9290-9825</t>
  </si>
  <si>
    <t>0895-9811</t>
  </si>
  <si>
    <t>10.1016/j.jsames.2018.09.014</t>
  </si>
  <si>
    <t>WOS:000452946100026</t>
  </si>
  <si>
    <t>Bohle, SAL; Chambel, MJ; Medina, FM; Da Cunha, BS</t>
  </si>
  <si>
    <t>Lopez Bohle, Sergio Andres; Chambel, Maria Jose; Munoz Medina, Felipe; Silva Da Cunha, Bruno</t>
  </si>
  <si>
    <t>The role of perceived organizational support in job insecurity and performance</t>
  </si>
  <si>
    <t>RAE-REVISTA DE ADMINISTRACAO DE EMPRESAS</t>
  </si>
  <si>
    <t>In this study, we develop a conceptual model of the relationship between job insecurity and job performance, which is mediated by affective organizational commitment and moderated via perceived organizational support in a Chilean company that has undergone downsizing. In this cross-sectional study, we focused on 400 Chilean employees from the retail sector. Our findings indicate that job insecurity negatively influences job performance, which is a relationship that is partially mediated by effective organizational commitment. Moreover, a high level of perceived organizational support helped intensify the effects of the relationship between job insecurity and affective organizational commitment. To minimize the negative effects of job insecurity on the active employees of a downsizing strategy, an effective intervention is required by developing a more realistic communication in terms of a worker's expectations toward the organization.</t>
  </si>
  <si>
    <t>Bohle, Sergio/P-7698-2014; Medina, Felipe/AAN-4304-2021; Chambel, Maria Jose/F-3366-2016</t>
  </si>
  <si>
    <t>Munoz Medina, Felipe/0000-0002-0425-2067; Chambel, Maria Jose/0000-0001-6588-7034; Lopez Bohle, Sergio/0000-0002-6202-4089</t>
  </si>
  <si>
    <t>2178-938X</t>
  </si>
  <si>
    <t>10.1590/S0034-759020180405</t>
  </si>
  <si>
    <t>WOS:000440864400005</t>
  </si>
  <si>
    <t>Radich, J; Alvarez, C; Valenzuela, A; Castillo, F; Moraga, F; Castillo, J</t>
  </si>
  <si>
    <t>Radich R, Jasna; Alvarez Z, Carlos; Valenzuela R, Ana; Castillo H, Felipe; Moraga, Francisco, V; Castillo A, Jorge</t>
  </si>
  <si>
    <t>Role of surgery in Saprochaete capitata (S. capitata) sepsis in a patient with acute myeloid leukemia</t>
  </si>
  <si>
    <t>Saprochaete capitata (S. capitata) fungal sepsis is a severe condition with a clinical presentation that is similar to other yeast originated fungal sepsis. It is observed in patients with hematological malignancies such as acute myeloid leukemia and neutropenia. We report a 23 year old male presenting with cough, fever and malaise. A bone marrow biopsy led to the diagnosis of acute myeloid leukemia. During the first cycle of chemotherapy the patient presented fever: blood cultures were positive for Klebsiella pneumoniae. Despite antimicrobial treatment, fever persisted; a computed tomography showed a focal splenic lesion; a left exudative pleural effusion appeared. A Matrix Assisted Laser Desorption Ionization-Time of Flight mass spectrometry identified the presence of S. capitata. After multiple antifungal treatments and pleural cavity cleansing by means of videothoracoscopy and laparoscopic splenectomy, the infection resolved and the patient completed his chemotherapy.</t>
  </si>
  <si>
    <t>Moraga, Francisco/ABA-2911-2020; Valenzuela-Garcia, Jesus/L-2982-2017; Alvarez, Carlos/B-7652-2019</t>
  </si>
  <si>
    <t>10.4067/s0034-98872017000801067</t>
  </si>
  <si>
    <t>WOS:000413293700014</t>
  </si>
  <si>
    <t>Iturralde, D; Seguel, F; Soto, I; Azurdia, C; Khan, S</t>
  </si>
  <si>
    <t>Iturralde, D.; Seguel, F.; Soto, I.; Azurdia, C.; Khan, S.</t>
  </si>
  <si>
    <t>A new VLC System for Localization in Underground Mining Tunnels</t>
  </si>
  <si>
    <t>In this paper we present a new system that uses new technology that has the ability to transmit data using light emitting diodes (LED) and a photodetector (PD) capable of sensing very soft changes of light. The system developed in conjunction with the trilateration technique can be used for localizing personnel as well as machinery in underground mining tunnels. Simulations are performed, and comparisons are made with other well-known techniques in terms of the location estimation error. Overall, it is shown that the proposed system is a viable option for localization in underground mining tunnels.</t>
  </si>
  <si>
    <t>Seguel, Fabian/ABC-4765-2020; Meza, Cesar/D-6948-2014; Khan, Muhammad Salman/HLQ-7467-2023</t>
  </si>
  <si>
    <t>Khan, Muhammad Salman/0000-0001-9709-8179; Seguel, Fabian/0000-0001-6567-8988; Iturralde, Daniel/0000-0003-2134-0453; Soto, Ismael/0000-0002-5501-5651</t>
  </si>
  <si>
    <t>10.1109/TLA.2017.7896341</t>
  </si>
  <si>
    <t>WOS:000399728300002</t>
  </si>
  <si>
    <t>Marín, R; Martínez, P; Cornejo, JP; Díaz, B; Peralta, J; Tala, A; Rojas, G</t>
  </si>
  <si>
    <t>Marin, Rigoberto; Martinez, Pablo; Cornejo, Juan P.; Diaz, Berta; Peralta, Jose; Tala, Alvaro; Rojas, Graciela</t>
  </si>
  <si>
    <t>Chile: Acceptability of a Training Program for Depression Management in Primary Care</t>
  </si>
  <si>
    <t>Background: In Chile, there are inconsistencies in the management of depression in primary care settings, and the National Depression Program, currently in effect, was implemented without a standardized training program. The objective of this study is to evaluate the acceptability of a training program on the management of depression for primary care health teams. Methods: The study was a randomized controlled trial, and two primary centers from the Metropolitan Region of Santiago were randomly selected to carry out the intervention training program. Pre-post surveys were applied, to evaluate expectations and satisfaction with the intervention, respectively. Descriptive and content analysis was carried out. Result: The sample consisted of 41 health professionals, 56.1% of who reported that their expectations for the intervention were met. All of the training activities were evaluated with scores higher than 6.4 (on a 1-7 scale). The trainers, the methodology, and the learning environment were considered strengths and facilitators of the program, while the limited duration of the training, the logistical problems faced during part of the program, and the lack of educational material were viewed as weaknesses. Conclusion: The intervention was well accepted by primary health care teams. However, the clinical impact in patients still has to be evaluated.</t>
  </si>
  <si>
    <t>Martinez, Pablo/0000-0003-4482-7993</t>
  </si>
  <si>
    <t>JUN 6</t>
  </si>
  <si>
    <t>10.3389/fpsyg.2016.00853</t>
  </si>
  <si>
    <t>WOS:000377075300001</t>
  </si>
  <si>
    <t>Castro, SA; Figueroa, JA; Escobedo, V</t>
  </si>
  <si>
    <t>Castro, Sergio A.; Figueroa, Javier A.; Escobedo, Victor</t>
  </si>
  <si>
    <t>Effect of the harvest year and cultivation temperature on the germination of Hirschfeldia incana (Brassicaceae): inferences on its invasiveness in Chile</t>
  </si>
  <si>
    <t>BRAZILIAN JOURNAL OF BOTANY</t>
  </si>
  <si>
    <t>The hoary mustard (Hirschfeldia incana (L.) Lagr.-Foss.) is a recently alien weed in Chile, recording a rapid increase in local abundance and spread. This species is distributed mainly on urban ecosystems, and field observations suggest that seed germination may have a key role to understanding its population persistence. In this line, it has been suggested that a successful germination strategy for weeds is to have both persistent seeds in the soil as rapidly germinable seeds, extending the ability to germinate over time. We evaluated germination of seeds of H. incana according to different harvest years (2010, 2011, and 2012), searching to understand how harvest time affects seed germination. For this proposal, seeds were cultivated at different temperatures (eight levels between 5 and 40 degrees C), covering a wide thermal gradient. Our results showed a lower germination percentage (43 %) in seed harvested in 2012 compared to the harvested in 2010 and 2011 (both cases &gt;60 %), supporting that Hirschfeldia delay seed germination but keeping a seed stock able to germinate the same year in which were produced. The maximum germination percentage (&gt;80 %) occurred with temperatures between 20 and 35 degrees C, and germination did not occur at 5 degrees C. These results suggest that temperature is not limiting the geographical spread of H. incana in Chile, as temperatures &lt;5 degrees C are unusual. Thus, we expect that H. incana may increase its local abundance and latitudinal spread, if appropriate measures are not taken in Chile.</t>
  </si>
  <si>
    <t>Figueroa, Javier/I-3451-2019; Escobedo, Víctor/AAV-9690-2021</t>
  </si>
  <si>
    <t>Escobedo, Victor/0000-0003-2673-3803</t>
  </si>
  <si>
    <t>0100-8404</t>
  </si>
  <si>
    <t>1806-9959</t>
  </si>
  <si>
    <t>10.1007/s40415-015-0237-8</t>
  </si>
  <si>
    <t>WOS:000373897100020</t>
  </si>
  <si>
    <t>Cárdenas, VH; Cruz, N; Villanueva, R</t>
  </si>
  <si>
    <t>Cardenas, Victor H.; Cruz, Norman; Villanueva, R.</t>
  </si>
  <si>
    <t>Testing a dissipative kinetic k-essence model</t>
  </si>
  <si>
    <t>In this work, we present a study of a purely kinetic k-essence model, characterized basically by a parameter alpha in presence of a bulk dissipative term, whose relationship between viscous pressure Pi and energy density rho of the background follows a polytropic type law, Pi alpha rho(lambda+1/2), where lambda, in principle, is a parameter without restrictions. Analytical solutions for the energy density of the k-essence field are found in two specific cases: lambda = 1/2 and lambda = (1 - alpha)/2 alpha, and then we show that these solutions possess the same functional form as the non-viscous counterpart. Finally, both approaches are contrasted with observational data from type Ia supernova, and the most recent Hubble parameter measurements, and therefore, the best values for the parameters of the theory are found.</t>
  </si>
  <si>
    <t>Cardenas, Victor/A-5403-2012</t>
  </si>
  <si>
    <t>Cardenas, Victor Hugo/0000-0002-9788-3967</t>
  </si>
  <si>
    <t>APR 9</t>
  </si>
  <si>
    <t>10.1140/epjc/s10052-015-3366-0</t>
  </si>
  <si>
    <t>WOS:000355669300007</t>
  </si>
  <si>
    <t>Alfaro, J; Guzmán, J; García, C; Sirlopú, D; Gaudlitz, L; Oyanedel, J</t>
  </si>
  <si>
    <t>Alfaro, Jaime, I; Guzman P, Javier; Garcia G, Catalina; Sirlopu D, David; Gaudlitz R, Lorraine; Oyanedel S, Juan</t>
  </si>
  <si>
    <t>Psychometric Properties of the Brief Multidimensional Students' Life Satisfaction Scale (BMSLSS) in Chilean Students (10-12 years old)</t>
  </si>
  <si>
    <t>This paper analyzes the psychometric properties of the Brief Multidimensional Students' Life Satisfaction Scale-BMSLSS (Seligson, Huebner and Valois, 2003) in Chilean children. 1096 Chilean students of 10, 11 and 12 years-old participated in the study. Reliability analysis, exploratory factor analysis (EFA), confirmatory factor analysis (CFA) and item correlation with total score were performed. Results show acceptable internal reliability of the scale (alpha = 0.7), a single factor structure of the scale and appropriate item correlation with total score (between 0.55 and 0.73) This study supports the use of the BMSLSS in children in Chile in the school context, and also provides measurement tools for social indicators for children in Spanish-speaking developing countries.</t>
  </si>
  <si>
    <t>Sirlopú, David/GWU-8505-2022; Oyanedel, Juan/V-2833-2019; Guzman, Javier/E-8170-2016</t>
  </si>
  <si>
    <t>Guzman, Javier/0000-0002-8194-039X</t>
  </si>
  <si>
    <t>JAN-MAR</t>
  </si>
  <si>
    <t>WOS:000367989500003</t>
  </si>
  <si>
    <t>Molina, S; Soto, I; Sun, L; Li, KC</t>
  </si>
  <si>
    <t>Li, D; Zheng, D; Shi, J</t>
  </si>
  <si>
    <t>Molina, S.; Soto, I.; Sun, Lily; Li, Kecheng</t>
  </si>
  <si>
    <t>Pervasive Environment for Gases Detection and Collapses in Underground Mines</t>
  </si>
  <si>
    <t>MATERIALS RESEARCH AND APPLICATIONS, PTS 1-3</t>
  </si>
  <si>
    <t>International Conference on Advanced Material and Manufacturing Science (ICAMMS 2012)</t>
  </si>
  <si>
    <t>DEC 20-21, 2012</t>
  </si>
  <si>
    <t>Int Res Assoc Informat &amp; Comp Sci,Sci Technol Press,Beijing Xinyongshun Acad Exchange LTD</t>
  </si>
  <si>
    <t>Safety is an element of extreme priority in mining operations; currently many traditional mining countries are investing in the implementation of wireless sensors capable of detecting risk factors. The objective of this research is to contribute to the implementation of sensors for continuous monitoring inside underground mines providing technical parameters for the design of sensor networks applied in underground coal mines. The analyzed of applying these systems in terms of Benefit, Opportunity, Cost and Risk are discussed. Finally, a dynamic assessment of safety at underground mines it is proposed, this approach offers a contribution to design personalized monitoring networks, the experience developed in coal mines provides a tool that facilitates the application development of technology within underground coal mines.</t>
  </si>
  <si>
    <t>978-3-03785-993-3</t>
  </si>
  <si>
    <t>875-877</t>
  </si>
  <si>
    <t>10.4028/www.scientific.net/AMR.875-877.2056</t>
  </si>
  <si>
    <t>WOS:000339412000371</t>
  </si>
  <si>
    <t>Montaldo, G; Herskovic, P</t>
  </si>
  <si>
    <t>Montaldo L, Gustavo; Herskovic L, Pedro</t>
  </si>
  <si>
    <t>Teaching of clinical reasoning to medical students using prototypical clinical cases</t>
  </si>
  <si>
    <t>Background: Clinical reasoning is the most important competence in the training process of a physician. Aim: To develop a method for teaching clinical reasoning based on prototypes of clinical cases. Material and Methods: The study was conducted on sixty-four third year medical students. The study and control groups attended lectures and tutorial sessions with patients. The study group attended additionally discussion seminars of prototypical clinical cases. A clinical reasoning test was applied at the start and end of the learning period to both groups. At the end of the study, the opinions of students of the study group were collected in a focus group. Results: After the learning period, both groups significantly increased their clinical reasoning skills. However, the improvement in the study group was more than double than that of the control group. The absolute improvement in the study group was 30.9%. Students interviewed in the focus group were unanimous in expressing their satisfaction in each and every aspect discussed. Conclusions: The teaching of clinical reasoning to third year medical students by means of pattern recognition in seminars with clinical cases improved significantly their skills.</t>
  </si>
  <si>
    <t>Montaldo, Gabriel/HMD-8464-2023</t>
  </si>
  <si>
    <t>10.4067/S0034-98872013000700001</t>
  </si>
  <si>
    <t>WOS:000323798900001</t>
  </si>
  <si>
    <t>Laurido, C; Hernández, A; Pelissier, T; Constandil, L</t>
  </si>
  <si>
    <t>Laurido, Claudio; Hernandez, Alejandro; Pelissier, Teresa; Constandil, Luis</t>
  </si>
  <si>
    <t>Antinociceptive Effect of Rat D-Serine Racemase Inhibitors, L-Serine-O-Sulfate, and L-Erythro-3-Hydroxyaspartate in an Arthritic Pain Model</t>
  </si>
  <si>
    <t>SCIENTIFIC WORLD JOURNAL</t>
  </si>
  <si>
    <t>N-methyl-D-aspartic acid receptor (NMDAr) activation requires the presence of D-serine, synthesized from L-serine by a pyridoxal 5'-phosphate-dependent serine racemase (SR). D-serine levels can be lowered by inhibiting the racemization of L-serine. L-serine-O-sulfate (LSOS) and L-erythro-3-hydroxyaspartate (LEHA), among others, have proven to be effective in reducing the D-serine levels in culture cells. It is tempting then to try these compounds in their effectiveness to decrease nociceptive levels in rat arthritic pain. We measured the C-reflex paradigm and wind-up potentiation in the presence of intrathecally injected LSOS (100 mu g/10 mu L) and LEHA (100 mu g/10 mu L) in normal and monoarthritic rats. Both compounds decreased the wind-up activity in normal and monoarthritic rats. Accordingly, all the antinociceptive effects were abolished when 300 mu g/10 mu L of D-serine were injected intrathecally. Since no in vivo results have been presented so far, this constitutes the first evidence that SR inhibitions lower the D-serine levels, thus decreasing the NMDAr activity and the consequent development and maintenance of chronic pain.</t>
  </si>
  <si>
    <t>1537-744X</t>
  </si>
  <si>
    <t>10.1100/2012/279147</t>
  </si>
  <si>
    <t>WOS:000303016000001</t>
  </si>
  <si>
    <t>On a Functional Equation Associated with (a, k)-Regularized Resolvent Families</t>
  </si>
  <si>
    <t>Let a epsilon L-loc(1)(R+) and k epsilon C(R+) be given. In this paper, we study the functional equation R (s) (a (*) R)(t) - (a (*) R)(s)R(t) = k(s) (a (*) R)(t) - k(t) (a (*) R) (s), for bounded operator valued functions R(t) defined on the positive real line R+. We show that, under some natural assumptions on a (.) and k (.), every solution of the above mentioned functional equation gives rise to a commutative (a, k)-resolvent family R (t) generated by Ax = lim(t) (,0+) (R(t)x - k (t)x / (a (*) k) (t)) defined on the domain D(A) := {x epsilon X : lim(t -&gt; 0+) (R(t)x - k (t)x/(a (*) k) (t)) exists in X} and, conversely, that each (a, k)-resolvent family R (t) satisfy the above mentioned functional equation. In particular, our study produces new functional equations that characterize semigroups, cosine operator families, and a class of operator families in between them that, in turn, are in one to one correspondence with the well-posedness of abstract fractional Cauchy problems.</t>
  </si>
  <si>
    <t>10.1155/2012/495487</t>
  </si>
  <si>
    <t>WOS:000307562800001</t>
  </si>
  <si>
    <t>A characterization of periodic solutions for time-fractional differential equations in UMD spaces and applications</t>
  </si>
  <si>
    <t>MATHEMATISCHE NACHRICHTEN</t>
  </si>
  <si>
    <t>We study the fractional differential equation (*) D-alpha u(t) + BD beta u(t) + Au(t) = f(t), 0 &lt;= t &lt;= 2 pi (0 &lt;= beta &lt; alpha &lt;= 2) in periodic Lebesgue spaces L-p (0, 2 pi; X) where X is a Banach space. Using functional calculus and operator valued Fourier multiplier theorems, we characterize, in UMD spaces, the well posedness of (*) in terms of R-boundedness of the sets {(ik)(alpha) ((ik)(alpha) + (ik)(beta) B + A)(-1)}k is an element of Z and {(ik)(beta) B((ik)(alpha) + (ik)(beta) B + A)(-1)}k is an element of Z. Applications to the fractional problems with periodic boundary condition, which includes the time diffusion and fractional wave equations, as well as an abstract version of the Basset-Boussinesq-Oseen equation are treated. (C) 2011 WILEY-VCH Verlag GmbH &amp; Co. KGaA, Weinheim</t>
  </si>
  <si>
    <t>0025-584X</t>
  </si>
  <si>
    <t>1522-2616</t>
  </si>
  <si>
    <t>10.1002/mana.200810158</t>
  </si>
  <si>
    <t>WOS:000288092600005</t>
  </si>
  <si>
    <t>Torres, P; Galleguillos, P; Lissi, E; López-Alarcón, C</t>
  </si>
  <si>
    <t>Torres, P.; Galleguillos, P.; Lissi, E.; Lopez-Alarcon, C.</t>
  </si>
  <si>
    <t>Antioxidant capacity of human blood plasma and human urine:: Simultaneous evaluation of the ORAC index and ascorbic acid concentration employing pyrogallol red as probe</t>
  </si>
  <si>
    <t>The oxygen radical absorbance capacity ( ORAC) methodology has been employed to estimate the antioxidant capacity of human blood plasma and human urine using pyrogallol red ( ORAC-PGR) as target molecule. Uric acid, reduced glutathione, human serum albumin, and ascorbic acid ( ASC) inhibited the consumption of pyrogallol red, but only ASC generated an induction time. Human blood plasma and human urine protected efficiently pyrogallol red. In these assays, both biological fluids generated neat induction times that were removed by ascorbate oxidase. From these results, ORAC-PGR method could be proposed as a simple alternative to evaluate an ORAC index and, simultaneously, to estimate the concentration of ascorbic acid in human blood plasma or human urine. (C) 2008 Elsevier Ltd. All rights reserved.</t>
  </si>
  <si>
    <t>1464-3391</t>
  </si>
  <si>
    <t>10.1016/j.bmc.2008.09.024</t>
  </si>
  <si>
    <t>WOS:000259973200011</t>
  </si>
  <si>
    <t>Bernal, R; Pullarkat, PA; Melo, F</t>
  </si>
  <si>
    <t>Bernal, Roberto; Pullarkat, Pramod A.; Melo, Francisco</t>
  </si>
  <si>
    <t>Mechanical properties of axons</t>
  </si>
  <si>
    <t>The mechanical response of PC12 neurites under tension is investigated using a microneedle technique. Elastic response, viscoelastic relaxation, and active contraction are observed. The mechanical model proposed by Dennerll et al. [J. Cell Biol. 109, 3073 (1989).], which involves three mechanical devices-a stiff spring kappa coupled with a Voigt element that includes a less stiff spring k and a dashpot gamma-has been improved by adding a new element to describe the main features of the contraction of axons. This element, which represents the action of molecular motors, acts in parallel with viscous forces defining a global tension response of axons T against elongation rates delta(k). Under certain conditions, axons show a transition from a viscoelastic elongation to active contraction, suggesting the presence of a negative elongation rate sensitivity in the curve T vs delta(k).</t>
  </si>
  <si>
    <t>Melo, Francisco/M-3923-2014; PullarKat, Pramod/J-8789-2012; Bernal, Roberto/E-5275-2011</t>
  </si>
  <si>
    <t>Bernal, Roberto/0000-0002-4295-270X; Melo, Francisco Esteban/0000-0001-6818-5476</t>
  </si>
  <si>
    <t>10.1103/PhysRevLett.99.018301</t>
  </si>
  <si>
    <t>WOS:000247819900053</t>
  </si>
  <si>
    <t>Akulich, P; Reyes, A; Bubnovich, V</t>
  </si>
  <si>
    <t>Akulich, P.; Reyes, A.; Bubnovich, V.</t>
  </si>
  <si>
    <t>Effect of peripheral gas jets on hydrodynamics and transfer phenomena of spouting beds</t>
  </si>
  <si>
    <t>POWDER TECHNOLOGY</t>
  </si>
  <si>
    <t>Experimental data and theoretical considerations are used to analyze the effect of peripheral gas supply on the hydrodynamics and heat and mass transfer of spouting beds. A hydrodynamic model of the flow's structure in the dispersed phase is developed which yields a function that describes particle distribution in terms of residence time. The introduction of four peripheral flat gas streams produced a lowering of the maximum pressure drop across the bed and of the minimum fluidization velocity. In addition, this resulted in an increase of particle concentration in the centre of the bed (the spout) and its decrease in the peripheral zone, thus avoiding the generation of dead zones in the bed and the adherence of dispersed particles to the walls. This results in an overall increase in heat and mass exchange between the two zones and an improvement of the drying kinetics. (c) 2006 Elsevier B.V. All rights reserved.</t>
  </si>
  <si>
    <t>0032-5910</t>
  </si>
  <si>
    <t>1873-328X</t>
  </si>
  <si>
    <t>SEP 26</t>
  </si>
  <si>
    <t>10.1016/j.powtec.2006.06.009</t>
  </si>
  <si>
    <t>WOS:000240858600005</t>
  </si>
  <si>
    <t>Nonlinear supersymmetry: from classical to quantum mechanics</t>
  </si>
  <si>
    <t>International Conference on Progress in Supersymmetric Quantum Mechanics</t>
  </si>
  <si>
    <t>JUL 15-19, 2003</t>
  </si>
  <si>
    <t>Valladolid, SPAIN</t>
  </si>
  <si>
    <t>Quantization of the nonlinear supersymmetry faces a problem of a quantum anomaly. For some classes of superpotentials, the integrals of motion admit corrections guaranteeing the preservation of the nonlinear supersymmetry at the quantum level. With an example of a system realizing the nonlinear superconformal symmetry, we discuss the nature of such corrections and speculate on their possible general origin.</t>
  </si>
  <si>
    <t>OCT 29</t>
  </si>
  <si>
    <t>PII S0305-4470(04)75964-8</t>
  </si>
  <si>
    <t>10.1088/0305-4470/37/43/024</t>
  </si>
  <si>
    <t>WOS:000225151100025</t>
  </si>
  <si>
    <t>Pardey, AJ; Brito, J; Rivas, AB; Ortega, MC; Longo, C; Baricelli, PJ; Lujano, E; Yañez, M; Zuñiga, C; Lopez, R; Moya, SA</t>
  </si>
  <si>
    <t>Hydroformylation and isomerization of alkenes catalyzed by [Rh(COD)(amine)2]PF6 complexes immobilized on poly(4-vinylpyridine) under CO/H2O conditions (vol 48, pg 57, 20003)</t>
  </si>
  <si>
    <t>WOS:000187318000022</t>
  </si>
  <si>
    <t>Vergara, C; Soto, M; Gonzalez, C; Lissi, E; Latorre, R</t>
  </si>
  <si>
    <t>Inhibition of a Ca2+-activated K+channel by H2O2</t>
  </si>
  <si>
    <t>BIOPHYSICAL JOURNAL</t>
  </si>
  <si>
    <t>0006-3495</t>
  </si>
  <si>
    <t>220A</t>
  </si>
  <si>
    <t>WOS:000166692201009</t>
  </si>
  <si>
    <t>Orellana, B; Rufs, AM; Encinas, MV; Previtali, CM; Bertolotti, S</t>
  </si>
  <si>
    <t>The photoinitiation mechanism of vinyl polymerization by riboflavin/triethanolamine in aqueous medium</t>
  </si>
  <si>
    <t>Free radicals produced in the photoinduced electron transfer from triethanolamine to excited riboflavin lead to the polymerization of 2-hydroxyethyl methacrylate in aqueous medium. Polymerization rates increase with the amine concentration, reaching a maximun value at 0.01 M amine. Further amine addition produces a decrease of the polymerization. Time-resolved photolysis studies of riboflavin were carried out under the polymerization conditions, monomer/water pH 9. These results indicate that the polymerization proceeds by the radicals formed in the interaction of the dye triplet with the amine. Meanwhile, the quenching of the excited singlet inhibits the polymerization. These results are discussed in terms of the dependence of the photoinitiation mechanism with the solvent employed in the polymerization.</t>
  </si>
  <si>
    <t>10.1021/ma990946x</t>
  </si>
  <si>
    <t>WOS:000083003300025</t>
  </si>
  <si>
    <t>Bertolotti, SG; Previtali, CM; Rufs, AM; Encinas, MV</t>
  </si>
  <si>
    <t>Riboflavin triethanolamine as photoinitiator system of vinyl polymerization. A mechanistic study by laser flash photolysis</t>
  </si>
  <si>
    <t>The polymerization of 2-hydroxyethyl methacrylate photoinitiated by riboflavin in the presence of triethanolamine was investigated. The polymerization was also studied using as photoinitiator lumichrome, the major product obtained in the anaerobic photoreduction of riboflavin. Photopolymerization rates were measured as a function of amine concentration in the UV (366 nm) and visible (&gt;450 nm) regions. The quenching of the excited states of the dyes by triethanolamine was investigated by fluorescence lifetime and laser flash photolysis experiments. Quenching rate constants were determined in the absence and the presence of monomer. These rate constants and singlet and triplet lifetimes were used to fit the polymerization rate vs amine concentration curves. From the fitting it was concluded that the interaction of both singlet and triplet excited states with the amine led to the 2-hydroxyethyl methacrylate polymerization.</t>
  </si>
  <si>
    <t>MAY 4</t>
  </si>
  <si>
    <t>10.1021/ma981246f</t>
  </si>
  <si>
    <t>WOS:000080179200017</t>
  </si>
  <si>
    <t>Knapp, C; GilLlambias, FJ; GulppiCabra, M; Avila, P; Blanco, J</t>
  </si>
  <si>
    <t>Phase distribution in titania-sepiolite catalyst supports prepared by different methods</t>
  </si>
  <si>
    <t>JOURNAL OF MATERIALS CHEMISTRY</t>
  </si>
  <si>
    <t>In this study it has been shown that in samples prepared by mechanical mixing of titania and sepiolite, greater titania coverages could be obtained when the mixtures were kneaded in a concentrated acid medium. The distribution of sepiolite and titania at the surface of the mechanical mixtures was studied by the electrophoretic migration technique. The samples were further characterised by nitrogen adsorption, XRD and thermogravimetric techniques. The electrophoretic migration results showed that the addition of sepiolite to titania, kneaded in water, had a dramatic effect on the quantity of titanium oxide present at the support's surface, both strongly decreasing the molar fraction of titania at the surface, and altering the electrophoretic properties of the mixtures. When kneaded in concentrated acid (HCl, 37%, m/m), the effect of sepiolite addition was greatly reduced. The XRD patterns and BET surface areas of the water-kneaded samples agreed with previously reported results. However, kneading in acid medium induced a slight increase in the BET surface areas of sepiolite and mixtures, but a small decrease for titania. This acid treatment did not alter the XRD patterns of titania and mixtures, compared to the water-kneaded samples. Although the XRD pattern of sepiolite was partially altered, a large part (71%) of sepiolite remained unchanged.</t>
  </si>
  <si>
    <t>Gulppi, Miguel/KTA-6210-2024; Avila, Pedro/S-7588-2017</t>
  </si>
  <si>
    <t>Gulppi, Miguel/0000-0001-6099-4463; Avila, Pedro/0000-0002-0212-941X</t>
  </si>
  <si>
    <t>0959-9428</t>
  </si>
  <si>
    <t>10.1039/a702077e</t>
  </si>
  <si>
    <t>WOS:A1997XQ20900056</t>
  </si>
  <si>
    <t>Estiu, GL; Jubert, AH; Costamagna, J; Vargas, J</t>
  </si>
  <si>
    <t>UV-visible spectroscopy in the interpretation of the tautomeric equilibrium of N,N'(bis-3,5-di-bromo-salicyliden)-1,2-diaminobenzene and the redox activity of its Co(II) complex. A quantum chemical approach.</t>
  </si>
  <si>
    <t>JOURNAL OF MOLECULAR STRUCTURE-THEOCHEM</t>
  </si>
  <si>
    <t>By means of quantum chemical calculations, the origin of the redox capability of N,N'(bis-3,5-di-bromo-salicyliden)-1,2-diaminobenzene Co (II) complexes, of major interest in the catalytic reduction of naphtas, is analyzed. The geometry, electronic structure and UV-vis spectra of both the complex and the ligand are studied. AM1 and INDO/1 hamiltonians are used for the conformational analysis, whereas the UV-visible spectra are accurately reproduced by means of WDO/S-CI calculations, justifying the color of the ligand and offering an explanation to the catalytic redox activity of the Co(II) complex, based on the electronic transitions associated to the spectroscopic features and the electronic characteristics of the redox states.</t>
  </si>
  <si>
    <t>0166-1280</t>
  </si>
  <si>
    <t>10.1016/S0166-1280(96)04575-7</t>
  </si>
  <si>
    <t>WOS:A1996VV06100013</t>
  </si>
  <si>
    <t>Chillà, F; Pinton, JF; Labbé, R</t>
  </si>
  <si>
    <t>Chilla, F.; Pinton, J-F; Labbe, R.</t>
  </si>
  <si>
    <t>On the influence of a large scale coherent vortex on the turbulent cascade</t>
  </si>
  <si>
    <t>NONLINEAR PROCESSES IN GEOPHYSICS</t>
  </si>
  <si>
    <t>We investigate the flow between coaxial co-rotating disks in the situation where a strong axial vortex is present over a turbulent background. This flow is nonstationnary and inhomogeneous as is commun in most turbulent geophysical flows. We describe the small scale statistics using tools recently introduced for homogeneous turbulent flows. It seems that the cascade process is preserved although modified by the large scale coherent structure.</t>
  </si>
  <si>
    <t>1023-5809</t>
  </si>
  <si>
    <t>1607-7946</t>
  </si>
  <si>
    <t>10.5194/npg-3-284-1996</t>
  </si>
  <si>
    <t>WOS:000509574300007</t>
  </si>
  <si>
    <t>Zartha-Sossa, JW; Posada, NG; Monsalve, AMZ; Grisales, LV; Torres, JSR; Mendoza, GLO; Mora, NJE; Piedrahita, JCP; Sarta, JFM; Candia, JG</t>
  </si>
  <si>
    <t>Zartha-Sossa, Jhon Wilder; Gutierrez Posada, Nolberto; Zuluaga Monsalve, Adriana Maria; Valencia Grisales, Liliana; Rodriguez Torres, Jhoan Sebastian; Orozco Mendoza, Gina Lia; Escobar Mora, Nelson Javier; Palacio Piedrahita, Juan Carlos; Moreno Sarta, John Fredy; Gonzalez Candia, Julio</t>
  </si>
  <si>
    <t>Foresight to 2035 in cold climate fruit trees: scenario alignment, Delphi method, and complement with Python libraries</t>
  </si>
  <si>
    <t>COGENT FOOD &amp; AGRICULTURE</t>
  </si>
  <si>
    <t>Cold-climate fruit trees, such as avocado, blackberry, curuba, lulo, and goldenberry, are economically and socially significant in Andean countries. This study employs foresight methodologies to support strategic planning, prioritize innovations, and reduce uncertainty in decision-making within this agro-industrial chain. Scenario analysis and the Delphi method were applied, analyzing 34 variables using MICMAC, identifying nine as key. Three future objectives were formulated and assessed with key stakeholders through MACTOR software. Cross-impact matrices and five hypotheses guided the construction of a preferred scenario, evaluated using SMICProbExpert software. In the Delphi method, experts reviewed 77 topics across five thematic categories, prioritizing 31 critical technologies and innovations. Artificial intelligence and Python-based natural language processing validated the results, ensuring analytical rigor. The findings provide a strategic framework for aligning efforts and resources with key variables, future objectives, and projected scenarios. This supports the development of targeted projects, policies, and innovation strategies, fostering an environment conducive to open innovation. By promoting collaboration and knowledge exchange, this approach enhances technological advancement and sustainable growth in the sector, with a long-term vision toward 2035.</t>
  </si>
  <si>
    <t>Zartha, Jhon/K-8666-2017; Monsalve, Adriana/AAQ-1725-2021</t>
  </si>
  <si>
    <t>2331-1932</t>
  </si>
  <si>
    <t>10.1080/23311932.2025.2480265</t>
  </si>
  <si>
    <t>WOS:001455949200001</t>
  </si>
  <si>
    <t>Avila, B; Gamboa, J; MacKenzie, RB; Méndez, F; Paranjape, MB</t>
  </si>
  <si>
    <t>Avila, B.; Gamboa, J.; MacKenzie, R. B.; Mendez, F.; Paranjape, M. B.</t>
  </si>
  <si>
    <t>Quintessence and the Higgs portal in the Carroll limit</t>
  </si>
  <si>
    <t>A cosmological model based on two scalar fields is proposed. The first of these, phi, has mass mu, while the second, chi, is massless. The pair are coupled through a Higgs portal. First, we show how the model reproduces the Friedmann equations if the square of the mass of the phi field is proportional to the cosmological constant and chi represents the quintessence field. Quantum corrections break the conformal symmetry, and the chi field acquires a mass equal to root 3g Lambda The perturbative approach with g &lt;&lt; 1 is consistent with the bounds for m(chi); moreover, by using dimensional analysis, we estimate m(chi) &lt;&lt; H-0 approximate to 10(-33) eV, which is in accordance with what is expected in the quintessence scenario. The acceleration of the universe is proportional to chi(2), we conclude that for very long times, the solution of the equation of motion approaches similar to m(chi)/root lambda and the universe continues to accelerate, with a constant acceleration.</t>
  </si>
  <si>
    <t>Gamboa, Jorge/R-8744-2019; Paranjape, Manu/AAI-2388-2020</t>
  </si>
  <si>
    <t>Paranjape, Manu/0000-0002-2806-6568; Gamboa, Jorge/0000-0001-7992-7199</t>
  </si>
  <si>
    <t>10.1016/j.physletb.2024.138819</t>
  </si>
  <si>
    <t>JUN 2024</t>
  </si>
  <si>
    <t>WOS:001261240600001</t>
  </si>
  <si>
    <t>Coronel, M; Orellana, R; Cedeño, AL; Cepeda, J; Agüero, JC</t>
  </si>
  <si>
    <t>IEEE Peru Section</t>
  </si>
  <si>
    <t>Coronel, Maria; Orellana, Rafael; Cedeno, Angel L.; Cepeda, Javier; Aguero, Juan C.</t>
  </si>
  <si>
    <t>A Novel Identification Method for Continuous-Time Stochastic Systems Utilizing Tsai's Approximation and Sampled Data</t>
  </si>
  <si>
    <t>2024 IEEE ANDESCON</t>
  </si>
  <si>
    <t>IEEE ANDESCON</t>
  </si>
  <si>
    <t>2024 IEEE Andescon Conference</t>
  </si>
  <si>
    <t>SEP 11-13, 2024</t>
  </si>
  <si>
    <t>Cusco, PERU</t>
  </si>
  <si>
    <t>Institute of Electrical and Electronics Engineers Inc</t>
  </si>
  <si>
    <t>In this paper, we address the system identification problem of a continuous-time stochastic system. We propose an approach that involves approximating the continuous-time system through continuous-time basis functions, utilizing sampled data. Furthermore, we assume access only to discrete-time output measurements. The estimation problem is formulated using the Maximum Likelihood approach in the frequency domain, taking into account an approximation of the output power spectrum with basis functions, called Tsai's approximation. The benefits of our proposal are illustrated via numerical simulations.</t>
  </si>
  <si>
    <t>Orellana Prato, Rafael/Y-5616-2018; Aguero, Juan/A-8657-2013; Coronel, Maria/LXW-8289-2024</t>
  </si>
  <si>
    <t>2377-021X</t>
  </si>
  <si>
    <t>979-8-3503-5529-1; 979-8-3503-5528-4</t>
  </si>
  <si>
    <t>10.1109/ANDESCON61840.2024.10755891</t>
  </si>
  <si>
    <t>WOS:001417553200106</t>
  </si>
  <si>
    <t>Dintrans, PV; Alliende, T; Palacios, J; Contrucci, I; Browne, J</t>
  </si>
  <si>
    <t>Villalobos Dintrans, Pablo; Alliende, Trinidad; Palacios, Josefa; Contrucci, Isabel; Browne, Jorge</t>
  </si>
  <si>
    <t>Long-term Care in the Agenda: The Case of Chile</t>
  </si>
  <si>
    <t>HEALTH SYSTEMS &amp; REFORM</t>
  </si>
  <si>
    <t>The Chilean presidential elections of 2021 included an unprecedented topic in the country's political debate: long-term care (LTC). Although some public policies and programs have been in place for at least 20 years, during this 2021 presidential election LTC was mentioned for the first time in a political campaign. Five out of seven candidates highlighted the importance of LTC in their proposals and designed policies to address it. Why did this topic gain momentum as a campaign topic in 2021? What can explain the sudden inclusion of a new topic on the Chilean political agenda? Using Kingdon's multiple streams framework this article aims to understand the factors explaining the inclusion of LTC in the Chilean political agenda during the past presidential elections. A two-step qualitative research design was performed using a case study approach. As a first step, a documentary analysis of the campaign programs was conducted searching for references to LTC proposals. In a second step, semi-structured interviews were carried out with representatives from three of the seven campaign teams, including the teams that reached the ballotage. Data were analyzed using Kingdon's multiple streams framework. Results showed that the availability of national data on LTC needs helped highlight the problem and acted as a facilitator for advocacy; international organizations and other countries' experiences in implementing LTC systems served as policy entrepreneurs; and four events-the feminist movement, the social outbreak with the constitutional process, and the COVID-19 pandemic-pushed LTC forward on the political agenda. The case of Chile illustrates how Kingdon's framework can be used to identify facilitators for LTC inclusion on the political agenda, serving as an example for other countries facing similar issues and fostering the global debate around the increase in LTC needs.</t>
  </si>
  <si>
    <t>Browne, Jorge/0000-0001-6586-7084; Villalobos Dintrans, Pablo/0000-0002-2236-6447</t>
  </si>
  <si>
    <t>2328-8604</t>
  </si>
  <si>
    <t>2328-8620</t>
  </si>
  <si>
    <t>10.1080/23288604.2022.2163470</t>
  </si>
  <si>
    <t>WOS:000918375200001</t>
  </si>
  <si>
    <t>Lizama, MZ; Mura, F; Barrias, P; Briones, P; Poblete, H; Aspace, A</t>
  </si>
  <si>
    <t>Zapata Lizama, Matias; Mura, Francisco; Barrias, Pablo; Briones, Patricio; Poblete, Horacio; Aspace, Alexis</t>
  </si>
  <si>
    <t>Free radical oxidation of antimicrobial peptides in phospholipid membranes</t>
  </si>
  <si>
    <t>21st Biennial Congress of the Society-for-Free-Radical-Research-International (SFRRI)</t>
  </si>
  <si>
    <t>NOV 15-18, 2023</t>
  </si>
  <si>
    <t>Punta del Este, URUGUAY</t>
  </si>
  <si>
    <t>Soc Free Rad Res Int</t>
  </si>
  <si>
    <t>Poblete, Horacio/J-9781-2012; Barrias, Pablo/V-7218-2018</t>
  </si>
  <si>
    <t>S145</t>
  </si>
  <si>
    <t>10.1016/j.freeradbiomed.2023.10.330</t>
  </si>
  <si>
    <t>WOS:001098825800320</t>
  </si>
  <si>
    <t>Awad, PS; Mata, I; Chana-Cuevas, P</t>
  </si>
  <si>
    <t>Awad, Paula Saffie; Mata, Ignacio; Chana-Cuevas, Pedro</t>
  </si>
  <si>
    <t>Genetic revolution: New challenges and opportunities</t>
  </si>
  <si>
    <t>WOS:001002197900018</t>
  </si>
  <si>
    <t>Del-Solar, JW; Chávez-Martel, P; Fontecilla-Villalobos, E; Ibáñez-Rodríguez, P; Rozas-Vidal, JP</t>
  </si>
  <si>
    <t>Wimmer Del-Solar, Jonathan; Chavez-Martel, Paulina; Fontecilla-Villalobos, Estefania; Ibanez-Rodriguez, Pamela; Pablo Rozas-Vidal, Juan</t>
  </si>
  <si>
    <t>Guillain Barre syndrome associated with coronavac vaccine. Report of one case</t>
  </si>
  <si>
    <t>We report a 50-year-old woman with a history of celiac disease, who presented with lumbar pain and progressive flaccid tetraparesis 48 hours after the inoculation of the first dose of CoronaVac inactivated SARS-CoV-2 vaccine. CSF was normal and electrodiagnostic studies showed an axonal motor polyneuropathy. No other triggers were identified, and other etiologies were ruled out. The presentation was compatible with the AMAN (Acute Motor Axonal Neuropathy) subtype of GBS, and intravenous immunoglobulin halted the progression of symptoms. Intensive neurorehabilitation was performed. The patient was discharged five weeks after admission, walking with poles and climbing stairs with minimal assistance. To date no cases of inactivated SARSCoV-2 vaccine related GBS have been reported. Thus, description of its clinical presentation is relevant. We discuss the current evidence relating GBS with vaccines, highlighting that vaccine associated GBS is a controversial entity and causality must be interpreted cautiously given the actual COVID-19 pandemic context.</t>
  </si>
  <si>
    <t>WOS:000827225300016</t>
  </si>
  <si>
    <t>Nicolas, C; Müller, J; Arroyo-Cañada, FJ</t>
  </si>
  <si>
    <t>Nicolas, Carolina; Muller, Javiera; Arroyo-Canada, Francisco-Javier</t>
  </si>
  <si>
    <t>A Fuzzy Inference System for Management Control Tools</t>
  </si>
  <si>
    <t>MATHEMATICS</t>
  </si>
  <si>
    <t>Despite the importance of the role of small and medium enterprises (SMEs) in developing and growing economies, little is known regarding the use of management control tools in them. In management control in SMEs, a holistic system needs to be modeled to enable a careful study of how each lever (belief systems, boundary systems, interactive control systems, and diagnostic control systems) affects the organizational performance of SMEs. In this article, a fuzzy logic approach is proposed for the decision-making system in management control in small and medium enterprises. C. Mamdani fuzzy inference system (MFIS) was applied as a decision-making technique to explore the influence of the use of management control tools on the organizational performance of SMEs. Perceptions data analysis is obtained through empirical research.</t>
  </si>
  <si>
    <t>Nicolas, Carolina/AAQ-8797-2021; Müller, Javiera/ACZ-6850-2022; Arroyo-Canada, Francisco-Javier/E-6079-2012</t>
  </si>
  <si>
    <t>Muller, Javiera/0000-0002-5347-5339; NICOLAS, CAROLINA/0000-0002-1911-2972; Arroyo-Canada, Francisco-Javier/0000-0001-8987-8204</t>
  </si>
  <si>
    <t>2227-7390</t>
  </si>
  <si>
    <t>10.3390/math9172145</t>
  </si>
  <si>
    <t>WOS:000694341900001</t>
  </si>
  <si>
    <t>Hurtado, JP; Reyes, G; Vargas, JP; Acuña, E</t>
  </si>
  <si>
    <t>Pablo Hurtado, Juan; Reyes, Gabriel; Pablo Vargas, Juan; Acuna, Enrique</t>
  </si>
  <si>
    <t>A Computational Fluid Dynamic Study of Developed Parallel Stations for Primary Fans</t>
  </si>
  <si>
    <t>PROCESSES</t>
  </si>
  <si>
    <t>A Computational fluid dynamic (CFD) model was developed considering three geometries for primary parallel fan stations that have already been developed, implemented, and are currently in operation within Chilean mines. To standardize the comparison, the same primary fan was used in all the simulations with a unique set of settings (speed, blade angle, and density). The CFD representation was used to determine the operating point per configuration and compare the performances in terms of airflow and pressure delivered. This approach allowed ranking primary fan station geometry based on resistance curve and energy consumption of the fan. This paper presents the results obtained through the CFD simulations and the corresponding primary fans operating points of each configuration: symmetrical branches (SB), overlap branches (OB), and run around (RA) bypass. The RA configuration was identified as the best-performing station geometry on the lowest frictional and shock pressure losses, highest airflow delivery, and lowest energy cost. The results are discussed, considering pressure, velocity, and vector contours to understand the fluid dynamics phenomena occurring inside the station. The capital cost involved in the development of each primary parallel station was considered in the analysis in addition to the energy cost to determine the economic configuration over time.</t>
  </si>
  <si>
    <t>Vargas, Juan Pablo/N-2185-2015; Hurtado Cruz, Juan Pablo/K-2568-2013</t>
  </si>
  <si>
    <t>Vargas, Juan Pablo/0000-0002-0783-0221; Hurtado Cruz, Juan Pablo/0000-0001-7602-8278</t>
  </si>
  <si>
    <t>2227-9717</t>
  </si>
  <si>
    <t>10.3390/pr9091607</t>
  </si>
  <si>
    <t>WOS:000701916700001</t>
  </si>
  <si>
    <t>González, F; Quintero, J; Del Río, R; Mahn, A</t>
  </si>
  <si>
    <t>Gonzalez, Francis; Quintero, Julian; Del Rio, Rodrigo; Mahn, Andrea</t>
  </si>
  <si>
    <t>Optimization of an Extraction Process to Obtain a Food-Grade Sulforaphane-Rich Extract from Broccoli (Brassica oleracea var. italica)</t>
  </si>
  <si>
    <t>Sulforaphane (SFN) is a powerful health-promoting compound found in broccoli in the form of its inactive precursor, glucoraphanin (GFN). SFN formation occurs through the enzymatic hydrolysis of glucoraphanin by myrosinase under specific chemical conditions. Its incorporation in food formulations has been hindered by the thermal instability of SFN and low concentration in Brassicaceae. Then, extracting SFN from broccoli at a temperature below 40 degrees C appears as an option to recover and stabilize SFN, aiming at delivering it as a nutraceutical. We studied an eco-friendly extraction process to obtain an SFN-rich extract from broccoli. The effect of the broccoli mass/solvent ratio, ethanol concentration in the extractant solution, and extraction time on the recovery of SFN, GFN, phenolic compounds, and antioxidant activity were studied through a Box-Behnken design. The regression models explained more than 70% of the variability in the responses, adequately representing the system. The experimental factors differently affected the bioactive compound recovery and antioxidant activity of the extracts. The extraction conditions that allowed the highest recovery of bioactive compounds and antioxidant activity were identified and experimentally validated. The results may provide the basis for the design of a process to produce a sulforaphane-rich food supplement or nutraceutical by using a GRAS extractant.</t>
  </si>
  <si>
    <t>Quintero, Julian/KHY-7891-2024; Del Rio, Rodrigo/AAF-8763-2020; Quintero, Julian/I-6335-2016</t>
  </si>
  <si>
    <t>Quintero, Julian/0000-0003-1224-5649; Gonzalez, Francis/0000-0001-6478-4463; Mahn, Andrea/0000-0001-6082-0279; Del Rio, Rodrigo/0000-0002-2562-806X</t>
  </si>
  <si>
    <t>10.3390/molecules26134042</t>
  </si>
  <si>
    <t>WOS:000671277600001</t>
  </si>
  <si>
    <t>Riffo, B; Henríquez, C; Chavez, R; Pena, R; Sangorrín, M; Gil-Duran, C; Rodríguez, A; Ganga, MA</t>
  </si>
  <si>
    <t>Riffo, Byron; Henriquez, Consuelo; Chavez, Renato; Pena, Ruben; Sangorrin, Marcela; Gil-Duran, Carlos; Rodriguez, Arturo; Ganga, Maria Angelica</t>
  </si>
  <si>
    <t>Nonionizing Electromagnetic Field: A Promising Alternative for Growing Control Yeast</t>
  </si>
  <si>
    <t>JOURNAL OF FUNGI</t>
  </si>
  <si>
    <t>In the food industry, some fungi are considered to be common spoilage microorganisms which reduce the shelf life of products. To avoid this outcome, different technologies are being developed to control their growth. Electromagnetic fields (EMF) have been used to combat bacterial growth, but there are few studies on yeasts and their possible action mechanisms. For this reason, we studied the effect of EMF between 1 to 5.9 GHz bands on the growth of Saccharomyces cerevisiae yeast and observed that all the frequencies of the band used cause the reduction of the viability of this yeast. In addition, we observed that the distance between the antenna and the sample is an important factor to consider to control the growing yeast. By using transmission electron microscopy, we found that the EMF caused a loss of continuity of the yeast cell membrane. Therefore, EMF may be used as a control method for yeast growth.</t>
  </si>
  <si>
    <t>Ganga, Maria/S-8176-2019; Rodriguez, Arturo/I-7205-2016</t>
  </si>
  <si>
    <t>Pena, Ruben/0000-0002-8246-1008; Rodriguez, Arturo/0000-0002-8383-6561; Gil-Duran, Carlos Andres/0000-0001-9638-6902</t>
  </si>
  <si>
    <t>2309-608X</t>
  </si>
  <si>
    <t>10.3390/jof7040281</t>
  </si>
  <si>
    <t>WOS:000643110700001</t>
  </si>
  <si>
    <t>Alvarez, E; Grau, R; Lizama, C; Mesquita, JG</t>
  </si>
  <si>
    <t>Alvarez, Edgardo; Grau, Rogelio; Lizama, Carlos; Mesquita, Jaqueline G.</t>
  </si>
  <si>
    <t>Volterra-Stieltjes integral equations and impulsive Volterra-Stieltjes integral equations</t>
  </si>
  <si>
    <t>ELECTRONIC JOURNAL OF QUALITATIVE THEORY OF DIFFERENTIAL EQUATIONS</t>
  </si>
  <si>
    <t>In this paper, we prove existence and uniqueness of solutions of Volterra Stieltjes integral equations using the Henstock-Kurzweil integral. Also, we prove that these equations encompass impulsive Volterra-Stieltjes integral equations and prove the existence and uniqueness for these equations. Finally, we present some examples to illustrate our results.</t>
  </si>
  <si>
    <t>Mesquita, Jaqueline/A-2356-2012; Lizama, Carlos/E-5909-2011</t>
  </si>
  <si>
    <t>Alvarez, Edgardo/0000-0003-2699-398X; Lizama, Carlos/0000-0002-9807-1100; Grau Acuna, Rogelio/0000-0002-4630-4101</t>
  </si>
  <si>
    <t>1417-3875</t>
  </si>
  <si>
    <t>10.14232/ejqtde.2021.1.5</t>
  </si>
  <si>
    <t>WOS:000607158000001</t>
  </si>
  <si>
    <t>Becerra-Ruiz, M; Galdámez, A; Modak, B; Vilches-Herrera, M</t>
  </si>
  <si>
    <t>Becerra-Ruiz, Martin; Galdamez, Antonio; Modak, Brenda; Vilches-Herrera(s), Marcelo</t>
  </si>
  <si>
    <t>Diastereoselective Synthesis of Spirodihydrobenzofuran Analogues of the Natural Product Filifolinol</t>
  </si>
  <si>
    <t>CHEMISTRYSELECT</t>
  </si>
  <si>
    <t>Filifolinol is a natural occurring spirodihydrobenzofuran isolated from the resinous exudates of Heliotropium filifolium, a Chilean endemic shrub. Filifolinol and some of its derivatives have shown interesting biological activities against pathogens that attack salmonid species. Whereas the synthesis of spirodihydrobenzofurans has been limited to the use of an ortho allylphenol unit herein we report a different approach based on a C-H activation/C-O cyclization reaction for the synthesis of analogues of Filifolinol. Moreover, a diastereoselective approach was developed using the different facial preference of hydride species and organolithium compounds towards cyclic ketones.</t>
  </si>
  <si>
    <t>Herrera, Luis/M-2750-2015; Galdamez, Antonio/H-7404-2013</t>
  </si>
  <si>
    <t>Galdamez, Antonio/0000-0001-9665-7696; Becerra-Ruiz, Martin/0009-0007-8349-397X; Modak Canobra, Brenda/0000-0001-5292-0480</t>
  </si>
  <si>
    <t>2365-6549</t>
  </si>
  <si>
    <t>DEC 30</t>
  </si>
  <si>
    <t>10.1002/slct.202003580</t>
  </si>
  <si>
    <t>WOS:000603432100009</t>
  </si>
  <si>
    <t>On the stability and chemical bond of noble gas halide cations NgX+ (Ng = He - Rn; X = F - I)</t>
  </si>
  <si>
    <t>JOURNAL OF COMPUTATIONAL CHEMISTRY</t>
  </si>
  <si>
    <t>Despite the belief that noble gases (Ng) are completely inert and cannot form stable molecules, a variety of Ng compounds have been reported under laboratory conditions and others were recently detected in the interstellar media, raising interest in knowing and studying their bond nature and the physicochemical properties associated with their stability. In the present work, a systematic analysis of the thermodynamic stability of noble gas halide cations (NgX(+)) at the CCSD(T)/def2-QZVP level have been performed. In addition, chemical bond was characterized through Natural Bonding Theory (NBO), Quantum Theory of Atoms in Molecules (QTAIM) and Energy Decomposition Analysis (EDA) with relativistic corrections. All methods suggest that NgX(+) compounds possess a strong covalent bond. However, results show that only compounds containing Ar-Rn atoms are thermodynamic stable with a highly energetic and endergonic dissociation process. For these reasons, it is possible to suggest that several compounds that have not yet been reported could be obtained at the laboratory level or observed in the interstellar medium.</t>
  </si>
  <si>
    <t>Arrue, Lily/0000-0003-0916-6077; Pino Rios, Ricardo/0000-0003-4756-1115</t>
  </si>
  <si>
    <t>0192-8651</t>
  </si>
  <si>
    <t>1096-987X</t>
  </si>
  <si>
    <t>10.1002/jcc.26440</t>
  </si>
  <si>
    <t>WOS:000581939500001</t>
  </si>
  <si>
    <t>Tejo, F; Saavedra, E; Denardin, JC; Escrig, J</t>
  </si>
  <si>
    <t>Tejo, F.; Saavedra, E.; Denardin, J. C.; Escrig, J.</t>
  </si>
  <si>
    <t>Dynamic susceptibility of skyrmion clusters in Co/Pt nanodots</t>
  </si>
  <si>
    <t>We study the dynamic susceptibility of skyrmion clusters in Co/Pt nanodots using micromagnetic simulations. For this, we investigate the dynamic response of the skyrmions to a small magnetic field pulse applied parallel to the dot axis. Skyrmions exhibit a main resonance peak associated with the skyrmions' breathing mode, which is closely linked to the average radius of the skyrmions. Furthermore, we find that non-trivial secondary modes appear when the cluster size increases. These results can be used as a detection and characterization mechanism for skyrmion lattices in confined systems.</t>
  </si>
  <si>
    <t>Saavedra, Eduardo/IQS-4264-2023; Denardin, Juliano/S-6407-2019; Tejo, Felipe/IUQ-0578-2023; Escrig, Juan/N-4304-2015</t>
  </si>
  <si>
    <t>Saavedra Diaz, Eduardo Andres/0000-0002-2842-2526; Escrig, Juan/0000-0002-3958-8185; Denardin, Juliano/0000-0002-1373-6207; Tejo Lazo, Felipe Tejo/0000-0001-7457-7281</t>
  </si>
  <si>
    <t>OCT 12</t>
  </si>
  <si>
    <t>10.1063/5.0023613</t>
  </si>
  <si>
    <t>WOS:000583340800001</t>
  </si>
  <si>
    <t>Goodrich, C; Lizama, C</t>
  </si>
  <si>
    <t>Goodrich, Christopher; Lizama, Carlos</t>
  </si>
  <si>
    <t>A transference principle for nonlocal operators using a convolutional approach: fractional monotonicity and convexity</t>
  </si>
  <si>
    <t>We utilize a new definition for the fractional delta operator and prove that it is equivalent by translation to the more commonly used operator. By means of the convolution operation we demonstrate that this new operator is strongly connected to the positivity, monotonicity, and convexity of the functions on which it operates. We also analyze the case of compositions of discrete fractional operators. Finally, since the operator we study here is translationally related to the more commonly used discrete fractional operators, we are able to establish many new results for all types of discrete fractional differences, and we explicitly demonstrate that our results improve all known existing results in the literature.</t>
  </si>
  <si>
    <t>10.1007/s11856-020-1991-2</t>
  </si>
  <si>
    <t>APR 2020</t>
  </si>
  <si>
    <t>WOS:000523410400004</t>
  </si>
  <si>
    <t>Cerda, C; Rojas, F; Pineda, C; Pereda, J; Diaz, M; Gatica, G</t>
  </si>
  <si>
    <t>Cerda, Carlos; Rojas, Felix; Pineda, Cristian; Pereda, Javier; Diaz, Matias; Gatica, Gustavo</t>
  </si>
  <si>
    <t>Grid Forming Operation for a High Step Ratio Modular Multilevel DC-DC Converter</t>
  </si>
  <si>
    <t>2020 IEEE 11TH INTERNATIONAL SYMPOSIUM ON POWER ELECTRONICS FOR DISTRIBUTED GENERATION SYSTEMS (PEDG)</t>
  </si>
  <si>
    <t>IEEE International Symposium on Power Electronics for Distributed Generation Systems</t>
  </si>
  <si>
    <t>IEEE 11th International Symposium on Power Electronics for Distributed Generation Systems (PEDG)</t>
  </si>
  <si>
    <t>SEP 28-OCT 01, 2020</t>
  </si>
  <si>
    <t>IEEE,IEEE Croatia Sect,Croatia Sect PEL Chapter,Croatia Sect IE Chapter,Croatian Soc Commun, Comp, Elect, Measurement &amp; Control,Fac Elect Engn &amp; Comp,Tech Univ Kosice, Fac Elect Engn &amp; Informat,Slovakian Electrotechn Soc</t>
  </si>
  <si>
    <t>Recently, Modular Multilevel Converters (MMCs) have become an attractive solution for MV applications. MMCs can handle high voltage levels by interconnecting either fullor half-bridge converters in series, achieving high performance, modularity and excellent power quality. Although most of the reported MMC converters are proposed to interface AC voltages at least in one port, few topologies have been reported for direct DC-DC conversion, mainly intended for interconnection of two DC grids, focusing the most of the reports on the modulation and internal balancing of the converter. In this paper, the output voltage of a high-step ratio DC-DC MMC is controlled to operate as a grid forming converter. Simulation results show excellent performance of the converter, achieving internal voltage balancing and zero current switching operation(ZCS) under steady-state and transient response.</t>
  </si>
  <si>
    <t>Rojas, Felix/U-3305-2019; gatica, gustavo/KXR-7308-2024; Diaz, Matias/R-7570-2018; Pereda Torres, Javier/F-8244-2013</t>
  </si>
  <si>
    <t>Diaz, Matias/0000-0003-4489-9532; Rojas, Felix/0000-0001-6145-2826; Pereda Torres, Javier/0000-0002-3407-5233</t>
  </si>
  <si>
    <t>2329-5759</t>
  </si>
  <si>
    <t>978-1-7281-6990-3</t>
  </si>
  <si>
    <t>10.1109/pedg48541.2020.9244339</t>
  </si>
  <si>
    <t>WOS:000851397200084</t>
  </si>
  <si>
    <t>López-Alegría, F; Oyanedel, JC; Rivera-López, G</t>
  </si>
  <si>
    <t>Lopez-Alegria, Fanny; Carlos Oyanedel, Juan; Rivera-Lopez, Gonzalo</t>
  </si>
  <si>
    <t>Burnout Syndrome in Chilean Midwifery Students</t>
  </si>
  <si>
    <t>The student Burnout Syndrome is a response to chronic and severe stress linked to the role of the students and their academic context. This study aims at determining the prevalence and severity of the student Burnout Syndrome on a sample of midwifery students and its associated factors. The study is observational, cross-sectional, and analytical, with a sample of 140 students of a Chilean university. The study variables were as follows: sociodemographic background, academic profile, student Burnout Syndrome scale, and behaviors in everyday psychosocial activities. The instrument for measuring the Burnout Syndrome was the Unidimensional Scale of Student Burnout. For the analysis, descriptive statistics were used, and the association of the independent over the dependent variables was assessed through linear regression. Of the third-year students, 77.2% had a moderate or deep burnout level, which increases to 91.8% in the fourth-year students. A significant and direct association was found between the syndrome and the career year. A significant association was also found between the Burnout Scale and the scale of psychosocial risk behavior. All the students present some degree of Burnout Syndrome, which is related to both their studies and psychosocial risks.</t>
  </si>
  <si>
    <t>Oyanedel, Juan/V-2833-2019</t>
  </si>
  <si>
    <t>Oyanedel, Juan/0000-0003-4023-6926; Lopez-Alegria, Fanny/0000-0001-7293-1347</t>
  </si>
  <si>
    <t>10.1177/2158244020902090</t>
  </si>
  <si>
    <t>WOS:000509967400001</t>
  </si>
  <si>
    <t>Casassus, S; Pérez, S</t>
  </si>
  <si>
    <t>Casassus, Simon; Perez, Sebastian</t>
  </si>
  <si>
    <t>Kinematic Detections of Protoplanets: A Doppler Flip in the Disk of HD 100546? (vol 883, L41, 2019)</t>
  </si>
  <si>
    <t>ASTROPHYSICAL JOURNAL LETTERS</t>
  </si>
  <si>
    <t>Pérez, Sebastián/AAS-5857-2020; Casassus, Simon/I-8609-2016</t>
  </si>
  <si>
    <t>Casassus, Simon/0000-0002-0433-9840</t>
  </si>
  <si>
    <t>2041-8205</t>
  </si>
  <si>
    <t>2041-8213</t>
  </si>
  <si>
    <t>L27</t>
  </si>
  <si>
    <t>10.3847/2041-8213/ab4f77</t>
  </si>
  <si>
    <t>WOS:000494686200001</t>
  </si>
  <si>
    <t>de Dicastillo, CL; Patiño, C; Galotto, MJ; Vásquez-Martínez, Y; Torrent, C; Alburquenque, D; Pereira, A; Escrig, J</t>
  </si>
  <si>
    <t>Lopez de Dicastillo, Carol; Patino, Cristian; Jose Galotto, Maria; Vasquez-Martinez, Yesseny; Torrent, Claudia; Alburquenque, Daniela; Pereira, Alejandro; Escrig, Juan</t>
  </si>
  <si>
    <t>Novel hollow titanium dioxide nanospheres with antimicrobial activity against resistant bacteria</t>
  </si>
  <si>
    <t>BEILSTEIN JOURNAL OF NANOTECHNOLOGY</t>
  </si>
  <si>
    <t>The search for and synthesis of new antimicrobial nanostructures is important to reduce microbial incidence that induces infectious diseases and to aid in the antibiotic resistance crisis, which are two of the most pressing issues in global public health. In this work, novel, hollow, calcined titanium dioxide nanospheres (CSTiO2) were successfully synthesized for the first time through the combination of electrospinning and atomic layer deposition techniques. Poly(vinylpyrrolidone) (PVP) electrosprayed spherical particles were double-coated with alumina and titanium dioxide, and after a calcination process, hollow nanospheres were obtained with a radius of approximately 345 nm and shell thickness of 17 nm. The structural characterization was performed using electron microscopy, and X-ray diffraction and small-angle X-ray diffraction evidenced an anatase titanium dioxide crystalline structure. Thermo-gravimetric analysis and Fourier-transform infrared spectroscopy studies demonstrated the absence of polymer residue after the calcination process. The antimicrobial properties of the developed CSTiO2 hollow nanospheres were evaluated against different bacteria, including resistant E. coli and S. aureus strains, and when compared to commercial TiO2 nanoparticles, CSTiO2 nanospheres exhibited superior performance. In addition, the positive effect of UV irradiation on the antimicrobial activity was demonstrated.</t>
  </si>
  <si>
    <t>Patiño Vidal, Cristian Javier/JDM-7961-2023; Pereira, Alejandro/X-7172-2018; Escrig, Juan/N-4304-2015; Lopez-de-Dicastillo, Carol/C-6347-2019</t>
  </si>
  <si>
    <t>Escrig, Juan/0000-0002-3958-8185; Lopez-de-Dicastillo, Carol/0000-0003-0067-9765; Patino Vidal, Cristian Javier/0000-0002-5633-6908; Alburquenque, Daniela/0000-0001-9236-3308; Vasquez Martinez, Yesseny Amneris/0000-0002-4184-9815; Pereira Abarca, Alejandro/0000-0002-4473-0852</t>
  </si>
  <si>
    <t>2190-4286</t>
  </si>
  <si>
    <t>AUG 19</t>
  </si>
  <si>
    <t>10.3762/bjnano.10.167</t>
  </si>
  <si>
    <t>WOS:000482477500001</t>
  </si>
  <si>
    <t>Palma, JG</t>
  </si>
  <si>
    <t>Palma, Jose Gabriel</t>
  </si>
  <si>
    <t>Behind the Seven Veils of Inequality. What if it's all about the Struggle within just One Half of the Population over just One Half of the National Income?</t>
  </si>
  <si>
    <t>DEVELOPMENT AND CHANGE</t>
  </si>
  <si>
    <t>This article addresses three main issues: why there is such a huge diversity of disposable income inequality across the world, why there is such a deterioration of market inequality among countries of the Organization for Economic Cooperation and Development (OECD), and why inequality seems to move in 'waves'. There are many underlying questions: does diversity reflect a variety of fundamentals, or a multiplicity of power structures and choice? Is rising market inequality the product of somehow 'exogenous' factors (e.g., r&gt;g), or of complex interactions between political settlements and market failures? How do we get through the veils obscuring these interactions and distorting our vision of the often self-constructed nature of inequality? Has neoliberal globalization broadened the scope for 'distributional failures' by, for example, triggering a process of 'reverse catching-up' in the OECD, so that highly unequal middle-income countries like those in Latin America now embody the shape of things to come? Are we all converging towards features such as mobile elites creaming off the rewards of economic growth, and 'magic realist' politics that lack self-respect if not originality? Should I say, 'Welcome to the Third World'? In this paper I also develop a new approach for examining and measuring inequality (distance from distributive targets), and a new concept of 'distributional waves'. The article concludes that, to understand current distributive dynamics, what matters is to comprehend the forces determining the share of the rich - and, in terms of growth, what they choose to do with it (and how they are allowed do it).</t>
  </si>
  <si>
    <t>0012-155X</t>
  </si>
  <si>
    <t>1467-7660</t>
  </si>
  <si>
    <t>10.1111/dech.12505</t>
  </si>
  <si>
    <t>JUL 2019</t>
  </si>
  <si>
    <t>WOS:000474000500001</t>
  </si>
  <si>
    <t>de Arbina, AL; Losada-Barreiro, S; Rezende, MC; Vidal, M; Aliaga, C</t>
  </si>
  <si>
    <t>Lopez de Arbina, Amaia; Losada-Barreiro, Sonia; Caroli Rezende, Marcos; Vidal, Matias; Aliaga, Carolina</t>
  </si>
  <si>
    <t>The location of amphiphobic antioxidants in micellar systems: The diving-swan analogy</t>
  </si>
  <si>
    <t>A protocol for determining the location of antioxidants (AOs) in a micro-heterogeneous medium was applied to three series of AOs with increasing hydrophobicities: chromancarboxylic acid (Trolox) esters, caffeic acid and its esters, and gallic acid and its esters. The observed paradoxical behaviour of these and other commonly encountered antioxidants was rationalized with the aid of a pictorial simile, the diving-swan analogy, that explains the orientation and location of an amphiphobic AO when it reacts with a radical probe in the micellar interface.</t>
  </si>
  <si>
    <t>Caroli, Marcos/H-3570-2019; Losada Barreiro, Sonia/J-8491-2014; Aliaga, Carolina/G-6024-2019</t>
  </si>
  <si>
    <t>Losada Barreiro, Sonia/0000-0002-9447-5626; Rezende, Marcos/0000-0003-2040-9009; Aliaga, Carolina/0000-0002-1352-3164</t>
  </si>
  <si>
    <t>10.1016/j.foodchem.2018.12.020</t>
  </si>
  <si>
    <t>WOS:000454689200035</t>
  </si>
  <si>
    <t>López, N; Azurdia-Meza, C; Valencia, C; Montejo-Sánchez, S</t>
  </si>
  <si>
    <t>Lopez, Nicolas; Azurdia-Meza, Cesar; Valencia, Claudio; Montejo-Sanchez, Samuel</t>
  </si>
  <si>
    <t>On the performance of 6LoWPAN using TSCH/Orchestra mode against a jamming attack</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</si>
  <si>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</si>
  <si>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</si>
  <si>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</si>
  <si>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</si>
  <si>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</si>
  <si>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The active jamming for disrupting legitimate transmissions is currently one of the most used techniques by attackers. These attacks are difficult to detect and have rarely been addressed in low power and lossy networks (LLN). For instance, there are few simulations of scenarios that consider the presence of an attacker in LLNs. In this work it is simulated the presence of an attacker in an LLN with IPv6 over the Time-slotted Channel Hopping (TSCH) mode of IEEE 802.15.4e and over the most recent Orchestra mode. The results show remarkable variations, in terms of Packet Data Rate (PDR) and energy efficiency, in the simulated scenarios when a malicious node is present, despite the Medium Access Control (MAC) mode used. For instance, the PDR shows a variation of 20% and the energy consumption 20% in the jamming scenario. Based on the evaluated metrics, we suggest guidelines to generate countermeasures to detect these types of attacks on indoor networks.</t>
  </si>
  <si>
    <t>Popkin, Barry/T-6633-2019; Montejo-Sánchez, Samuel/AAX-4151-2020; Meza, Cesar/D-6948-2014</t>
  </si>
  <si>
    <t>Lopez-Vilos, Nicolas/0000-0002-8372-7824</t>
  </si>
  <si>
    <t>978-1-7281-3185-6</t>
  </si>
  <si>
    <t>10.1109/chilecon47746.2019.8988035</t>
  </si>
  <si>
    <t>WOS:000542919100138</t>
  </si>
  <si>
    <t>Berrios, R; Totterdell, P; Kellett, S</t>
  </si>
  <si>
    <t>Berrios, Raul; Totterdell, Peter; Kellett, Stephen</t>
  </si>
  <si>
    <t>Silver linings in the face of temptations: how mixed emotions promote self-control efforts in response to goal conflict</t>
  </si>
  <si>
    <t>MOTIVATION AND EMOTION</t>
  </si>
  <si>
    <t>Choosing between conflicting goals is a frequent yet difficult problem, especially when temptations are involved because self-control effort is required to overcome them. This study investigated whether experiencing mixed emotions in response to goal conflict can facilitate the necessary self-control effort needed to resist temptations. A sample of 73 individuals participated in an intensive longitudinal study, completing several measures 4 times a day during ten consecutive days, producing over 2500 observations. Results derived from using multilevel structural equation modeling confirmed that mixed emotions mediated the relationship between perceived goal conflict and intentions to resist temptations, over and above the influence of single positive emotions or negative emotions, and trait levels of self-control. Implication of these findings for collaboration and the impact of mixed emotions in more general social dilemmas are explored.</t>
  </si>
  <si>
    <t>Berrios, Raul/G-5167-2019</t>
  </si>
  <si>
    <t>Berrios, Raul/0000-0003-1826-7822; Totterdell, Peter/0000-0002-5335-2611</t>
  </si>
  <si>
    <t>0146-7239</t>
  </si>
  <si>
    <t>1573-6644</t>
  </si>
  <si>
    <t>10.1007/s11031-018-9707-1</t>
  </si>
  <si>
    <t>WOS:000448432600009</t>
  </si>
  <si>
    <t>Aldabaldetrecu, M; Tamayo, L; Alarcon, R; Walter, M; Salas-Huenuleo, E; Kogan, MJ; Guerrero, J; Paez, M; Azócar, MI</t>
  </si>
  <si>
    <t>Aldabaldetrecu, Maialen; Tamayo, Laura; Alarcon, Romina; Walter, Mariana; Salas-Huenuleo, Edison; Kogan, Marcelo J.; Guerrero, Juan; Paez, Maritza; Azocar, Manuel I.</t>
  </si>
  <si>
    <t>Stability of Antibacterial Silver Carboxylate Complexes against Staphylococcus epidermidis and Their Cytotoxic Effects</t>
  </si>
  <si>
    <t>The antibacterial effects against Staphylococcus epidermidis of five silver carboxylate complexes with anti-inflammatory ligands were studied in order to analyze and compare them in terms of stability (in solution and after exposure to UV light), and their antibacterial and morphological differences. Four effects of the Ag-complexes were evidenced by transmission electronic microscopy (TEM) and scanning electronic microscopy (SEM): DNA condensation, membrane disruption, shedding of cytoplasmic material and silver compound microcrystal penetration of bacteria. 5-Chlorosalicylic acid (5Cl) and sodium 4-aminosalicylate (4A) were the most effective ligands for synthesizing silver complexes with high levels of antibacterial activity. However, Ag-5Cl was the most stable against exposure UV light (365 nm). Cytotoxic effects were tested against two kinds of eukaryotic cells: murine fibroblast cells (T10 1/2) and human epithelial ovarian cancer cells (A2780). The main objective was to identify changes in their antibacterial properties associated with potential decomposition and the implications for clinical applications.</t>
  </si>
  <si>
    <t>Salas-Huenuleo, Edison/AAF-6987-2019; Azocar, Manuel/I-1226-2013; kogan, Marcelo/I-2868-2013; Tamayo, Laura/I-8942-2018; Paez, Maritza/M-2010-2014</t>
  </si>
  <si>
    <t>Azocar Guzman, Manuel/0000-0003-1098-4659; Tamayo, Laura/0000-0003-1159-5305; paez, maritza/0000-0001-5881-884X; Salas-Huenuleo, Edison/0000-0003-4355-5252; Kogan, Marcelo/0000-0003-0608-5087</t>
  </si>
  <si>
    <t>10.3390/molecules23071629</t>
  </si>
  <si>
    <t>WOS:000445301800132</t>
  </si>
  <si>
    <t>Pacheco, M; Celentano, D; Garcia-Herrera, C; Mendez, J; Flores, F</t>
  </si>
  <si>
    <t>Pacheco, Matias; Celentano, Diego; Garcia-Herrera, Claudio; Mendez, Julio; Flores, Fernando</t>
  </si>
  <si>
    <t>Numerical simulation and experimental validation of a multi-step deep drawing process</t>
  </si>
  <si>
    <t>INTERNATIONAL JOURNAL OF MATERIAL FORMING</t>
  </si>
  <si>
    <t>This paper presents the numerical simulation of an industrial multi-step deep drawing process. A large strain finite element formulation including a hyperelastic elastoplastic constitutive model and a contact-friction law is used to this end where the steel sheet material parameters considered in the analysis are previously derived through a characterization procedure of its mechanical response. The numerical predictions of the final shape and thickness distribution of the blank are compared and discussed with available experimental values measured at the end of three successive drawing steps. In addition, a plastic work-based damage index is used to assess failure occurrence during the process. The damage values computed at the end of the drawing process are found to be lower than that corresponding to rupture in the tensile test, considered here as the threshold of failure, confirming, as observed experimentally, that neither fracture nor necking is developed in the blank during the whole drawing process. Finally, the possibility to carry out a reduced two-step drawing process, obtained by merging the second and third steps of the three-step process, is precluded since the damage criterion predicts in this case excessively large values that indicate that failure may occur in specific zones of the sheet.</t>
  </si>
  <si>
    <t>García-Herrera, Claudio/ABE-8991-2020; Celentano, Diego/JQW-5027-2023; Flores, Fernando/O-6756-2014</t>
  </si>
  <si>
    <t>Garcia-Herrera, Claudio/0000-0002-1283-8551; Pacheco-Alarcon, Matias/0000-0003-3366-1596</t>
  </si>
  <si>
    <t>1960-6206</t>
  </si>
  <si>
    <t>1960-6214</t>
  </si>
  <si>
    <t>10.1007/s12289-015-1255-6</t>
  </si>
  <si>
    <t>WOS:000394998100003</t>
  </si>
  <si>
    <t>Vergara-Fernández, A; Scott, F; Moreno-Casas, P; Díaz-Robles, L; Muñoz, R</t>
  </si>
  <si>
    <t>Vergara-Fernandez, Alberto; Scott, Felipe; Moreno-Casas, Patricio; Diaz-Robles, Luis; Munoz, Raul</t>
  </si>
  <si>
    <t>Elucidating the key role of the fungal mycelium on the biodegradation of n-pentane as a model hydrophobic VOC</t>
  </si>
  <si>
    <t>CHEMOSPHERE</t>
  </si>
  <si>
    <t>The role of the aerial mycelium of the fungus Fusarium solani in the biodegradation of n-pentane was evaluated in a continuous fungal bioreactor (FB) to determine the contribution of the aerial (hyphae) and non-aerial (monolayer) fungal biomass. The experimental results showed that although the aerial biomass fraction represented only 25.9(+/- 3)% on a dry weight basis, it was responsible for 71.6(+/- 4)% of n-pentane removal. The FB attained a maximum elimination capacity (ECmax) of 680(+/- 30) g m(-3) h(-1) in the presence of fungal hyphae (which supported an interfacial area of 5.5(+/- 1.5) x 10(6) m(2) m(-3)). In addition, a mathematical model capable of describing n-pentane biodegradation by the filamentous fungus was also developed and validated against the experimental data. This model successfully predicted the influence of the aerial biomass fraction and its partition coefficient on the n-pentane removal, with EC decreasing from 680(+/- 30) g m(-3) h(-1) to values of 200(+/- 14) g m(-3) h(-1) when the dimensionless partition coefficient increased from 0.21(+/- 0.09) with aerial biomass to 0.88(+/- 0.06) without aerial biomass. (C) 2016 Elsevier Ltd. All rights reserved.</t>
  </si>
  <si>
    <t>Vergara-Fernández, Alberto/D-1770-2011; Moreno, Patricio/AAZ-6949-2021; Munoz, Raul/E-6493-2010; Diaz-Robles, Luis/D-3450-2013; Scott, Felipe/K-4193-2016</t>
  </si>
  <si>
    <t>Vergara-Fernandez, Alberto/0000-0002-6075-9137; Munoz, Raul/0000-0003-1207-6275; Diaz-Robles, Luis/0000-0002-6098-7746; Scott, Felipe/0000-0003-2041-4641</t>
  </si>
  <si>
    <t>0045-6535</t>
  </si>
  <si>
    <t>1879-1298</t>
  </si>
  <si>
    <t>10.1016/j.chemosphere.2016.05.034</t>
  </si>
  <si>
    <t>WOS:000378452400012</t>
  </si>
  <si>
    <t>Jáuregui, C; Duarte, MA; Oróstica, R; Travieso, JC; Beytía, O</t>
  </si>
  <si>
    <t>Jauregui, C.; Duarte, M. A.; Orostica, R.; Travieso, J. C.; Beytia, O.</t>
  </si>
  <si>
    <t>Conical Tank Level Control with Fractional PID</t>
  </si>
  <si>
    <t>A simulation study of fractional order PID (FOPID) applied to level control in a conic tank is presented in this paper. An improved mathematical model to represent better the nonlinear dynamic of the conic tank is derived first. This new model is then used to design FOPID with tunning parameters optimized using Particle Swarm Optimization (PSO). The results obtained under reference level changes, are compared with those obtained using standard PID controllers with parameters tunned using the Root Locus Method (RLM) and also with PSO. From this comparison it is concluded that PSO tunned controllers present a better behavior as compared with RLM tunned controllers, considering the Integral of the Absolute Error (IAE) index. Among the PSO tunned controllers the FOPI is the one that had the lowest IAE.</t>
  </si>
  <si>
    <t>Travieso Torres, Juan carlos/N-6437-2019; Duarte-Mermoud, Manuel A./I-2693-2013</t>
  </si>
  <si>
    <t>Travieso Torres, Juan carlos/0000-0002-9246-4827; Duarte-Mermoud, Manuel A./0000-0003-2367-4553</t>
  </si>
  <si>
    <t>10.1109/TLA.2016.7555225</t>
  </si>
  <si>
    <t>WOS:000382638500011</t>
  </si>
  <si>
    <t>Eguía, RA; Miranda, CV; Donoso, RQ; Silva, MS; Coccio, N; Cortés, P; Delarze, C; Flores, C</t>
  </si>
  <si>
    <t>Aguilera Eguia, Raul; Vergara Miranda, Camila; Quezada Donoso, Romina; Sepulveda Silva, Mabel; Coccio, Nicol; Cortes, Patricio; Delarze, Carlos; Flores, Cherie</t>
  </si>
  <si>
    <t>HIGH-INTENSITY INTERVAL EXERCISE THERAPY TO REDUCE CARDIOVASCULAR RISK FACTORS IN PEOPLE WITH THE METABOLIC SYNDROME; SYSTEMATIC REVIEW WITH META-ANALYSIS</t>
  </si>
  <si>
    <t>NUTRICION HOSPITALARIA</t>
  </si>
  <si>
    <t>Metabolic syndrome is a cluster of cardiovascular risk factors including central obesity, high blood pressure, insulin resistance and dyslipidemia. To determine the effect of high intensity interval exercise on cardiovascular risk factors in people with metabolic syndrome. Methods: we searched the basis of WOS, Medline, Lilacs, PEDro data and the Epistemonikos and metasearch Trip Database. A manual search was conducted, monitoring relevant references are made, protocols of RCTs were searched and contacted experts in the area. Results: the pre-remove search yielded a total of 239 potentially eligible articles, according to the eligibility criteria only include three systematic reviews. Conclusion: there are no major differences in relation to body mass index, waist circumference, fasting glucose, high density lipoprotein and triglycerides. Regarding blood pressure was higher than continuous moderate-intensity exercise. Comparing the high-intensity interval exercise versus control, the first was superior in all analyzed results.</t>
  </si>
  <si>
    <t>Coccio Muñoz, Nicol/KTI-4769-2024; Aguilera, Raúl/M-1280-2019; Flores, Cherie/AAC-6868-2020; Cortes Rodriguez, Patricio/T-9156-2017; Aguilera, Raul/F-9173-2019</t>
  </si>
  <si>
    <t>Cortes Rodriguez, Patricio/0000-0002-5645-6440; Flores-Fernandez, Cherie/0000-0001-5294-7157; Aguilera, Raul/0000-0002-4123-4255</t>
  </si>
  <si>
    <t>0212-1611</t>
  </si>
  <si>
    <t>1699-5198</t>
  </si>
  <si>
    <t>10.3305/nh.2015.32.6.9776</t>
  </si>
  <si>
    <t>WOS:000367417600014</t>
  </si>
  <si>
    <t>Alburquenque, D; Vargas, E; Denardin, JC; Escrig, J; Marco, JF; Ortiz, J; Gautier, JL</t>
  </si>
  <si>
    <t>Alburquenque, D.; Vargas, E.; Denardin, J. C.; Escrig, J.; Marco, J. F.; Ortiz, J.; Gautier, J. L.</t>
  </si>
  <si>
    <t>Physical and electrochemical study of cobalt oxide nano- and microparticles</t>
  </si>
  <si>
    <t>MATERIALS CHARACTERIZATION</t>
  </si>
  <si>
    <t>Cobalt oxide nanocrystals of size 17-21 nm were synthesized by a simple reaction between cobalt acetate (II) and dodecylamine. On the other hand, micrometric Co3O4 was prepared using the ceramic method. The structural examination of these materials was performed using powder X-ray diffraction (XRD), Fourier transform infrared spectroscopy (FTIR), and transmission electron microscopy (TEM and HRTEM). XRD studies showed that the oxides were pure, well-crystallized, spinel cubic phases with a-cell parameter of 0.8049 nm and 0.8069 nm for the nano and micro-oxide, respectively. The average particle size was 19 nm (nano-oxide)and 1250 mu m (micro-oxide). Morphological studies carried out by SEM and TEM analyses have shown the presence of octahedral particles in both cases. Bulk and surface properties investigated by X-ray photoelectron spectroscopy (XPS), point zero charge (pzc), FTIR and cyclic voltammetry indicated that there were no significant differences in the composition on both materials. The magnetic behavior of the samples was determined using a vibrating sample magnetometer. The compounds showed paramagnetic character and no coercivity and remanence in all cases. Galvanostatic measurements of electrodes formed with nanocrystals showed better performance than those built with micrometric particles. (C) 2014 Elsevier Inc. All rights reserved.</t>
  </si>
  <si>
    <t>Denardin, Juliano/S-6407-2019; Ortiz, Janel/KZC-3366-2024; Escrig, Juan/N-4304-2015; Marco, JF/N-3176-2014</t>
  </si>
  <si>
    <t>Escrig, Juan/0000-0002-3958-8185; Marco, JF/0000-0002-5147-1449; Alburquenque, Daniela/0000-0001-9236-3308; Denardin, Juliano/0000-0002-1373-6207</t>
  </si>
  <si>
    <t>1044-5803</t>
  </si>
  <si>
    <t>1873-4189</t>
  </si>
  <si>
    <t>10.1016/j.matchar.2014.02.015</t>
  </si>
  <si>
    <t>WOS:000337863600021</t>
  </si>
  <si>
    <t>Cuevas, C; Henríquez, HR; Soto, H</t>
  </si>
  <si>
    <t>Cuevas, Claudio; Henriquez, Hernan R.; Soto, Herme</t>
  </si>
  <si>
    <t>Asymptotically periodic solutions of fractional differential equations</t>
  </si>
  <si>
    <t>We study the existence of pseudo S-asymptotically omega-periodic mild solutions for a class of abstract fractional differential equation. (C) 2014 Elsevier Inc. All rights reserved.</t>
  </si>
  <si>
    <t>Cuevas, Claudio/A-5896-2012</t>
  </si>
  <si>
    <t>10.1016/j.amc.2014.03.037</t>
  </si>
  <si>
    <t>WOS:000335899200049</t>
  </si>
  <si>
    <t>Martínez, C; Ordoñez, S; Guzmán, D; Serafini, D; Iturriza, I; Bustos, O</t>
  </si>
  <si>
    <t>Martinez, C.; Ordonez, S.; Guzman, D.; Serafini, D.; Iturriza, I.; Bustos, O.</t>
  </si>
  <si>
    <t>Phase evolution and thermal stability of 2 Mg-Cu alloys processed by mechanical alloying</t>
  </si>
  <si>
    <t>Phase evolution during mechanical alloying (MA) of elemental Mg and Cu powders and their subsequent heat treatment is studied. Elemental Mg and Cu powders in a 2:1 atomic ratio were mechanically alloyed in a SPEX 8000D mill using a 10:1 ball-to-powder ratio. X-ray diffraction (XRD) shows that the formation of the intermetallic Mg2Cu takes place between 3 and 4 h of milling, although traces of elemental Cu are still present after 10 h of milling. The thermal behavior of different powder mixtures was evaluated by differential scanning calorimetry (DSC). The combination of DSC, heat treatment and XRD has shown a sequence of phase transformations that results in the intermetallic Mg2Cu from an amorphous precursor. This amorphous phase is converted into Mg2Cu by heating at low temperature (407 K). Short MA times and the formation of the amorphous precursor, together with its subsequent transformation into Mg2Cu at low temperatures; represent an advantageous alternative route for its preparation. (c) 2013 Elsevier B.V. All rights reserved.</t>
  </si>
  <si>
    <t>Iturriza, Inigo/ABK-3882-2022; Martinez Ugalde, Carola/P-5399-2018</t>
  </si>
  <si>
    <t>Guzman Mendez, Danny/0000-0002-8020-9247; Martinez Ugalde, Carola/0000-0001-5247-6703; Serafini, Daniel/0000-0002-1764-5900; Inigo, Iturriza/0000-0003-1662-4945</t>
  </si>
  <si>
    <t>DEC 25</t>
  </si>
  <si>
    <t>10.1016/j.jallcom.2013.07.064</t>
  </si>
  <si>
    <t>WOS:000324823000040</t>
  </si>
  <si>
    <t>Abdelkader, F; Khezzar, L; Siginer, DA; Nemouchi, Z</t>
  </si>
  <si>
    <t>Abdelkader, Filali; Khezzar, Lyes; Siginer, Dennis A.; Nemouchi, Zoubir</t>
  </si>
  <si>
    <t>GRAETZ PROBLEM USING FENE-P FLUIDS WITHOUT VISCOUS DISSIPATION</t>
  </si>
  <si>
    <t>PROCEEDINGS OF THE ASME INTERNATIONAL MECHANICAL ENGINEERING CONGRESS AND EXPOSITION - 2012, VOL 7, PTS A-D</t>
  </si>
  <si>
    <t>NOV 09-15, 2012</t>
  </si>
  <si>
    <t>Houston, TX</t>
  </si>
  <si>
    <t>A numerical investigation of heat transfer with viscoelastic fluid based on the FENE-P model in the entrance region of an axisymmetric pipe is carried out to analyze the influence of the rheological parameters on heat transfer enhancement with negligible axial heat conduction and viscous dissipation. Numerical simulation is conducted using the finite element based software Polyflow. The analysis considers a constant wall heat flux boundary condition and shows that an increase in fluid elasticity raised the normalized heat transfer coefficient due to the increased level of shear-thinning behaviour. But increasing the extensibility parameter L-2 leads to a decrease in Nusselt number.</t>
  </si>
  <si>
    <t>KHEZZAR, Lyes/LDF-3636-2024</t>
  </si>
  <si>
    <t>978-0-7918-4523-3</t>
  </si>
  <si>
    <t>WOS:000350071100132</t>
  </si>
  <si>
    <t>Cuevas, C; Lizama, C; Soto, H</t>
  </si>
  <si>
    <t>Cuevas, Claudio; Lizama, Carlos; Soto, Herme</t>
  </si>
  <si>
    <t>Asymptotic Periodicity for Strongly Damped Wave Equations</t>
  </si>
  <si>
    <t>This work deals with the existence and uniqueness of asymptotically almost-periodic mild solutions for a class of strongly damped semilinear wave equations.</t>
  </si>
  <si>
    <t>Cuevas, Claudio/A-5896-2012; Lizama, Carlos/E-5909-2011</t>
  </si>
  <si>
    <t>10.1155/2013/308616</t>
  </si>
  <si>
    <t>WOS:000324681100001</t>
  </si>
  <si>
    <t>Vera-Villarroel, P; Urzúa, A; Silva, JR; Pavez, P; Celis-Atenas, K</t>
  </si>
  <si>
    <t>Vera-Villarroel, Pablo; Urzua M, Alfonso; Silva, Jaime R.; Pavez, Paula; Celis-Atenas, Karem</t>
  </si>
  <si>
    <t>Ryff Scale of Well-Being: Factorial Structure of Theoretical Models in Different Age Groups</t>
  </si>
  <si>
    <t>PSICOLOGIA-REFLEXAO E CRITICA</t>
  </si>
  <si>
    <t>The scale of psychological well-being arises from the multidimensional model proposed by Ryff (1989). Despite its wide use, its initial theoretical structure has not been completely confirmed because other factorial solutions which are different from those 6 dimensions proposed by the author have been found. These differences may be related to the type of sample and population used. Given this fact, the current study compares the adjustment factor of correction models traditionally used in different groups of adults. We describe the psychometric properties of the Spanish adaptation done by Diaz et al. (2006) and analyze the levels of reliability (internal consistency and temporal stability) and confirmatory factorial structure with data from 1,646 people aged from 18 to 90 years old. Differences are found in the indicators of reliability for the total scale and its dimensions as well as in the indicators of goodness of fit depending on the age group. The model that presents the best indicators of adjustment for most age ranges evaluated was the one of six first-order factors.</t>
  </si>
  <si>
    <t>Vera-Villarroel, Pablo/AAQ-8476-2020; pavez, paula/ITT-0755-2023; Silva, Jaime/D-8200-2017; Urzua, Alfonso/A-1208-2012; Vera-Villarroel, Pablo/A-1134-2011</t>
  </si>
  <si>
    <t>Urzua, Alfonso/0000-0002-0882-2194; Vera-Villarroel, Pablo/0000-0001-9187-8414</t>
  </si>
  <si>
    <t>0102-7972</t>
  </si>
  <si>
    <t>1678-7153</t>
  </si>
  <si>
    <t>10.1590/S0102-79722013000100012</t>
  </si>
  <si>
    <t>WOS:000327706000012</t>
  </si>
  <si>
    <t>Rivas-Aravena, A; Martin, MCS; Galaz, J; Imarai, M; Miranda, D; Spencer, E; Sandino, AM</t>
  </si>
  <si>
    <t>Rivas-Aravena, A.; Cortez-San Martin, M.; Galaz, J.; Imarai, M.; Miranda, D.; Spencer, E.; Sandino, A. M.</t>
  </si>
  <si>
    <t>Evaluation of the immune response against immature viral particles of infectious pancreatic necrosis virus (IPNV): A new model to develop an attenuated vaccine</t>
  </si>
  <si>
    <t>VACCINE</t>
  </si>
  <si>
    <t>Infectious pancreatic necrosis virus (IPNV) is a worldwide problem affecting both freshwater and seawater fish. Vaccines developed against IPNV are not as efficient in the field as they are in tests. Moreover, research in the development of vaccines against IPNV has often shown that vaccines can stimulate the immune response of fish antibodies but do not protect efficiently against IPNV. In fact, sometimes dead infected fish show high antibody titers against IPNV. This suggests that the magnitude of total antibodies stimulated by the vaccine is not necessarily related to the level of protection against IPN, suggesting that a new method is needed to evaluate vaccine stimulation of the immune system. We propose in vitro evaluation of the non-specific cytotoxic cells (NCC) of the innate immune response, in addition to humoral specific response. Moreover, it is necessary to develop innovative methods to improve fish vaccines. In this work. IPNV replicative intermediaries (provirus) were used to inject rainbow trout fry, which is the most vulnerable state to IPNV. To evaluate the immune response triggered by this vaccine, NCC and total and neutralizing antibodies against IPNV and the provirus were determined. Results indicated that NCC activity in rainbow trout fry is triggered by IPNV infection. Both IPNV and the provirus stimulate humoral and NCC immune response in rainbow trout fry. Although the total antibodies triggered by the provirus were half of that triggered by IPNV infection, the number of neutralizing antibodies was similar in the two treatments. This suggests that the ratio of neutralizing antibodies is higher among the antibodies stimulated by provirons than among those stimulated by IPNV infection. Thus, immature provirus is sufficient to activate immune response and is a good candidate as an attenuated vaccine in rainbow trout fry. In addition, neutralizing antibodies, together with non-specific cytotoxic activity, are a more suitable strategy to evaluate new vaccines than humoral immune response alone. (C) 2012 Published by Elsevier Ltd.</t>
  </si>
  <si>
    <t>Imarai, Monica/0000-0001-8767-9180; SANDINO, ANA MARIA/0000-0002-3862-3743; Spencer, Eugenio/0000-0001-6109-140X</t>
  </si>
  <si>
    <t>0264-410X</t>
  </si>
  <si>
    <t>JUL 20</t>
  </si>
  <si>
    <t>10.1016/j.vaccine.2012.05.062</t>
  </si>
  <si>
    <t>WOS:000306982000009</t>
  </si>
  <si>
    <t>Redel, YD; Escudey, M; Alvear, M; Conrad, J; Borie, F</t>
  </si>
  <si>
    <t>Redel, Y. D.; Escudey, M.; Alvear, M.; Conrad, J.; Borie, F.</t>
  </si>
  <si>
    <t>Effects of tillage and crop rotation on chemical phosphorus forms and some related biological activities in a Chilean Ultisol</t>
  </si>
  <si>
    <t>SOIL USE AND MANAGEMENT</t>
  </si>
  <si>
    <t>The effect of tillage systems and crop rotation on microbial biomass phosphorus (MBP) and acid phosphatase (P-ase) activity, and the amount of different phosphorus (P) forms measured by 31P-NMR spectroscopy were studied on a field experiment carried out in a temperate Ultisol from southern Chile. Two tillage systems, no tillage (NT) and conventional tillage (CT) and two crop rotations, oat-wheat (OW) and lupine-wheat (LW) were evaluated 4 yr after the start of the experiment to determine the effects of such management on some soil biological parameters and P forms at three depths (0-5, 0-10 and 10-20 cm). Microbial biomass P ranged from 6.5 to 22.6 mg/kg, whereas the mean total P (P-T) was 1995 mg/kg for all treatments (OW and LW). Microbial biomass carbon (MBC) and surface P accumulation (at 0-5 cm depth), including Olsen P, MBP, orthophosphate monoesters (monoester-P), were larger under NT than CT. Tillage effects were greater than crop rotation effects in enhancing P availability. The LW rotation showed enhanced P-ase activity and increased monoester-P forms (57 vs. 30% of the total integral area of the spectra, in average) compared with OW. Nevertheless, OW rotation increased orthophosphate (ortho-P), especially at 10-20 cm. Microbial biomass carbon ranged from 532 to 2351 mg/kg, which represented 1.2-4.5% of total organic C (C-o). Furthermore, MBP correlated positively with MBC (r = 0.80), Olsen P (r = 0.77), C-o (r = 0.77), pH (r = 0.65), P-T (r = 0.65) and P-ase activity (r = 0.57), suggesting the importance of the microbial biomass on soil P availability.</t>
  </si>
  <si>
    <t>redel, yonathan/JCE-1544-2023</t>
  </si>
  <si>
    <t>0266-0032</t>
  </si>
  <si>
    <t>1475-2743</t>
  </si>
  <si>
    <t>10.1111/j.1475-2743.2011.00334.x</t>
  </si>
  <si>
    <t>WOS:000290872100011</t>
  </si>
  <si>
    <t>Da Silva, L; Morales, L; Cordero, RR</t>
  </si>
  <si>
    <t>Da Silva, L.; Morales, L.; Cordero, R. R.</t>
  </si>
  <si>
    <t>Influence of the stratospheric humidity and methane on the ozone column depletion over the western side of South America</t>
  </si>
  <si>
    <t>NUOVO CIMENTO DELLA SOCIETA ITALIANA DI FISICA B-BASIC TOPICS IN PHYSICS</t>
  </si>
  <si>
    <t>The ozone column depletion over the western side of South America has been previously explained as a, consequence of winds in the area of the depletion, which lead to the compression and thinning of the ozone layer. However, humidity and methane (originated in the Amazon forest and the Pacific Ocean) transported by these winds toward the stratosphere may also have a role in the ozone depletion. Oxidation of methane generates additional humidity, which in turn reacts,with ozone, destroying it. Humidity and methane levels were measured by NASA and HALOE during an ozone depletion event (,January 1998) that occurred along with El Nino. By analyzing these, measurements, we found that, at different; altitudes, changes in the humidity seem to be associated with changes in the ozone such that an increment. of humidity may lead to an ozone depletion. Moreover, we found that during the event, the sum 2CH4+H2O was roughly constant only at attitudes lower than 50 km; the ratio CH4/H2O exhibited an exponential decay with the altitude that may allow assessing the generation mechanism of stratospheric humidity from methane.</t>
  </si>
  <si>
    <t>Cordero, Raul/M-7979-2017; Morales-Salinas, Luis/B-5545-2014</t>
  </si>
  <si>
    <t>Cordero, Raul R./0000-0001-7607-7993</t>
  </si>
  <si>
    <t>2037-4895</t>
  </si>
  <si>
    <t>1594-9982</t>
  </si>
  <si>
    <t>10.1393/ncb/i2009-10774-x</t>
  </si>
  <si>
    <t>WOS:000271545900008</t>
  </si>
  <si>
    <t>Lorca, S; Souto, MA; Ubilla, P</t>
  </si>
  <si>
    <t>Lorca, Sebastian; Souto, Marco Aurelio; Ubilla, Pedro</t>
  </si>
  <si>
    <t>Superlinear equations involving nonlinearities limited by asymptotically homogeneous functions</t>
  </si>
  <si>
    <t>JOURNAL OF INEQUALITIES AND APPLICATIONS</t>
  </si>
  <si>
    <t>We obtain a solution of the quasilinear equation - Delta(p)u = f (u) in Omega, u = 0, on partial derivative Omega. Here the nonlinearity f is superlinear at zero, and it is located near infinity between two functions that belong to a class of functions where the Ambrosetti-Rabinowitz condition is satisfied. More precisely, we consider the class of functions that are asymptotically homogeneous of index q.</t>
  </si>
  <si>
    <t>Souto, Marco/0000-0002-2826-2534</t>
  </si>
  <si>
    <t>1029-242X</t>
  </si>
  <si>
    <t>10.1155/2007/58363</t>
  </si>
  <si>
    <t>WOS:000247594900001</t>
  </si>
  <si>
    <t>Rojas, GM; Raff, U; Quintana, JC; Huete, I; Hutchinson, M</t>
  </si>
  <si>
    <t>Rojas, G. M.; Raff, U.; Quintana, J. C.; Huete, I.; Hutchinson, M.</t>
  </si>
  <si>
    <t>Image fusion in neuroradiology: Three clinical examples including MRI of Parkinson disease</t>
  </si>
  <si>
    <t>COMPUTERIZED MEDICAL IMAGING AND GRAPHICS</t>
  </si>
  <si>
    <t>Image data fusion has been developed over the last decade as an important additional visual diagnostic tool to integrate the growing amount of imaging data obtained from different medical imaging modalities. The overwhelming amount of digital information calls for data consolidation to improve clinical treatment strategies based upon anatomical and physiological imaging. Three different low level image data fusion techniques are described and their characteristics are illustrated with some rare yet key examples. We used MR images to show neurodegeneration in the cerebral peduncle of the midbrain and found that image data fusion using colors can be a valuable tool to visually assess and quantify the loss of neural cells in the Substantia Nigra pars compacta in Parkinson's disease. (c) 2006 Elsevier Ltd. All rights reserved.</t>
  </si>
  <si>
    <t>Rojas, Gonzalo/B-2036-2013</t>
  </si>
  <si>
    <t>Rojas-Costa, Gonzalo/0000-0002-6228-2678</t>
  </si>
  <si>
    <t>0895-6111</t>
  </si>
  <si>
    <t>10.1016/j.compmedimag.2006.10.002</t>
  </si>
  <si>
    <t>WOS:000243782400003</t>
  </si>
  <si>
    <t>Dreyse, P; Ramirez, G; Riquelme, A; Isaacs, M</t>
  </si>
  <si>
    <t>Dreyse, Paulina; Ramirez, Galo; Riquelme, Andrea; Isaacs, Mauricio</t>
  </si>
  <si>
    <t>Spectroelectrochemical studies on ITO modified electrodes with a conducting cobalt (II)macrocycle film in the electrochemical reduction of CO2''</t>
  </si>
  <si>
    <t>The spectroelectrochemical properties of a conducting polymer derived from Co(II) tetra-3-amino-phenyl-porphyrin,(poly-Co(II)-TAPP) were studied towards the electrochemical reduction of CO2 on ITO Surface. Under inert atmosphere, the results show that the polymer present a stable Co(I) oxidation state only in basic pH while in more acidic solution this Co(I) does not stabilize. Under CO2 atmosphere the reduced polymer forms a stable adduct with no clear electronic localization. The formation and the stability of this adduct could explain the wide distribution of reaction products.</t>
  </si>
  <si>
    <t>Isaacs, Mauricio/N-3027-2013; Dreyse, Paulina/KSM-6016-2024</t>
  </si>
  <si>
    <t>Dreyse, Paulina/0000-0003-0695-7885; Isaacs Casanova, Mauricio/0000-0003-0503-0949; Ramirez, Galo/0000-0002-6217-4730</t>
  </si>
  <si>
    <t>WOS:000238131700017</t>
  </si>
  <si>
    <t>Zuñiga, J; Lillo, L; Shin, JJ; Machavarapu, RL; Quiroga, T; Goycoolea, M; Matsuhiro, B; Aron-Hott, L; Godfrey, HP; Cabello, FC</t>
  </si>
  <si>
    <t>Salmonella enterica Serovar typhi 0:1,9,12 polysaccharide-protein conjugate as a diagnostic tool for typhoid fever</t>
  </si>
  <si>
    <t>JOURNAL OF CLINICAL MICROBIOLOGY</t>
  </si>
  <si>
    <t>Serologic tests play an important role in diagnosis of typhoid fever. In an effort to develop a more defined reagent for these tests, purified Salmonella enterica serovar Typhi (ST) 0:1,9,12 polysaccharide was conjugated to human serum albumin (HSA), and the conjugate was purified chromatographically to yield a reagent with 2 moles ST O polysaccharide per mole HSA. In 40 patients with bacteriologically confirmed typhoid fever, significant dot immunobinding titers (&gt;= 20,000) were present in 28 (70%) tested with 100 ng of ST O antigen-HSA (ST O-HSA) conjugate, in 38 (95%) tested with 100 ng of ST lipopolysaccharide, and in 16 (40%) tested with purified unconjugated ST O chains. In sera from 22 patients with other nontyphoid fevers, 2 (9.1%) had such reactivities with 100 ng of ST O-HSA, 1 (4.5%) had such reactivity with 100 ng of ST lipopolysaccharide (4.5%), and none reacted with 100 ng of unconjugated ST O chains. None of the 17 healthy-control sera reacted significantly with any of the ST reagents. None of the patient or control sera reacted with unconjugated HSA. The sensitivity of dot immunobinding for typhoid fever was 70% with 100 ng of ST O-HSA, somewhat lower than that with 100 ng of ST lipopolysaccharide (95%) but similar to that of the Widal H agglutination test with a &gt;= 1/160 cutoff (74%). Specificities of these tests were 91%, 95%, and 86%, respectively. These preliminary results suggest that ST O polysaccharide-protein conjugates could provide a nontoxic, easily quality-controlled synthetic reagent for analysis of human immune responses to ST as well as for the development of new diagnostics and vaccines for typhoid fever.</t>
  </si>
  <si>
    <t>Zuñiga-Hernandez, Jessica/AGC-4271-2022</t>
  </si>
  <si>
    <t>Zuniga-Hernandez, Jessica/0000-0003-2930-991X; Godfrey, Henry/0000-0002-7195-6363</t>
  </si>
  <si>
    <t>0095-1137</t>
  </si>
  <si>
    <t>1098-660X</t>
  </si>
  <si>
    <t>10.1128/JCM.43.9.4545-4550.2005</t>
  </si>
  <si>
    <t>WOS:000232020400036</t>
  </si>
  <si>
    <t>Gobbi, M; Funicello, M; Mennini, T; Sitte, H; Reyes-Parada, M</t>
  </si>
  <si>
    <t>Gobbi, M.; Funicello, M.; Mennini, T.; Sitte, H.; Reyes-Parada, M.</t>
  </si>
  <si>
    <t>New hypothesis for the role of 5-HT transporter in the effect of amphetamine derivatives in synaptosomes</t>
  </si>
  <si>
    <t>FUNDAMENTAL &amp; CLINICAL PHARMACOLOGY</t>
  </si>
  <si>
    <t>0767-3981</t>
  </si>
  <si>
    <t>WOS:000208663600754</t>
  </si>
  <si>
    <t>Fierro, A; Rezende, MC; Sepúlveda-Boza, S; Reyes-Parada, M; Cassels, BK</t>
  </si>
  <si>
    <t>Heterogeneous catalysts in the preparation of 2-aryl-1,3-dinitropropanes from β-nitrostyrenes or benzaldehydes</t>
  </si>
  <si>
    <t>The use of heterogeneous basic catalysts (KF, NaHCO3) in the preparation of 2-Aryl-1,3-dinitropropanes from beta -nitrostyrenes or benzaldehydes is described, with one example followed kinetically by HPLC analysis of aliquots of the reaction.</t>
  </si>
  <si>
    <t>Cassels, Bruce/H-6937-2013; Caroli, Marcos/H-3570-2019</t>
  </si>
  <si>
    <t>Fierro Huerta, Angelica/0000-0002-6507-4188; Rezende, Marcos/0000-0003-2040-9009</t>
  </si>
  <si>
    <t>WOS:000171089700016</t>
  </si>
  <si>
    <t>Cid, C; Yarur, C</t>
  </si>
  <si>
    <t>Cid, Carlos; Yarur, Cecilia</t>
  </si>
  <si>
    <t>EXISTENCE OF SOLUTIONS FOR A SUBLINEAR SYSTEM OF ELLIPTIC EQUATIONS</t>
  </si>
  <si>
    <t>ELECTRONIC JOURNAL OF DIFFERENTIAL EQUATIONS</t>
  </si>
  <si>
    <t>We study the existence of non-trivial non-negative solutions for the system -Delta u = |x|(a) v(p) Delta v = |x|(b) u(q), where p and q are positive constants with pq &lt; 1, and the domain is the unit ball of R-N (N &gt; 2) except for the center zero. We look for pairs of functions that satisfy the above system and Dirichlet boundary conditions set to zero. Our results also apply to some super-linear systems.</t>
  </si>
  <si>
    <t>1072-6691</t>
  </si>
  <si>
    <t>MAY 9</t>
  </si>
  <si>
    <t>WOS:000208500100001</t>
  </si>
  <si>
    <t>Mestre, C; Hernandez, A; Eschalier, A; Pelissier, T</t>
  </si>
  <si>
    <t>Effects of clomipramine and desipramine on a C-fiber reflex in rats</t>
  </si>
  <si>
    <t>A C-fiber nociceptive reflex evoked by electrical stimulation within the territory of the sural nerve, was recorded from the ipsilateral biceps femoris muscle in urethane anesthetized rats. Intravenously administered clomipramine and desipramine produced a dose-dependent depression of the C-fiber reflex. High doses of intrathecal desipramine also inhibited the C-fiber reflex, while similar intrathecal doses of clomipramine produced only a modest inhibition of the response. Intracerebroventricular administration of clomipramine decreased dose-dependently the C-fiber reflex whereas intracerebroventricular desipramine increased this reflex. These findings suggest that tricyclic antidepressants with noradrenergic selectivity, as desipramine, inhibit the spinal processing of C inputs by acting directly at the spinal cord level, while those with serotonergic spectra, as clomipramine, depress the C-fiber-evoked spinal reflex by acting at a supraspinal modulatory site. (C) 1997 Elsevier Science B.V.</t>
  </si>
  <si>
    <t>Hernandez, Alejandro/M-4796-2019; ESCHALIER, Alain/L-9957-2015</t>
  </si>
  <si>
    <t>10.1016/S0014-2999(97)01156-4</t>
  </si>
  <si>
    <t>WOS:A1997YC09000001</t>
  </si>
  <si>
    <t>Bazaes, S; Montecinos, L; Krautwurst, H; Goldie, H; Cardemil, E; Jabalquinto, AM</t>
  </si>
  <si>
    <t>Identification of reactive conserved histidines in phosphoenolpyruvate carboxykinases from Escherichia coli and Saccharomyces cerevisiae</t>
  </si>
  <si>
    <t>BIOCHIMICA ET BIOPHYSICA ACTA-PROTEIN STRUCTURE AND MOLECULAR ENZYMOLOGY</t>
  </si>
  <si>
    <t>Escherichia coli and Saccharomyces cerevisiae phosphoenolpyruvate (PEP) carboxykinases are inactivated by diethylpyrocarbonate (DEP). Inactivation follows pseudo-first-order kinetics and exhibits a second order rate constant of 0.8 M(-1) s(-1) for the bacterial enzyme and of 3.3 M(-1) s(-1) for the yeast carboxykinase, A mixture of ADP + PEP + MnCl2 protects against inactivation by DEP, suggesting that residues within the active site are being modified. After digestion of the modified proteins with trypsin, the labeled peptides were isolated by reverse-phase high-performance liquid chromatography and sequenced by Edman degradation. His-271 of E. coli carboxykinase and His-273 of the yeast enzyme were identified as the reactive amino-acid residues. The modified histidine residues occupy equivalent positions in these enzymes, and they are located in a highly conserved region of all ATP-dependent phosphoenolpyruvate carboxykinases described so far.</t>
  </si>
  <si>
    <t>0167-4838</t>
  </si>
  <si>
    <t>FEB 8</t>
  </si>
  <si>
    <t>10.1016/S0167-4838(96)00155-0</t>
  </si>
  <si>
    <t>WOS:A1997WH36500002</t>
  </si>
  <si>
    <t>MOTTA, PM; NOTTOLA, SA; PEREDA, J; CROXATTO, HB; FAMILIARI, G</t>
  </si>
  <si>
    <t>ULTRASTRUCTURE OF HUMAN CUMULUS-OOPHORUS - A TRANSMISSION ELECTRON-MICROSCOPIC STUDY ON OVIDUCTAL OOCYTES AND FERTILIZED-EGGS</t>
  </si>
  <si>
    <t>The aim of the present study was to assess the heterogeneity of cumulus cells that occurs in human cumuli associated with oviductal oocytes and fertilized eggs. Transmission electron microscopy was used to study the cumulus masses surrounding both unfertilized oocytes and fertilized eggs (a pronuclear and a 4-cell stage) recovered at different intervals after ovulation, The specimens were obtained by flushing the oviducts of normal cycling women who underwent surgical sterilization, The cumuli were expanded due to large and irregular intercellular spaces; small linear gap junctions were seen at cell contacts, whereas annular gap junctions were found only in the cytoplasm of some cells, Both types of junction were less abundant in fertilized specimens, Cells surrounding fertilized eggs projected numerous long, thin microvilli into the intercellular spaces, As a rule, the inner layer of the cumulus mass (corona cells) was composed of cells whose surface was relatively smooth, Cumulus cells showed oval nuclei with one or more nucleoli, The cytoplasm of most cells possessed abundant organelles typical of steroidosynthesis: (i) mitochondria with tubular or villiform cristae; (ii) a well-developed smooth endoplasmic reticulum; and (iii) electron dense lipid droplets often surrounded by a few concentric membranes of smooth endoplasmic reticulum and/or in close contact with microtubules and microfilaments, Microperoxisome-like structures were also present. After fertilization, an enhancement of the steroidosynthetic characteristics occurred in the outer layers of the cumulus mass, but not in the corona cells, which still appeared capable of protidosynthesis. Together, these morphological features support the hypothesis that the cumulus of oviductal oocytes and particularly of fertilized eggs, luteinizes like parietal granulosa cells, generating a steroid hormonal microenvironment in the oviduct which may affect fertilization and zygote segmentation, Cumulus cells showing spermiophagic activity, as well as activated macrophages, leukocytes and red blood cells, were also found in the cumulus mass, The macrophages may play a local role both by phagocytic activity and by modulating the steroid secretion of the neighbouring cumulus cells which occurs in the ovarian follicle and corpus luteum, In conclusion, the cumulus mass surrounding tubal oocytes and fertilized eggs appears to be a heterogeneous and dynamic system, in which the micro-environment for fertilization and early embryo development is provided by diverse cell populations in addition to the oviductal cells.</t>
  </si>
  <si>
    <t>Familiari, Giuseppe/0000-0002-3456-1434</t>
  </si>
  <si>
    <t>WOS:A1995RZ83000029</t>
  </si>
  <si>
    <t>DAZA, VP; DEALVARENGA, AG; DEDIEGO, J</t>
  </si>
  <si>
    <t>EXACT-SOLUTIONS FOR CONSTRAINED 2-DIMENSIONAL CUTTING PROBLEMS</t>
  </si>
  <si>
    <t>The constrained two-dimensional cutting problem is concerned with the way a set of pieces should be cut from a plate, taking into account that the cuts are of the guillotine type and that the number of times a piece can be cut is limited. Both plate and pieces are rectangular shaped. Yr 1983, Wang proposed an algorithm for incremental development of rectangles. Later, Oliveira and Ferreira not only proposed but numerically tested an improvement to the algorithm as, A generalization of these methods is proposed. It will be stated that such methods are particular cases of uninformed search methods, widely studied in the area of Artificial Intelligence. Knowing that more efficient methods exist, namely 'informed methods', different alternatives to orientate the search process, while reducing the required computer memory and time, are defined. Using an adequate selection of an heuristic function it is possible to guarantee the determination of a best solution. Such ideas are numerically tested in this work. The results indicate the superiority of the proposed algorithm.</t>
  </si>
  <si>
    <t>10.1016/0377-2217(95)00028-O</t>
  </si>
  <si>
    <t>WOS:A1995RJ00300011</t>
  </si>
  <si>
    <t>BAMON, R; PLAZA, S; VERA, J</t>
  </si>
  <si>
    <t>ON CENTRAL CANTOR SETS WITH SELF-ARITHMETIC DIFFERENCE OF POSITIVE LEBESGUE MEASURE</t>
  </si>
  <si>
    <t>We prove the existence of C-r- (but not C-r+1-) regular central Canter sets with zero Lebesgue measure such that their self arithmetic difference is a Canter set with positive Lebesgue measure. This is motivated by a conjecture in the field of bifurcations of dynamical systems posed by Jacob Palis.</t>
  </si>
  <si>
    <t>Plata, Sergio/AAA-6144-2019</t>
  </si>
  <si>
    <t>10.1112/jlms/52.1.137</t>
  </si>
  <si>
    <t>WOS:A1995TD97400011</t>
  </si>
  <si>
    <t>GAUTIER, JL; BRENET, J; TROLLUND, E</t>
  </si>
  <si>
    <t>ELECTROCHEMICAL-BEHAVIOR OF THE COMBINED OXIDES NIXCO1-XMN204 AND CUXCO1-XMN2O4 (0.7S GREATER-THAN-OR-EQUAL-TO X GREATER-THAN-OR-EQUAL-TO 0.25)</t>
  </si>
  <si>
    <t>10.1016/0013-4686(83)80021-8</t>
  </si>
  <si>
    <t>WOS:A1983RA31200020</t>
  </si>
  <si>
    <t>GAUTIER, JL; BUSTOS, P; TROLLUND, E; BRENET, J</t>
  </si>
  <si>
    <t>ELECTROCHEMICAL REDUCTION OF SPINELS ZNNIXMN2-XO4(1-GREATER-THAN-OR-EQUAL-TO-X-GREATER-THAN-OR-EQUAL-TO-0)</t>
  </si>
  <si>
    <t>BUSTOS SALGADO, PAOLA/AAZ-9659-2021</t>
  </si>
  <si>
    <t>10.1016/0013-4686(83)87032-7</t>
  </si>
  <si>
    <t>WOS:A1983SB09400032</t>
  </si>
  <si>
    <t>Campos, DA; Cabello, FI; Muñoz, AG</t>
  </si>
  <si>
    <t>Campos, Diego A.; Cabello, Fernanda I.; Munoz, angel G.</t>
  </si>
  <si>
    <t>On the NextGen-Chile Forecast System: A Calibrated Multi-Model Ensemble Approach for Seasonal Precipitation Forecasts</t>
  </si>
  <si>
    <t>INTERNATIONAL JOURNAL OF CLIMATOLOGY</t>
  </si>
  <si>
    <t>Development and dissemination of seasonal forecasts are integral components of the climate services provided by numerous meteorological services worldwide, offering estimates of meteorological variables on a seasonal time scale to aid local warning systems and decision-making processes. The World Meteorological Organization (WMO) recommends that operational seasonal forecasts be objective and that the process be traceable and reproducible, including the selection and calibration of models. Following these guidelines, the Chilean Meteorological Service (Direcci &amp; oacute;n Meteorol &amp; oacute;gica de Chile, DMC) has implemented the next generation of seasonal forecasts, NextGen-Chile. This new forecast system is based on a multi-model ensemble using state-of-the-art general circulation models (GCMs) from the calibrated North American Multi-Model Ensemble (NMME) project. The forecasts from the GCMs are calibrated using a canonical correlation analysis-based regression with a homogenised dataset of ground stations. The system is completed with two statistical models built using canonical correlation analysis on sea surface temperature (SST) in the ENSO and the Southwestern Pacific regions. Individually calibrated GCMs and statistical models are combined by weighing their hindcast skill to construct the final calibrated multi-model ensemble (CMME) prediction. A verification analysis of probabilistic re-forecasts during 2019-2021 has been performed, adding an average-based ensemble forecast (CMME-Mean). The CMME models outperformed the individual models in discrimination and showed less seasonal variability in performance than the individual models, adding consistency to the forecast. All metrics analysed during the verification process were maximised in the central region of Chile, which could be attributed to the high concentration of ground stations in the central region and the definition of a central region-centred domain for the CCA calculation. Looking into the near future of NextGen-Chile, a Flexible Seasonal Forecast is introduced as a more comprehensive approach for seasonal forecasts, allowing users and stakeholders to access information beyond the tercile seasonal forecast approach.</t>
  </si>
  <si>
    <t>Munoz, Angel G/0000-0002-2212-6654; Campos Diaz, Diego A./0000-0001-9351-7014</t>
  </si>
  <si>
    <t>0899-8418</t>
  </si>
  <si>
    <t>1097-0088</t>
  </si>
  <si>
    <t>MAR 30</t>
  </si>
  <si>
    <t>10.1002/joc.8747</t>
  </si>
  <si>
    <t>WOS:001389884600001</t>
  </si>
  <si>
    <t>Hardy, N; Ferreira, T; Quinteros, MJ; Magner, NS</t>
  </si>
  <si>
    <t>Hardy, Nicolas; Ferreira, Tiago; Quinteros, Maria J.; Magner, Nicolas S.</t>
  </si>
  <si>
    <t>Watch your tone!: Forecasting mining industry commodity prices with financial report tone</t>
  </si>
  <si>
    <t>RESOURCES POLICY</t>
  </si>
  <si>
    <t>This paper presents robust evidence indicating that the tone of financial reports from the US mining industry firms can predict certain mining commodity returns. We assess this predictive ability with different tests, including evaluations of mean squared prediction errors, correlations, mean directional accuracy, and trading strategies. We compared our results with several benchmarks proposed in the literature, including the random walk, outperforming most statistically and economically. Our findings are related to the literature on firms' strategic disclosure choices, suggesting that firms may strategically tailor their disclosure decisions to influence investor expectations regarding future performance. Additionally, we conduct a series of placebo tests, revealing significant outcomes: (1) the tone of financial reports from other industries does not exhibit predictive power for mining industry commodity returns, (2) this predictive ability is not overshadowed when controlling for uncertainty measures, such as VIX, OVX, realized volatility and Google Trends commodity price searches, and (3) the tone of the mining industry's financial report does not predict returns for unrelated mining commodities. To our knowledge, our work is the first paper to employ financial report tone through text mining of nearly 60,000 financial reports to forecast commodity returns. Our findings substantially contribute to the commodity forecasting literature, offering valuable insights for portfolio managers and professionals seeking to enhance their forecasting capabilities.</t>
  </si>
  <si>
    <t>Quinteros, Maria/JJE-1897-2023</t>
  </si>
  <si>
    <t>Quinteros, Maria J./0000-0001-9326-3640; Alves Ferreira, Tiago/0000-0001-9444-3459</t>
  </si>
  <si>
    <t>0301-4207</t>
  </si>
  <si>
    <t>1873-7641</t>
  </si>
  <si>
    <t>10.1016/j.resourpol.2023.104251</t>
  </si>
  <si>
    <t>OCT 2023</t>
  </si>
  <si>
    <t>WOS:001111250500001</t>
  </si>
  <si>
    <t>Castro, MA; Altbir, D; Galvez-Poblete, D; Corona, RM; Oyarzún, S; Pereira, AR; Allende, S; Carvalho-Santos, VL</t>
  </si>
  <si>
    <t>Castro, M. A.; Altbir, D.; Galvez-Poblete, D.; Corona, R. M.; Oyarzun, S.; Pereira, A. R.; Allende, S.; Carvalho-Santos, V. L.</t>
  </si>
  <si>
    <t>Skyrmion-bimeron dynamic conversion in magnetic nanotracks</t>
  </si>
  <si>
    <t>In this paper, we address the skyrmion-bimeron dynamical transformation during the propagation of such structures along a magnetic nanotrack with anisotropy gradients. Using a micromagnetic approach and simulations, we observe that a skyrmion continuously transforms into a bimeron, and vice versa (in a reversible way). Furthermore, our results show that the topological charge and the velocity of the intermediary magnetic textures emerging during the transformation are constant. These results can contribute to understanding the dynamic transformation between solitonic magnetic textures with the same topological charge.</t>
  </si>
  <si>
    <t>Altbir, Dora/R-6781-2018; Oyarzún, Simón/M-1769-2014; Pereira, Afranio/G-3871-2012; Carvalho-Santos, Vagson/E-8806-2013</t>
  </si>
  <si>
    <t>Galvez, David/0009-0005-3993-0170; Corona, Rosa/0000-0001-6054-5019; Carvalho-Santos, Vagson/0000-0002-2759-2152</t>
  </si>
  <si>
    <t>SEP 27</t>
  </si>
  <si>
    <t>10.1103/PhysRevB.108.094436</t>
  </si>
  <si>
    <t>WOS:001088061500002</t>
  </si>
  <si>
    <t>Reyes, JS; Fuentes-Lemus, E; Figueroa-Alegria, JD; Rojas, J; Fierro, A; Arenas, F; Hägglund, P; Davies, M; Lopez, C</t>
  </si>
  <si>
    <t>Sebastian Reyes, Juan; Fuentes-Lemus, Eduardo; David Figueroa-Alegria, Juan; Rojas, Javier; Fierro, Angelica; Arenas, Felipe; Hagglund, Per; Davies, Michael; Lopez, Camilo</t>
  </si>
  <si>
    <t>Role of Amino Acid Oxidation in the Peroxyl Radical Mediated Inactivation of Glucose-6-Phosphate Dehydrogenase and 6-Phosphogluconate Dehydrogenase: Two Key Enzymes of the Pentose Phosphate Pathway</t>
  </si>
  <si>
    <t>26th Annual Meeting of the Society-for-Redox-Biology-and-Medicine (SfRBM)</t>
  </si>
  <si>
    <t>NOV 20-23, 2019</t>
  </si>
  <si>
    <t>Las Vegas, NV</t>
  </si>
  <si>
    <t>Soc Redox Biol &amp; Med</t>
  </si>
  <si>
    <t>Fuentes Lemus, Eduardo/X-4292-2019; Lopez, Camilo/KIH-4387-2024; Hägglund, Per/X-4881-2019; Fierro, Angelica/AAJ-2533-2020</t>
  </si>
  <si>
    <t>10.1016/j.freeradbiomed.2022.10.236</t>
  </si>
  <si>
    <t>WOS:000895512500249</t>
  </si>
  <si>
    <t>Urzúa-Martínez, S; Franzani, MG</t>
  </si>
  <si>
    <t>Urzua-Martinez, Sergio; Franzani, Macarena Gonzalez</t>
  </si>
  <si>
    <t>Protest and Pilgrimage in Santiago de Chile. The Case of theAnimita of Mauricio Fredes during the Chilean Revolt br</t>
  </si>
  <si>
    <t>| Animitas are artifacts of a popular religious practice present in Chile and other parts of the Andean world. They are built where someone meets death, far from home and the company of their loved ones. They are generally associated with tragic, bloody or violent deaths, as happened in Santiago de Chile during the social revolt with Mauricio Fredes, a young demonstrator who died in the center of the capital as a result of police repression. The animita of Mauricio Fredes was built and experienced a rapid growth thanks to hundreds of people who came day after day to greet, sing, offer an object or food, or just to observe in silent contemplation. Based on the animita of Mauricio Fredes, we ask ourselves whether these popular cenotaphs are mere mortuary images intended to demarcate the site of a person's death or whether they are experienced -by their makers and practitioners- as a living and present body. Based on an ethnographic approach, we analyze the animita of Mauricio Fredes, considering the materiality, spatiality, and corporeality of this popular-religious practice. We conclude that these cenotaphs are experienced by their makers and practitioners as a living body, whose growth and development is based on the reciprocal belief of its devotees. We also note that, although it is not typical of the animitas to oppose institutions, the image of Mauricio Fredes became an uncomfortable image, because it provided a physical presence to a victim of a wrong death perpetrated by agents of the State. It, therefore, highlighted the strength of this popular religious practice in Chile, which allowed the animita of Mauricio Fredes to grow and persist despite the destructive forces that systematically attacked it.</t>
  </si>
  <si>
    <t>URZUA MARTINEZ, SERGIO/AGZ-7197-2022</t>
  </si>
  <si>
    <t>URZUA MARTINEZ, SERGIO/0000-0002-6668-7170; Gonzalez Franzani, Macarena/0000-0002-3912-6618</t>
  </si>
  <si>
    <t>1900-5180</t>
  </si>
  <si>
    <t>10.7440/res82.2022.06</t>
  </si>
  <si>
    <t>WOS:000880111600006</t>
  </si>
  <si>
    <t>Alvarez, E; Díaz, S; Lizamao, C</t>
  </si>
  <si>
    <t>Alvarez, Edgardo; Diaz, Stiven; Lizamao, Carlos</t>
  </si>
  <si>
    <t>Existence of (N, λ)-Periodic Solutions for Abstract Fractional Difference Equations</t>
  </si>
  <si>
    <t>MEDITERRANEAN JOURNAL OF MATHEMATICS</t>
  </si>
  <si>
    <t>We establish sufficient conditions for the existence and uniqueness of (N, lambda)-periodic solutions for the following abstract model: Delta(alpha)u(n) = Au(n + 1) + f(n, u(n)), n is an element of Z, where 0 &lt; alpha &lt;= 1, A is a closed linear operator defined in a Banach space X, Delta(alpha) denotes the fractional difference operator in the Weyl-like sense, and f satisfies appropriate conditions.</t>
  </si>
  <si>
    <t>Díaz, Stiven/AAV-8033-2021; Lizama, Carlos/E-5909-2011</t>
  </si>
  <si>
    <t>Lizama, Carlos/0000-0002-9807-1100; Diaz, Stiven/0000-0001-9613-9469</t>
  </si>
  <si>
    <t>1660-5446</t>
  </si>
  <si>
    <t>1660-5454</t>
  </si>
  <si>
    <t>10.1007/s00009-021-01964-6</t>
  </si>
  <si>
    <t>WOS:000748431100002</t>
  </si>
  <si>
    <t>Hurtado, JP; Villegas, B; Pérez, S; Acuña, E</t>
  </si>
  <si>
    <t>Hurtado, Juan Pablo; Villegas, Bryan; Perez, Sebastian; Acuna, Enrique</t>
  </si>
  <si>
    <t>Optimization Study of Guide Vanes for the Intake Fan-Duct Connection Using CFD</t>
  </si>
  <si>
    <t>The connection between an intake fan and a ventilation shaft must be designed in such a way that it minimizes the energy waste due to singularity losses. As a result, the questions of which radius of curvature to use and if guide vanes have to be included need to be answered. In that case, the variables such as the number, upstream and downstream penetration length, radius of curvature, and width of the vanes, need to be defined. Although this work is oriented to mine ventilation, these questions are usually valid in other engineering applications as well. The objective of this study is to define the previously mentioned variables to determine the optimal design combination for the radius/diameter relationship (r/D). Computational fluid dynamics was used to determine the shock loss factor of seven elbow curvature ratios for a 3 m diameter duct and fan, with and without guide vanes to estimate the best performing configuration and, therefore, to maximize the fan airflow volume. The methodology used consisted of initially developing models in 2D geometries, to optimize the meshing and the CPU use, and studying separately the number of vanes, upstream and downstream penetration, radius of curvature, and width of the vanes for each curvature ratio (r/D). Then, the best-performing variable combinations for each curvature ratio were selected to be simulated and studied with the 3D geometries. The application of the guide vane designs for three-dimensional simulated geometries is presented, first without and then with guide vanes, including the shock loss factors obtained. The methodology and obtained results allowed quantifying the energy savings and to reduce the CFD simulations steps required to optimize the design of the elbow and guide vanes. The results obtained cannot be used with elbows in exhaust fans, because fluid dynamics phenomena are different.</t>
  </si>
  <si>
    <t>Hurtado Cruz, Juan Pablo/0000-0001-7602-8278; Perez Cortes, Sebastian Alexander/0000-0003-0366-1747</t>
  </si>
  <si>
    <t>10.3390/pr9091555</t>
  </si>
  <si>
    <t>WOS:000701851900001</t>
  </si>
  <si>
    <t>Henríquez, HR; Mesquita, JG; Pozo, JC</t>
  </si>
  <si>
    <t>Henriquez, Hernan R.; Mesquita, Jaqueline G.; Pozo, Juan C.</t>
  </si>
  <si>
    <t>Existence of solutions of the abstract Cauchy problem of fractional order</t>
  </si>
  <si>
    <t>JOURNAL OF FUNCTIONAL ANALYSIS</t>
  </si>
  <si>
    <t>In this paper, we study the differentiability of mild solutions for a class of fractional abstract Cauchy problem. We consider the fractional derivative of order alpha is an element of (1, 2) in the sense of Caputo. In the first part, we establish the existence of classical solutions for the homogeneous Cauchy problem in terms of the alpha-resolvent family corresponding to the problem and, in the second part, we establish the existence of classical solutions for the inhomogeneous abstract Cauchy problem in terms of regularity properties of the alpha-resolvent family and of the forcing function. (C) 2021 Elsevier Inc. All rights reserved.</t>
  </si>
  <si>
    <t>Pozo, Juan Carlos/0009-0003-1910-7895; Henriquez, Hernan/0000-0001-7848-5915</t>
  </si>
  <si>
    <t>0022-1236</t>
  </si>
  <si>
    <t>1096-0783</t>
  </si>
  <si>
    <t>10.1016/j.jfa.2021.109028</t>
  </si>
  <si>
    <t>WOS:000652064800003</t>
  </si>
  <si>
    <t>Michalski, M; Rodriguez, NMV; Palominos, P</t>
  </si>
  <si>
    <t>Michalski, Marek; Velasco Rodriguez, Nubia Milena; Palominos, Pedro</t>
  </si>
  <si>
    <t>Special Issue: Supply Chain Management in the Latin-American business environment - opportunity or necessity?</t>
  </si>
  <si>
    <t>INTERNATIONAL JOURNAL OF LOGISTICS MANAGEMENT</t>
  </si>
  <si>
    <t>Velasc, Nubia/AAJ-8397-2021</t>
  </si>
  <si>
    <t>0957-4093</t>
  </si>
  <si>
    <t>1758-6550</t>
  </si>
  <si>
    <t>10.1108/IJLM-01-2021-449</t>
  </si>
  <si>
    <t>WOS:000615913300001</t>
  </si>
  <si>
    <t>Ramirez, F; Palominos, P; Camargo, M; Grimaldi, D</t>
  </si>
  <si>
    <t>Ramirez, Francisco; Palominos, Pedro; Camargo, Mauricio; Grimaldi, Didier</t>
  </si>
  <si>
    <t>A new methodology to support smartness at the district level of metropolitan areas in emerging economies: The case of Santiago de Chile</t>
  </si>
  <si>
    <t>SUSTAINABLE CITIES AND SOCIETY</t>
  </si>
  <si>
    <t>According to a forecast by the United Nations, by 2030 one in every three people in the world will live in cities with at least half a million inhabitants. Therefore, enabling smarter and resilient cities is one of the key goals to tackling world challenges and ensuring the citizen's wellbeing in the years to come. Various frameworks of indicators have been proposed to evaluate urban smartness with an aim to improve policymakers' actions. Nevertheless, recent research shows that despite efforts and initiatives, urban policy actions have yet to achieve the expected results, as smartness is evaluated in an aggregated way, while metropolitan areas are very heterogeneous systems. In this paper, the authors propose a methodological approach to evaluate smartness while considering a city not as a homogeneous space, but as a space divided into different districts with different characteristics and dynamics, and therefore different topologies and citizen needs. This methodology is based on Data Envelopment Analysis (DEA), which sets out to measure the performance of decision-making units (districts) by considering the efficiency of each district, measured by the ratio between its allocated resources (input) and the corresponding smartness score (output). Accordingly, the methodology is highly applicable to cities located in emerging countries, which are characterised by a high disparity of human conditions if we compare them district by district. The approach is illustrated in a case study of the smartness of the metropolitan districts of Santiago de Chile.</t>
  </si>
  <si>
    <t>Grimaldi, Didier/JFK-4629-2023; CAMARGO, Mauricio/HJP-7111-2023; Grimaldi, Didier/G-3882-2016</t>
  </si>
  <si>
    <t>Palominos, Pedro/0000-0002-5695-3025; Grimaldi, Didier/0000-0002-1027-1176; Camargo, Mauricio/0000-0003-3867-2438</t>
  </si>
  <si>
    <t>2210-6707</t>
  </si>
  <si>
    <t>2210-6715</t>
  </si>
  <si>
    <t>10.1016/j.scs.2021.102713</t>
  </si>
  <si>
    <t>WOS:000638122500003</t>
  </si>
  <si>
    <t>Soto-Lagos, R; Cortés-Varas, C; Freire-Arancibia, S; Pozo-Gómez, L</t>
  </si>
  <si>
    <t>Soto-Lagos, Rodrigo; Cortes-Varas, Carolina; Freire-Arancibia, Solange; Pozo-Gomez, Luiz</t>
  </si>
  <si>
    <t>The playground of public, subsidized and private schools as a space to carry out bodily practices: a quasi-ethnographic study</t>
  </si>
  <si>
    <t>RETOS-NUEVAS TENDENCIAS EN EDUCACION FISICA DEPORTE Y RECREACION</t>
  </si>
  <si>
    <t>The World Health Organization (WHO) and the United Nations Educational, Scientific and Cultural Organization (UNESCO) have declared that physical inactivity is a problem that affects all the countries of the world and the strategic place to solve this problem are schools. The aim of this study was to understand how the school playground can become a space to develop body practices that can reduce physical inactivity. A qualitative study was made following a quasi-ethnographic study on one public, subsidized and private schools in Chile. The results indicate that school recess, Physical Education class and extracurricular activities are relevant moments which express similarities and differences between schools. The discussions propose that there are barriers and opportunities to inhabit the schoolyard. The conclusion express that the school playground is habited culturally and that both management teams, professionals and policy makers have an important role to collaborate in reducing physical inactivity at school.</t>
  </si>
  <si>
    <t>Soto-Lagos, Rodrigo/JSK-1539-2023</t>
  </si>
  <si>
    <t>1579-1726</t>
  </si>
  <si>
    <t>1988-2041</t>
  </si>
  <si>
    <t>WOS:000967169900001</t>
  </si>
  <si>
    <t>Verdugo, D; Rojas, F; Pereda, J; Diaz, M; Gatica, G</t>
  </si>
  <si>
    <t>Verdugo, Diego; Rojas, Felix; Pereda, Javier; Diaz, Matias; Gatica, Gustavo</t>
  </si>
  <si>
    <t>Modelling and control of a multi-cell converter based on Input-Parallel Output-Parallel bridge-cells with discontinuous interleaved modulation</t>
  </si>
  <si>
    <t>Multi-cell converters increase their current rating by adding more cells in parallel, if also the cells are interleaved the output THDi and input ripple get lower reducing the filter requirements. However interleaving causes circulating currents that need to be mitigated. This work proposes a model and control strategy that decouple the circulating currents from the output current under discontinuous modulation of a multi-cell converter based on Input-Parallel Output-Parallel (IPOP) bridge-cell. The discontinuous modulation eliminates the circulating current between one leg of the bridge cells. The proposed model and control are verified by simulations in Plecs.</t>
  </si>
  <si>
    <t>Rojas, Felix/U-3305-2019; gatica, gustavo/KXR-7308-2024; Pereda Torres, Javier/F-8244-2013; Diaz, Matias/R-7570-2018</t>
  </si>
  <si>
    <t>Pereda Torres, Javier/0000-0002-3407-5233; Diaz, Matias/0000-0003-4489-9532</t>
  </si>
  <si>
    <t>10.1109/ICAACCA51523.2021.9465201</t>
  </si>
  <si>
    <t>WOS:000855764500096</t>
  </si>
  <si>
    <t>Pino-Cortés, E; Carrasco, S; Díaz-Robles, LA; Cubillos, F; Cereceda-Balic, F</t>
  </si>
  <si>
    <t>Pino-Cortes, Ernesto; Carrasco, Samuel; Diaz-Robles, Luis A.; Cubillos, Francisco; Cereceda-Balic, Francisco</t>
  </si>
  <si>
    <t>Black and organic carbon fractions in fine particulate matter by sectors in the South Hemisphere emissions for decision-making on climate change and health effects</t>
  </si>
  <si>
    <t>Some databases report global emissions of certain pollutants. Emissions Database for Global Atmospheric Research (EDGAR) project is one of these, which also records emissions by sources. In this study, the emissions of black and organic carbon and fine particulate matter from the EDGAR database were used as an input to process it in the Sparse Matrix Operator Kernel Emissions (SMOKE) model. We showed the spatial distribution of the fraction of black and organic carbon in particulate matter from each source in the Southern Hemisphere. Also, we extracted these ratios for several cities in the domain of analysis. The results and methodology of this study could improve the emission inventories with bottom-up methodology in areas without information located at Southern Hemisphere. Also, it could be relevant to obtain better performance in air quality modeling at the local level for decision-making on climate change and health effects.</t>
  </si>
  <si>
    <t>Diaz-Robles, Luis/D-3450-2013; Cortés, Ernesto/Z-2777-2019; Cereceda-Balic, Francisco/N-4479-2017</t>
  </si>
  <si>
    <t>Pino-Cortes, Ernesto/0000-0001-5133-2812; Cereceda-Balic, Francisco/0000-0001-7761-1051</t>
  </si>
  <si>
    <t>10.1007/s11356-020-10164-w</t>
  </si>
  <si>
    <t>JUL 2020</t>
  </si>
  <si>
    <t>WOS:000554055200001</t>
  </si>
  <si>
    <t>Díaz-Castro, F; Monsalves-Alvarez, M; Rojo, LE; del Campo, A; Troncoso, R</t>
  </si>
  <si>
    <t>Diaz-Castro, Francisco; Monsalves-Alvarez, Matias; Rojo, Leonel E.; del Campo, Andrea; Troncoso, Rodrigo</t>
  </si>
  <si>
    <t>Mifepristone for Treatment of Metabolic Syndrome: Beyond Cushing's Syndrome</t>
  </si>
  <si>
    <t>A growing body of research indicates that cortisol, the glucocorticoid product of the activation of the hypothalamic-pituitary-adrenal axis, plays a role in the pathophysiology of metabolic syndrome. In this regard, chronic exposure to cortisol is associated with risk factors related to metabolic syndrome like weight gain, type 2 diabetes, hypertension, among others. Mifepristone is the only FDA-approved drug with antiglucocorticoids properties for improved the glycemic control in patients with type 2 patients secondary to endogenous Cushing's syndrome. Mifepristone also have been shown positive effects in rodents models of diabetes and patients with obesity due to antipsychotic treatment. However, the underlying molecular mechanisms are not fully understood. In this perspective, we summarized the literature regarding the beneficial effects of mifepristone in metabolic syndrome from animal studies to clinical research. Also, we propose a potential mechanism for the beneficial effects in insulin sensitivity which involved the regulation of mitochondrial function in muscle cells.</t>
  </si>
  <si>
    <t>Monsalves-Alvarez, Matias/K-7610-2019; del Campo, Andrea/AAG-1906-2019; Monsalves-Alvarez, Matias/A-6303-2017; Troncoso, Rodrigo/I-1915-2013</t>
  </si>
  <si>
    <t>Diaz-Castro, Francisco/0000-0003-1644-8742; del Campo, Andrea/0000-0003-3830-7334; Rojo, Leonel/0000-0002-0188-2266; Monsalves-Alvarez, Matias/0000-0003-3163-3911; Troncoso, Rodrigo/0000-0003-0796-5908</t>
  </si>
  <si>
    <t>10.3389/fphar.2020.00429</t>
  </si>
  <si>
    <t>WOS:000533544600001</t>
  </si>
  <si>
    <t>Guzmán, F; Bascur, M; Olavarria, L; Mora, S; Riera, R; Urzúa, A</t>
  </si>
  <si>
    <t>Guzman, Fabian; Bascur, Miguel; Olavarria, Luis; Mora, Sergio; Riera, Rodrigo; Urzua, Angel</t>
  </si>
  <si>
    <t>Seasonal and interannual changes in reproductive parameters and eggs biochemical composition of the fishery resource Pleuroncodes monodon (Decapoda: Munididae) from the Humboldt Current System</t>
  </si>
  <si>
    <t>FISHERIES RESEARCH</t>
  </si>
  <si>
    <t>Environmental variables are key drivers of reproductive traits in marine organisms, which can have significant economic consequences in commercial species. Pleuroncodes monodon is an important resource of the industrial fisheries' fleet of the Humboldt Current System. This species is subject to seasonal variations in pivotal variables such as temperature and food availability, as well as, climatic events. We herein analyse the variations in reproductive parameters and in the eggs' biochemical profiles in relation to environmental conditions. Differences in all studied parameters were found between 2014 and 2015. In 2015, fecundity (measured as total number of eggs) and protein content were higher than 2014, but lipid content showed the opposite pattern. Seasonal and interannual variations were also observed in the energy content per egg; whilst the brood energy content did not show seasonal or interannual variation. This information is of utmost importance for integrative management of this commercial good as the data measures dynamic variations in the species populations. Currently; this squat lobster is overexploit and so far, no seasonal nor interannual variations have been considered in its management plan. The present study provides evidences that the female lobsters need different management strategies to maintain sustainable fisheries of Concepcion, Chile.</t>
  </si>
  <si>
    <t>RIERA, RODRIGO/ABH-1351-2020; Rivas, Fabián/AAH-3076-2019; Urzúa, Ángel/AAA-6095-2019; Bascur, Miguel/AAJ-4426-2021; RIERA, RODRIGO/I-4260-2013</t>
  </si>
  <si>
    <t>Guzman-Rivas, Fabian/0000-0002-8883-2324; Urzua Osorio, Angel Gabriel/0000-0001-7706-5126; RIERA, RODRIGO/0000-0003-1264-1625; Bascur, Miguel Angel/0000-0002-4076-4262</t>
  </si>
  <si>
    <t>0165-7836</t>
  </si>
  <si>
    <t>1872-6763</t>
  </si>
  <si>
    <t>10.1016/j.fishres.2019.105404</t>
  </si>
  <si>
    <t>WOS:000496874700028</t>
  </si>
  <si>
    <t>Troncoso, LDM; Manfiolete, SSTRD; Toro-Arévalo, SA</t>
  </si>
  <si>
    <t>Manfiolete Troncoso, Leandro Dri; Dri Manfiolete, Sandra Soledad Troncoso Robles; Alejandro Toro-Arevalo, Sergio</t>
  </si>
  <si>
    <t>Educational processes experienced in the social mechanical bicycle practice</t>
  </si>
  <si>
    <t>The objective of this research is to understand educational processes experienced in the social mechanical practice of bicycle. The 4E Cognition phenomenological epistemic approach, which focuses on embodied, situated, extended, and enactive cognitive processes. As a methodological procedure, six Latin-Americans bicycle mechanics were interviewed. Inclusion/exclusion criteria were as follows: previous formal or informal work in bicycle mechanics, experience with utilitarian, sport, or recreational cycling, and cycloactivist political-pedagogical actions. In the analysis of the discourse, the following units of meaning emerged: a) Work teaching-learning; b) Technological influences on cycling; c) Health and care when pedaling; these units form the general category Bicycle mechanics as a cognitive-educational process. We consider social mechanical bicycle practice as a fundamental bicycle culture phenomenon having direct effects on citizen's life as it promotes educational processes for urban mobility.</t>
  </si>
  <si>
    <t>WOS:000535742500017</t>
  </si>
  <si>
    <t>Urrutia, M; Donoso, F; Mora, A; Espina, E; Diaz, M; Cárdenas, R</t>
  </si>
  <si>
    <t>Urrutia, Matias; Donoso, Felipe; Mora, Andres; Espina, Enrique; Diaz, Matias; Cardenas, Roberto</t>
  </si>
  <si>
    <t>Enhanced Circulating-current Control for the Modular Multilevel Matrix Converter Based on Model Predictive Control</t>
  </si>
  <si>
    <t>2019 21ST EUROPEAN CONFERENCE ON POWER ELECTRONICS AND APPLICATIONS (EPE '19 ECCE EUROPE)</t>
  </si>
  <si>
    <t>European Conference on Power Electronics and Applications</t>
  </si>
  <si>
    <t>21st European Conference on Power Electronics and Applications (EPE ECCE Europe)</t>
  </si>
  <si>
    <t>SEP 03-05, 2019</t>
  </si>
  <si>
    <t>Genova, ITALY</t>
  </si>
  <si>
    <t>This article presents a novel circulating current control scheme for the Modular Multilevel Matrix Converter (M3C). The proposed method is based on a Model Predictive Control strategy (MPC), where an optimization problem is defined for minimizing the tracking error of the circulating currents. The output of the control scheme are circulating voltage references that are defined by a suitable linear transform. The effectiveness of this strategy is compared with a traditional scheme by simulation results of a M3C prototype composed of 27 modules. The reported results exhibit an important enhancement in the regulation of arm currents, specially during transient performance.</t>
  </si>
  <si>
    <t>Diaz, Matias/R-7570-2018; Mora, Andres/I-6953-2015; Espina, Enrique/AGZ-7297-2022; Cardenas, Roberto/C-6395-2011</t>
  </si>
  <si>
    <t>Espina, Enrique/0000-0002-2075-2010</t>
  </si>
  <si>
    <t>2325-0313</t>
  </si>
  <si>
    <t>978-9-0758-1531-3</t>
  </si>
  <si>
    <t>WOS:000515073402097</t>
  </si>
  <si>
    <t>Canales, C; Gidi, L; Arce, R; Armijo, F; Aguirre, MJ; Ramírez, G</t>
  </si>
  <si>
    <t>Canales, Camila; Gidi, Leyla; Arce, Roxana; Armijo, Francisco; Aguirre, Maria J.; Ramirez, Galo</t>
  </si>
  <si>
    <t>Electro-Reduction of Molecular Oxygen Mediated by a Cobalt(II) octaethylporphyrin System onto Oxidized Glassy Carbon/Oxidized Graphene Substrate</t>
  </si>
  <si>
    <t>CATALYSTS</t>
  </si>
  <si>
    <t>The oxygen reduction reaction (ORR) is the most important reaction in life processes and in energy transformation. The following work presents the design of a new electrode which is composed by deposited cobalt octaethylporphyrin onto glassy carbon and graphene, where both carbonaceous materials have been electrochemically oxidized prior to the porphyrin deposition. The novel generated system is stable and has an electrocatalytic effect towards the oxygen reduction reaction, as a result of the significant overpotential shift in comparison to the unmodified electrode and to the electrodes used as target. Kinetic studies corroborate that the system is capable of reducing molecular oxygen via four electrons, with a Tafel slope value of 60 mV per decade. The systems were morphologically characterized by scanning electron microscopy (SEM) and atomic force microscopy (AFM) Electrochemical impedance spectroscopy studies showed that the electrode previously oxidized and modified with cobalt porphyrin is the system that possesses lower resistance to charge transfer and higher capacitance.</t>
  </si>
  <si>
    <t>Arce, Roxana/V-8140-2019; Aguirre, Maria/A-3935-2013; Armijo, Francisco/G-3391-2013</t>
  </si>
  <si>
    <t>ARCE, ROXANA/0000-0002-1387-9232; Canales, Camila/0000-0002-4966-3601; Armijo, Francisco/0000-0002-2479-6280; Ramirez, Galo/0000-0002-6217-4730; Aguirre, Maria/0000-0003-1134-4469; , Roxana/0000-0002-7529-8011</t>
  </si>
  <si>
    <t>2073-4344</t>
  </si>
  <si>
    <t>10.3390/catal8120629</t>
  </si>
  <si>
    <t>WOS:000454711500061</t>
  </si>
  <si>
    <t>Díaz, DE; Llanos, L; Arce, P; Lorca, R; Guerrero, J; Costamagna, J; Aravena, D; Ferraudi, G; Oliver, A; Lappin, AG; Lemus, L</t>
  </si>
  <si>
    <t>Diaz, Daniel E.; Llanos, Leonel; Arce, Pablo; Lorca, Romina; Guerrero, Juan; Costamagna, Juan; Aravena, Daniel; Ferraudi, Guillermo; Oliver, Allen; Lappin, A. Graham; Lemus, Luis</t>
  </si>
  <si>
    <t>Steric and Electronic Factors Affecting the Conformation of Bimetallic CuI Complexes: Effect of the Aliphatic Spacer of Tetracoordinating Schiff-Base Ligands</t>
  </si>
  <si>
    <t>CHEMISTRY-A EUROPEAN JOURNAL</t>
  </si>
  <si>
    <t>A family of six homoleptic [Cu-I(L-n)](2)(ClO4)(2) and six heteroleptic [Cu-I(L-n)(PPh3)(2)](2)(ClO4)(2) bimetallic complexes, in which L-n are bis-Schiff base ligands with alkyl spacers of variable length (n=2-7 -CH2-), were prepared to evaluate the role of the spacer on the formation of helicates or mesocates. In the homoleptic series, spectroscopic and theoretical studies indicate that preferences for a conformation are based on energetic parameters, mainly, the establishment of noncovalent interactions. The odd-even nature of the spacers preconditions the superposition of the aromatic rings to allow the juxtaposition necessary for noncovalent interactions, whereas the increase of the length reduces the strength of such interactions. Consequently, complexes with even-spacers of short length were identified as helicates in solution, [Cu-I(L-n)](2)(2+) (n=2, 4). Complexes [Cu-I(L-n)](2)(2+) (n=3-7) dissociate in solution to produce the monometallic complexes in equilibrium, [Cu-I(L-n)](+). The stability of the bimetallic species is discussed in terms of their conformations. The set of heteroleptic complexes was prepared to evaluate the reach of the odd-even rule in the solid, which is based on the zig-zag arrangements of the spacers. Based on crystallographic information, S- and C-type conformations of L-n are related to even and odd spacers, respectively. This trend is considered in addition to other factors to explain preferences for either a mesocate or helicate conformation in the homoleptic series.</t>
  </si>
  <si>
    <t>Aravena, Daniel/F-2174-2011</t>
  </si>
  <si>
    <t>Oliver, Allen/0000-0002-0511-1127; Diaz, Daniel E./0000-0001-8202-920X; llanos silva, leonel/0000-0001-6494-1908</t>
  </si>
  <si>
    <t>0947-6539</t>
  </si>
  <si>
    <t>1521-3765</t>
  </si>
  <si>
    <t>SEP 18</t>
  </si>
  <si>
    <t>10.1002/chem.201802290</t>
  </si>
  <si>
    <t>WOS:000445447300024</t>
  </si>
  <si>
    <t>Perez-Sousa, MA; Olivares, PR; Garcia-Hermoso, A; Gusi, N</t>
  </si>
  <si>
    <t>Perez-Sousa, Miguel A.; Olivares, Pedro R.; Garcia-Hermoso, Antonio; Gusi, Narcis</t>
  </si>
  <si>
    <t>Does anthropometric and fitness parameters mediate the effect of exercise on the HRQoL of overweight and obese children/adolescents?</t>
  </si>
  <si>
    <t>QUALITY OF LIFE RESEARCH</t>
  </si>
  <si>
    <t>Background There is sufficient evidence about the effects of physical exercise programs on health-related quality of life (HRQoL) in obese and overweight children. Objectives The purpose of this study was to observe the effects on physical fitness and HRQoL in overweight and obesity children and their parents and find out whether the effect of intervention on anthropometric and physical fitness parameters mediated the improvements found in the proxies' perception of participant quality of life. Methods 151 overweight and obese children (106 intervention and 45 control) participated in a public exercise program. Anthropometrics characteristics, physical fitness, and HRQoL (EQ-SD-Y) were measured. Analysis of Covariance and effect size were performed to analyze the improvement. Mediation analyzed with bootstrap to observe whether anthropometric or physical fitness improvements mediate of the changes in the proxies' assessment of HRQoL. Results Significant improvements were found in waist circumference, physical fitness, and HRQoL. The improvement of waist circumference showed a significant indirect effect on the change in the proxy perception of quality of life. Conclusion The reduction of waist circumference mediates the change on proxies' perception of quality of life and not by the improvement in physical fitness.</t>
  </si>
  <si>
    <t>Perez-Sousa, Miguel/M-5931-2019; Olivares, Pedro/C-6287-2008; García-Hermoso, Antonio/ADU-2591-2022; Gusi, Narcis/C-3870-2010; Garcia-Hermoso, Antonio/P-1857-2017</t>
  </si>
  <si>
    <t>Gusi, Narcis/0000-0002-1001-8883; Garcia-Hermoso, Antonio/0000-0002-1397-7182; Perez-Sousa, Miguel Angel/0000-0003-4392-6850</t>
  </si>
  <si>
    <t>0962-9343</t>
  </si>
  <si>
    <t>1573-2649</t>
  </si>
  <si>
    <t>10.1007/s11136-018-1893-5</t>
  </si>
  <si>
    <t>WOS:000442862200009</t>
  </si>
  <si>
    <t>Bugueño, M; Curihual, C; Olivares, P; Wallace, J; López-Alegría, F; Rivera-López, G; Oyanedel, JC</t>
  </si>
  <si>
    <t>Bugueno, Maithe; Curihual, Carolina; Olivares, Paulina; Wallace, Josefa; Lopez-Alegria, Fanny; Rivera-Lopez, Gonzalo; Carlos Oyanedel, Juan</t>
  </si>
  <si>
    <t>Quality of sleep and academic performance in high school students</t>
  </si>
  <si>
    <t>Background: Sleeping and studying are the day-to-day activities of a teenager attending school. Aim: To determine the quality of sleep and its relationship to the academic performance among students attending morning and afternoon shifts in a public high school. Material and Methods: Students of the first and second year of high school answered an interview about socio-demographic background, academic performance, student activities and subjective sleep quality; they were evaluated using the Pittsburgh Sleep Quality Index (PSQI). Results: The interview was answered by 322 first year students aged 15 +/- 5 years attending the morning shift and 364 second year students, aged 16 +/- 0.5 years, attending the afternoon shift. The components: sleep latency, habitual sleep efficiency, sleep disturbance, drug use and daytime dysfunction were similar and classified as good in both school shifts. The components subjective sleep quality and duration of sleep had higher scores among students of the morning shift. The mean grades during the first semester of the students attending morning and afternoon shifts were 5.9 and 5.8, respectively (of a scale from 1 to 7). Among students of both shifts, the PSQI scale was associated inversely and significantly with academic performance. Conclusions: A bad sleep quality influences academic performance in these students.</t>
  </si>
  <si>
    <t>Lopez-Alegria, Fanny/0000-0001-7293-1347; Oyanedel, Juan/0000-0003-4023-6926</t>
  </si>
  <si>
    <t>10.4067/s0034-98872017000901106</t>
  </si>
  <si>
    <t>WOS:000416126800002</t>
  </si>
  <si>
    <t>Quoirin, HR; Umezu, K</t>
  </si>
  <si>
    <t>Quoirin, Humberto Ramos; Umezu, Kenichiro</t>
  </si>
  <si>
    <t>An indefinite concave-convex equation under a Neumann boundary condition I</t>
  </si>
  <si>
    <t>We investigate the problem (P (lambda)) -Delta u = lambda b(x)|u| (q-2) u + a(x)|u| (p-2) u in Omega, a,u/a,n = 0 on a,Omega, where Omega is a bounded smooth domain in R (N) (N ae 2), 1 &lt; q &lt; 2 &lt; p, lambda a R, and a, b a with 0 &lt; alpha &lt; 1. Under certain indefinite type conditions on a and b, we prove the existence of two nontrivial nonnegative solutions for small |lambda|. We then characterize the asymptotic profiles of these solutions as lambda -&gt; 0, which in some cases implies the positivity and ordering of these solutions. In addition, this asymptotic analysis suggests the existence of a loop type component in the non-negative solutions set. We prove the existence of such a component in certain cases, via a bifurcation and a topological analysis of a regularized version of (P (lambda)).</t>
  </si>
  <si>
    <t>Ramos Quoirin, Humberto/0000-0001-6252-2515</t>
  </si>
  <si>
    <t>10.1007/s11856-017-1512-0</t>
  </si>
  <si>
    <t>WOS:000404532600005</t>
  </si>
  <si>
    <t>Acevedo, CA; Tomic, G; Santander, R; Creixell, W; Osorio, F; Sánchez, E</t>
  </si>
  <si>
    <t>Acevedo, Cristian A.; Tomic, Gerda; Santander, Rocio; Creixell, Werner; Osorio, Felipe; Sanchez, Elizabeth</t>
  </si>
  <si>
    <t>A chemometrics approach to analyze volatile molecules released by post-mortem bovine fast-twitch muscles</t>
  </si>
  <si>
    <t>It is well known that beef produces volatile molecules. In this work, the detection of volatiles released by post-mortem bovine fast-twitch muscles (Musculus longissimus dorsi and Musculus cutaneus trunci) was done using GC/MS-SPME (gas chromatography/mass spectrum-solid-phase microextraction). The releases of volatile molecules were modeled against three factors (rigor-mortis, animal age and oxidative capacity) using a chemometrics approach (experimental design and partial least squares regression). The GC/MS-SPME technique produced more than 30 reproducible chromatographic peaks, but only 13 were associated significantly with two factors (rigor-mortis and animal age). The volatile profile was composed mainly of alcohols, aldehydes and alkanes. The factor animal age was the main variable related to the release of volatile molecules. The results strongly suggest that the release of volatile molecules change according to post-mortem metabolism and the animal age.</t>
  </si>
  <si>
    <t>Acevedo, Cristian/D-5133-2011; Creixell, Werner/AAP-9544-2021; Santander, Rocio/K-7645-2013; Osorio, Felipe/S-4213-2019; Osorio, Felipe/B-9532-2013</t>
  </si>
  <si>
    <t>Creixell, Werner/0000-0002-6647-6429; Osorio, Felipe/0000-0002-4675-5201</t>
  </si>
  <si>
    <t>10.1080/19476337.2015.1114973</t>
  </si>
  <si>
    <t>WOS:000382330900005</t>
  </si>
  <si>
    <t>Durán-Agüero, S; Valdes-Badilla, P; Cumillaf, AG; Herrera-Valenzuela, T</t>
  </si>
  <si>
    <t>Duran-Agueero, Samuel; Valdes-Badilla, Pablo; Godoy Cumillaf, Andres; Herrera-Valenzuela, Tomas</t>
  </si>
  <si>
    <t>CONSUMPTION OF FRUITS AND ITS ASSOCIATION WITH NUTRITIONAL STATUS IN CHILEAN UNIVERSITY STUDENTS CAREER OF PHYSICAL EDUCATION</t>
  </si>
  <si>
    <t>Introduction: Chile is a country that reaches the highest levels of overweight and obesity worldwide (66.7% of the Chilean population), with a group of college students tending to swell these numbers considered nutritionally vulnerable group. Objective: To associate the consumption of fruits with nutritional status of Chilean university students in physical education. Methods: The study population consisted of all students of the School of Pedagogy in Physical Education from the Autonomous University of Chile, Temuco based (n = 420). The sample included 239 students (56.9%), men (76.5%) with a mean age of 21.5 +/- 2.1 years. Each student nutritional status was determined and applied a validated survey eating habits. Results: An association between fruit consumption (&gt;= 2 servings/day) in the model crude OR = 0.528 (from 0.288 to 0.965), Model 1 adjusted OR = 0.496 (0.268 to 0.916) and Model 2 adjusted OR = 0.495 is observed (0.265 to 0.924) Conclusion: Consumption &gt;= 2 servings a day of fruits is a protective factor for a good BAH Chilean university students in physical education.</t>
  </si>
  <si>
    <t>Herrera-Valenzuela, Tomas/L-1819-2019; Agüero, Samuel/AAZ-6140-2020</t>
  </si>
  <si>
    <t>DURAN AGUERO, SAMUEL/0000-0002-0548-3676; Herrera-Valenzuela, Tomas/0000-0002-5219-5896; Valdes-Badilla, Pablo/0000-0002-3948-8280</t>
  </si>
  <si>
    <t>10.3305/nh.2015.31.5.8617</t>
  </si>
  <si>
    <t>WOS:000354231200045</t>
  </si>
  <si>
    <t>Navia, D; Sarabia, D; Gutiérrez, G; Cubillos, F; de Prada, C</t>
  </si>
  <si>
    <t>Navia, D.; Sarabia, D.; Gutierrez, G.; Cubillos, F.; de Prada, C.</t>
  </si>
  <si>
    <t>A comparison between two methods of stochastic optimization for a dynamic hydrogen consuming plant</t>
  </si>
  <si>
    <t>COMPUTERS &amp; CHEMICAL ENGINEERING</t>
  </si>
  <si>
    <t>The following work shows the application of two methods of stochastic economic optimization in a hydrogen consuming plant: two-stage programming and chance constrained optimization. The system presents two main sources of uncertainty described with a binormal probability distribution function (PDF). Both methods are formulated in the continuous domain. For calculating the probabilistic constraints the inverse mapping method was written as a nested parameter estimation problem. On the other hand, to solve the two stage optimization, a discretization of the PDF in scenarios was applied with a scenario aggregation formulation to take into account the nonanticipativity constraints. Finally, a framework generalizing this solution based on interpolation was proposed. Both optimization methods, two-stage programming and chance constrained optimization, were tested using Monte Carlo simulation in terms of feasibility and optimality for the application considered. The main problem appears to be the large computation times associated. (C) 2014 Elsevier Ltd. All rights reserved.</t>
  </si>
  <si>
    <t>Gutiérrez, Gloria/JTO-7210-2023; Sarabia, Daniel/K-7926-2014; de Prada, Cesar/L-3750-2014</t>
  </si>
  <si>
    <t>Navia, Daniel/0000-0003-3541-3692; CUBILLOS, FRANCISCO/0000-0001-7863-4394; Sarabia, Daniel/0000-0001-7802-3542; de Prada, Cesar/0000-0001-6700-9067</t>
  </si>
  <si>
    <t>0098-1354</t>
  </si>
  <si>
    <t>1873-4375</t>
  </si>
  <si>
    <t>10.1016/j.compchemeng.2014.02.004</t>
  </si>
  <si>
    <t>WOS:000333056600014</t>
  </si>
  <si>
    <t>Costoya, A; Morales, F; Borda, P; Vargas, R; Fuhrer, J; Salgado, N; Cárdenas, H; Velasquez, L</t>
  </si>
  <si>
    <t>Costoya, Alberto; Morales, Francisco; Borda, Paula; Vargas, Renato; Fuhrer, Juan; Salgado, Nicole; Cardenas, Hugo; Velasquez, Luis</t>
  </si>
  <si>
    <t>Mycoplasmateceae species are not found in Fallopian tubes of women with tubo-peritoneal infertility</t>
  </si>
  <si>
    <t>BRAZILIAN JOURNAL OF INFECTIOUS DISEASES</t>
  </si>
  <si>
    <t>Background: The role of mycoplasmas on the development and sequelae of pelvic inflammatory disease remains controversial. The objective of the present study is to correlate directly the presence of Mycoplasmateceae through polimerase chain reaction (PCR) determinations in cervix and Fallopian tubes of infertile patients with tubo-peritoneal factor diagnosed through laparoscopy. Methods: Thirty patients with tubo-peritoneal infertility and 30 normal fertile patients were included in the study; cervical samples and tubal flushings were obtained during laparoscopy. PCR determinations for the detection of genetic material of Mycoplasma genitalium, Mycoplasma hominis, Ureaplasma urealiticum, Neisseria gonorrhoeae, Chlamydia trachomatis, Trichomonas vaginalis in cervix and tubal flushings were performed. Results: No Mycoplasmataceae species as only microorganisms were found in tubal flushings of tubo-peritoneal infertility patients, whereas three (10%) fertile patients with normal tubes were positive for mycoplasma presence. This difference was not significant (p = 0.237). Among the 30 patients suffering from tubal infertility diagnosed through laparoscopy, Mycoplasmatecae species were not detected in the Fallopian tubes by PCR determinations, while in normal tubes from fertile patients these and other microorganisms could be found without distorting tubal anatomy. Conclusion: Mycoplasmateceae species were not detected in Fallopian tubes of women with tubo-peritoneal infertility. (C) 2012 Elsevier Editora Ltda. All rights reserved.</t>
  </si>
  <si>
    <t>; Morales Zavala, Francisco/H-7384-2014</t>
  </si>
  <si>
    <t>Salgado, Nicole/0000-0003-1658-9641; Velasquez, Luis/0000-0002-9479-1792; Morales Zavala, Francisco/0000-0002-7743-5219</t>
  </si>
  <si>
    <t>1413-8670</t>
  </si>
  <si>
    <t>10.1016/S1413-8670(12)70323-9</t>
  </si>
  <si>
    <t>WOS:000305258200010</t>
  </si>
  <si>
    <t>Fechine, PBA; Rocha, HHB; Moretzsohn, RST; Denardin, JC; Lavín, R; Sombra, ASB</t>
  </si>
  <si>
    <t>Fechine, P. B. A.; Rocha, H. H. B.; Moretzsohn, R. S. T.; Denardin, J. C.; Lavin, R.; Sombra, A. S. B.</t>
  </si>
  <si>
    <t>Study of a microwave ferrite resonator antenna, based on a ferrimagnetic composite (Gd3Fe5O12)GdIGX-(Y3Fe5O12)YIG1-X</t>
  </si>
  <si>
    <t>IET MICROWAVES ANTENNAS &amp; PROPAGATION</t>
  </si>
  <si>
    <t>The authors report a study on microwave properties of a ferrimagnetic ceramic composite (Gd3Fe5O12)GdIG(X)-(Y3Fe5O12)YIG(1-X). The magnetic and dielectric measurements at microwave frequency were made through the Hakki-Coleman's procedure and through the excitation of a cylindrical ferrite resonator antenna (FRA). The hysteresis loops of the GdIG(X)YIG(1-X) ferrimagnetic composite were obtained. The numerical simulation study was performed using Ansoft's High Frequency Structure Simulator (HFSS (TM)) software. The agreement between the experimental data and the simulated results is very good. These results demonstrated that, by varying the material composition of the resonator, ferrimagnetic composite GdIG(X)YIG(1-X) could operate as a magneto-dielectric antenna with bandwidth in the range of 7.5-11% and in the frequency range of 4.4-5.3 GHz. Additionally, all FRAs presented a low negative value of tau(f), which indicates suitability for microwave applications such as mobile communication systems or satellite broadcast systems.</t>
  </si>
  <si>
    <t>Rocha, H/B-4942-2012; Sombra, Antonio/B-2963-2013; Denardin, Juliano/S-6407-2019; Fechine, Pierre/B-7937-2013</t>
  </si>
  <si>
    <t>Denardin, Juliano/0000-0002-1373-6207; Barbosa Rocha, Helio Henrique/0000-0001-7574-2357; Sohn, Ricardo/0000-0001-7351-4780; Fechine, Pierre/0000-0002-7822-2354</t>
  </si>
  <si>
    <t>1751-8725</t>
  </si>
  <si>
    <t>10.1049/iet-map.2008.0301</t>
  </si>
  <si>
    <t>WOS:000273046400007</t>
  </si>
  <si>
    <t>Yáñez, M; Guerrero, J; Aguirre, P; Moya, SA; Cárdenas-Jirón, G</t>
  </si>
  <si>
    <t>Yanez, Mauricio; Guerrero, Juan; Aguirre, Pedro; Moya, Sergio A.; Cardenas-Jiron, Gloria</t>
  </si>
  <si>
    <t>Experimental and theoretical characterization of Ru(II) complexes with polypyridine and phosphine ligands</t>
  </si>
  <si>
    <t>JOURNAL OF ORGANOMETALLIC CHEMISTRY</t>
  </si>
  <si>
    <t>The synthesis and the experimental and theoretical characterization of ruthenium hydride complexes containing phosphorus and polypyridine ligands [RuH(CO)(N-N)(PPh3)(2)](+) with N-N = dppz 1, dppz-CH3 2 (2.1 isomer), dppz-Cl 3 (3.1 isomer), ppl 4, and 2,2'-biquinoline 5, (where dppz = dipyrido[3,2-a:2',3'-c]phenazine), are presented. H-1 NMR, P-31 NMR, C-13 NMR, IR-FT, UV-Vis and elemental analysis are used to characterize the complexes. Optimized molecular geometries in the gas phase at the B3LYP/LACVP(d,p) level showed a distorted octahedral structure for ruthenium, the phosphine ligands are localized in a trans position, while the polypyridine ligand, which in all the cases is planar except in 5, adopt a trans position relative to the carbon monoxide and hydride ligands. The theoretical absorption spectra (one hundred excited states) were calculated for the seven complexes by the time dependent density functional theory (TD-DFT) in the gas phase. They predicted very well the UV-Vis spectra. It was possible to identify the character of each electronic transition and the fragments of the complexes involved in it. Theoretical evidence of the substituent effect in the polypyridine ligand and of the ligand effect (dppz, biq, ppl) was found, displayed mainly in the longer wavelength band. The theoretical results showed that the properties of these complexes can be tuned with changes localized in the polypyridine ligand covalently bonded to ruthenium. (C) 2009 Elsevier B.V. All rights reserved.</t>
  </si>
  <si>
    <t>Moya, Sergio/I-1446-2015; Cardenas-Jiron, Gloria/H-9508-2012</t>
  </si>
  <si>
    <t>Cardenas-Jiron, Gloria/0000-0003-4305-8088</t>
  </si>
  <si>
    <t>0022-328X</t>
  </si>
  <si>
    <t>1872-8561</t>
  </si>
  <si>
    <t>10.1016/j.jorganchem.2009.07.028</t>
  </si>
  <si>
    <t>WOS:000270369400015</t>
  </si>
  <si>
    <t>Matus, JT; Loyola, R; Vega, A; Peña-Neira, A; Bordeu, E; Arce-Johnson, P; Alcalde, JA</t>
  </si>
  <si>
    <t>Thomas Matus, Jose; Loyola, Rodrigo; Vega, Andrea; Pena-Neira, Alvaro; Bordeu, Edmundo; Arce-Johnson, Patricio; Antonio Alcalde, Jose</t>
  </si>
  <si>
    <t>Post-veraison sunlight exposure induces MYB-mediated transcriptional regulation of anthocyanin and flavonol synthesis in berry skins of Vitis vinifera</t>
  </si>
  <si>
    <t>JOURNAL OF EXPERIMENTAL BOTANY</t>
  </si>
  <si>
    <t>Anthocyanins, flavan-3-ols, and flavonols are the three major classes of flavonoid compounds found in grape berry tissues. Several viticultural practices increase flavonoid content in the fruit, but the underlying genetic mechanisms responsible for these changes have not been completely deciphered. The impact of post-veraison sunlight exposure on anthocyanin and flavonol accumulation in grape berry skin and its relation to the expression of different transcriptional regulators known to be involved in flavonoid synthesis was studied. Treatments consisting of removing or moving aside the basal leaves which shade berry clusters were applied. Shading did not affect sugar accumulation or gene expression of HEXOSE TRANSPORTER 1, although in the leaf removal treatment, these events were retarded during the first weeks of ripening. Flavonols were the most drastically reduced flavonoids following shading and leaf removal treatments, related to the reduced expression of FLAVONOL SYNTHASE 4 and its putative transcriptional regulator MYB12. Anthocyanin accumulation and the expression of CHS2, LDOX, OMT, UFGT, MYBA1, and MYB5a genes were also affected. Other regulatory genes were less affected or not affected at all by these treatments. Non-transcriptional control mechanisms for flavonoid synthesis are also suggested, especially during the initial stages of ripening. Although berries from the leaf removal treatment received more light than shaded fruits, malvidin-3-glucoside and total flavonol content was reduced compared with the treatment without leaf removal. This work reveals that flavonol-related gene expression responds rapidly to field changes in light levels, as shown by the treatment in which shaded fruits were exposed to light in the late stages of ripening. Taken together, this study establishes MYB-specific responsiveness for the effect of sun exposure and sugar transport on flavonoid synthesis.</t>
  </si>
  <si>
    <t>Vega, Andrea/Y-1874-2019; Alcalde, Jose/AAA-5698-2020; Loyola, Rafael/S-3978-2019; Arce-Johnson, Patricio/JUV-7099-2023; Vega, Andrea/J-2961-2016; Matus, Jose Tomas/G-3195-2016; Loyola, Rafael/A-4425-2008; Pena Neira, Alvaro/I-2793-2013</t>
  </si>
  <si>
    <t>Vega, Andrea/0000-0003-0841-5713; Arce-Johnson, Patricio/0000-0003-3854-1286; Matus, Jose Tomas/0000-0002-9196-1813; Loyola, Rafael/0000-0001-5323-2735; Loyola Munoz, Rodrigo Esteban/0000-0001-5638-0610; Pena Neira, Alvaro/0000-0003-1605-4241</t>
  </si>
  <si>
    <t>0022-0957</t>
  </si>
  <si>
    <t>1460-2431</t>
  </si>
  <si>
    <t>10.1093/jxb/ern336</t>
  </si>
  <si>
    <t>WOS:000264189900015</t>
  </si>
  <si>
    <t>Alarcón, E; Edwards, AM; Aspée, A; Borsarelli, CD; Lissi, EA</t>
  </si>
  <si>
    <t>Alarcon, Emilio; Maria Edwards, Ana; Aspee, Alexis; Borsarelli, Claudio D.; Lissi, Eduardo A.</t>
  </si>
  <si>
    <t>Photophysics and photochemistry of rose bengal bound to human serum albumin</t>
  </si>
  <si>
    <t>PHOTOCHEMICAL &amp; PHOTOBIOLOGICAL SCIENCES</t>
  </si>
  <si>
    <t>Rose bengal (RB) readily binds to human serum albumin (HSA). At low RB concentrations, 90% of the dye is associated to the protein (5 mu M), This association takes place in specific binding sites I and/or II. At higher RB concentrations, unspecific binding takes place with up to 10 RB molecules bound per protein molecule. The behavior of excited RB molecules bound to HSA is widely different to that observed in aqueous solution. Furthermore, the data also show that the behavior of bound RB molecules changes with the average number of dye molecules per protein (n). In particular, when n is large, the fluorescence yield is significantly reduced and no measurable long-lived triples and free singlet oxygen formation from bound dyes is detected. These results are related to self-quenching of the singlet and, most likely, excited triplets. All results point to the relevance of intra-protein generated singlet oxygen. However, when the dye is bound to the protein, at low oxygen concentrations such as those prevailing in vivo, trapping by oxygen of the triplet becomes inefficient and type I processes could contribute to the observed photoprocesses.</t>
  </si>
  <si>
    <t>Borsarelli, Claudio/O-3525-2019; Alarcon, Emilio/A-7285-2011; Borsarelli, Claudio Dario/I-4216-2012</t>
  </si>
  <si>
    <t>Borsarelli, Claudio Dario/0000-0003-0120-645X; Edwards-Mujica, Ana M./0000-0002-4637-1013</t>
  </si>
  <si>
    <t>1474-905X</t>
  </si>
  <si>
    <t>1474-9092</t>
  </si>
  <si>
    <t>10.1039/b901056d</t>
  </si>
  <si>
    <t>WOS:000267728600006</t>
  </si>
  <si>
    <t>Pérez, E; Espinoza, R; Laiveniekcs, M; Cardemil, E</t>
  </si>
  <si>
    <t>Perez, Estela; Espinoza, Rodrigo; Laiveniekcs, Maris; Cardemil, Emilio</t>
  </si>
  <si>
    <t>Stereochemistry of the carboxylation reaction catalyzed by the ATP-dependent phosphoenolpyruvate carboxykinases from Saccharomyces cerevisiae and Anaerobiospirillum succiniciproducens</t>
  </si>
  <si>
    <t>The stereochemistry of CO2 addition to phosphoenolpyruvate (PEP) to yield oxaloacetate catalyzed by ATP-dependent Saccharomyces cerevisiae and Anaerobiospirillum succiniciproducens PEP carboxykinases was determined using (Z)-3-fluorophosphoenolpyruvate ((Z)-F-PEP) as a substrate analog. A. succiniciproducens and S. cerevisiae PEP carboxykinases utilized (Z)-F-PEP with 1/14 and 1/47 the respective K. values for PEP. On the other hand, in the bacterial and yeast enzymes k(cat) was reduced to 1/67 and 1/48 the value with PEP, respectively. The binding affinity of pyridoxylphosphate-labeled S. cerevisiae and A. succiniciproducens PEP carboxykinases for PEP and (Z)-F-PEP was checked and found to be of similar magnitude for both substrates, suggesting that the lowered K-m values for the fluorine-containing PEP analog are due to kinetic effects. The lowered k(cat) values when using (Z)-F-PEP as substrate suggest that the electron withdrawing effect of fluorine affects the nucleophilic attack of the double bond of (Z)-F-PEP to CO2. For the stereochemical analyses, the carboxylation of (Z)-F-PEP was coupled to malate dehydrogenase to yield 3-fluoromalate, which was analyzed by F-19 NMR. The fluoromalate obtained was identified as (2R, 3R)-3-fluoromalate for both the A. succiniciproducens and S. cerevisiae PEP carboxykinases, thus indicating that CO2 addition to (Z)-F-PEP, and hence PEP, takes place through the 2-si face of the double bond. These results, together with previously published data [Rose, I.A. et al. J. Biol. Chem. 244 (1969) 6130-6133; Hwang, S.H. and Nowak, T. Biochemistry 25 (1986) 5590-5595] indicate that PEP carboxykinases, no matter their nucleotide specificity, catalyze the carboxylation of PEP from the 2-si face of the double bond. (c) 2008 Elseviei Masson SAS. All rights reserved.</t>
  </si>
  <si>
    <t>Perez, Estela/0000-0001-6320-5976</t>
  </si>
  <si>
    <t>10.1016/j.biochi.2008.07.002</t>
  </si>
  <si>
    <t>WOS:000261567400009</t>
  </si>
  <si>
    <t>Cárdenas-Jirón, GI; Venegas, C; López, R; Menéndez, MI</t>
  </si>
  <si>
    <t>Ines Cardenas-Jiron, Gloria; Venegas, Carlos; Lopez, Ramon; Menendez, M. Isabel</t>
  </si>
  <si>
    <t>Theoretical insight into pyrrole inversion and planarity in 5,10,15,20-tetraphenylsapphyrin and 5,10,15,20-tetraphenyl-26,28-diheterosapphyrins with two O, S, or Se atoms</t>
  </si>
  <si>
    <t>Density functional calculations at the B3LYP/6-31+G(d) (LACVP(D) for Se) theory level have been carried out on 5,10,15,20-tetraphenylsapphyrin (TPS), 5,10,15,20-tetraphenyl-26,28-dioxasapphyrin (TP2OS), 5,10,15,20-tetraphenyl-26,28-dithiasapphyrin (TP2SS), and 5,10,15,20-tetraphenyl-26,28-diselenasapphyrin (TP2SeS). In agreement with experimental findings, Our theoretical results show that TPS and TP2OS present an inverted conformation, whereas TP2SS and TP2SeS are more stable in the normal one. It was found that the relative stability of the normal and inverted conformers of the just mentioned sapphyrins correlates positevily with their degree of planarity and aromaticity, which depends on the size of the heteroatom, the steric repulsions produced by phenyl rings at the meso C atoms, and the network and nature of the bond critical points (BCPs) inside the macrocycle. These BCPs have been characterized by means of the AIM analysis and, some selected ones, by the changes in the total energy of significant fragments when distorted to avoid them.</t>
  </si>
  <si>
    <t>LOPEZ, RAMON/H-5078-2015; Menendez, M. Isabel/B-7698-2009; Cardenas-Jiron, Gloria/H-9508-2012</t>
  </si>
  <si>
    <t>SEP 4</t>
  </si>
  <si>
    <t>10.1021/jp801368c</t>
  </si>
  <si>
    <t>WOS:000258800400014</t>
  </si>
  <si>
    <t>Kennedy, BF; Bondarczuk, K; Reid, DA; Barry, LP</t>
  </si>
  <si>
    <t>Kennedy, B. F.; Bondarczuk, K.; Reid, D. A.; Barry, L. P.</t>
  </si>
  <si>
    <t>Pulse pedestal suppression using four-wave mixing in an SOA</t>
  </si>
  <si>
    <t>IEEE PHOTONICS TECHNOLOGY LETTERS</t>
  </si>
  <si>
    <t>Experimental results are presented demonstrating how four-wave mixing in a semiconductor optical amplifier can be used to remove pulse pedestals introduced due to nonlinearities which occur upon pulse propagation in an optical system. Such pedestals would degrade the performance of an optical time-division-multiplexed system due to coherent interaction between channels. An improvement of the temporal pulse suppression ratio to greater than 30 dB is achieved regardless of the level of the pulse pedestal on the input signal. This improvement takes place simultaneously with wavelength conversion and compression of the optical pulse.</t>
  </si>
  <si>
    <t>Barry, Liam/G-7041-2011; Kennedy, Brendan/C-2455-2013</t>
  </si>
  <si>
    <t>Kennedy, Brendan/0000-0003-4782-0498; Barry, Liam/0000-0001-8366-4790</t>
  </si>
  <si>
    <t>1041-1135</t>
  </si>
  <si>
    <t>1941-0174</t>
  </si>
  <si>
    <t>5-8</t>
  </si>
  <si>
    <t>10.1109/LPT.2007.915643</t>
  </si>
  <si>
    <t>WOS:000257952800001</t>
  </si>
  <si>
    <t>Das, A; Gamboa, J; López-Sarrión, J; Schaposnik, FA</t>
  </si>
  <si>
    <t>Gauge field theory in the infrared regime -: art. no. 107702</t>
  </si>
  <si>
    <t>We propose that the low energy behavior of a pure gauge theory can be studied by simply assuming violation of Lorentz invariance which is implemented through a deformation of the canonical Poisson brackets of the theory depending on an infrared scale. The resulting theory is equivalent to a pure gauge theory with a Chern-Simons like term. It is shown that at low energies this theory can be identified with three dimensional QCD where the mass of the fermion is related to the infrared scale.</t>
  </si>
  <si>
    <t>Gamboa, Jorge/R-8744-2019; Das, Ashok/K-7202-2017</t>
  </si>
  <si>
    <t>Das, Ashok/0000-0002-4958-6706; Lopez Sarrion, Justo Javier/0000-0002-2868-194X</t>
  </si>
  <si>
    <t>10.1103/PhysRevD.72.107702</t>
  </si>
  <si>
    <t>WOS:000233608800099</t>
  </si>
  <si>
    <t>Roa, L; Retamal, JC; Saavedra, C</t>
  </si>
  <si>
    <t>Quantum-state discrimination</t>
  </si>
  <si>
    <t>A proposal for a physical implementation of a quantum-state discrimination protocol using an ion in a linear trap is studied, where two nonorthogonal quantum states are codified using two electronic states of the ion. In addition, a protocol is given for discriminating superpositions of nonorthogonal entangled states between ions inside widely separated optical cavities. The discrimination protocol is extended to the case of N linearly independent nonorthogonal quantum states lying in a space of 2N-1 dimensions.</t>
  </si>
  <si>
    <t>Saavedra, Carlos/C-4262-2008; Retamal, Juan/G-6425-2010; Roa, Luis/F-9884-2010</t>
  </si>
  <si>
    <t>Retamal Abarzua, Juan Carlos/0000-0002-7174-7879; Saavedra, Carlos/0000-0003-3156-3853</t>
  </si>
  <si>
    <t>10.1103/PhysRevA.66.012103</t>
  </si>
  <si>
    <t>WOS:000177200800016</t>
  </si>
  <si>
    <t>Bernéde, JC; D'Almeida, K; Taoudi, H; Martinez, F; Neculqueo, G; Diaz, FR; Del Valle, K; Lefrant, S; Molinié, P; Louarn, G</t>
  </si>
  <si>
    <t>Thin oligomer films deposited in the presence of a hot wolfram filament.</t>
  </si>
  <si>
    <t>SYNTHETIC METALS</t>
  </si>
  <si>
    <t>International Conference on Science and Technology of Synthetic Metals (ICSM 98)</t>
  </si>
  <si>
    <t>JUL 12-18, 1998</t>
  </si>
  <si>
    <t>MONTPELLIER, FRANCE</t>
  </si>
  <si>
    <t>Thin oligomer films have been deposited by thermal evaporation under vacuum. A filament is placed between the evaporation source and the substrate, the temperature of this filament has been used as parameter. It is shown that systematically an ESR signal appears when the filament is heated during the deposition, while their is no signal after evaporation without filament.</t>
  </si>
  <si>
    <t>martinez, francisco/A-7948-2013; Bernede, Jean/A-3065-2012; LOUARN, Guy/A-6801-2008</t>
  </si>
  <si>
    <t>LOUARN, Guy/0000-0003-0683-7381</t>
  </si>
  <si>
    <t>0379-6779</t>
  </si>
  <si>
    <t>10.1016/S0379-6779(98)01141-2</t>
  </si>
  <si>
    <t>WOS:000081101300310</t>
  </si>
  <si>
    <t>Rios, E; Zelada, G; Marco, JF; Gautier, JL</t>
  </si>
  <si>
    <t>Characterization of bulk and surface composition of polycrystalline Co3O4 synthesized at 400°C for electrocatalysis</t>
  </si>
  <si>
    <t>Co3O4 cubic spinel was prepared by thermal decomposition of cobalt nitrate at 400 degrees C. Their properties were characterized by X-ray diffraction (XRD), infrared spectroscopy (IRS), thermogravimetric analysis (TG), scanning electron microscopy (SEM), magnetic susceptibility (chi) and oxidation power (q) measurements. Using the physicochemical characterization results and a structural refinement performed with the Rietveld method, it has been confirmed as cationic structure Co2+[Co-2(III)] with 3% of water hydration. From X-ray photoelectron spectroscopy (XPS) studies, in addition to previous work, the Co3O4 surface shows Co3+/Co2+ = 0.59 while for the same oxide but prepared by spray pyrolysis, Co3+/Co2+ = 1.20 showing the effect of preparation method.</t>
  </si>
  <si>
    <t>WOS:000078428600009</t>
  </si>
  <si>
    <t>Garcia-Huidobro, M; Manasevich, R; Yarur, CS</t>
  </si>
  <si>
    <t>On positive singular solutions for a class of nonhomogeneous p-Laplacian-like equations</t>
  </si>
  <si>
    <t>We study the behavior of positive radial solutions to -div(A(\del u\)del u) = f(u) near an isolated singularity at x = 0. We give an a priori estimate of the order of such singularity without imposing any growth restriction on A orf, and classify the solutions under an asymptotic Serrin type condition for strongly nonhomogeneous (possibly unbounded) functions A. We also prove the existence of such solutions. (C) 1998 Academic Press.</t>
  </si>
  <si>
    <t>Manasevich, Raúl/J-5529-2016; García-Huidobro, Marta/JJE-8451-2023</t>
  </si>
  <si>
    <t>10.1006/jdeq.1997.3390</t>
  </si>
  <si>
    <t>WOS:000073386900003</t>
  </si>
  <si>
    <t>Lissi, EA; Abuin, EB; Lanio, ME; Alvarez, C; Luzardo, MC; Figueroa, S; Verez, V</t>
  </si>
  <si>
    <t>Synthesis of a new neoglycolipid (AgH-1) and its effect upon the properties of dipalmitoylphosphatidylcholine: Cholesterol liposomes</t>
  </si>
  <si>
    <t>ARCHIVES OF BIOCHEMISTRY AND BIOPHYSICS</t>
  </si>
  <si>
    <t>A new neoglycolipid (AgH-1) bearing carbohydrate units that mimics the antigenic determinant of the O-blood group was synthesized and the effect of its incorporation in dipalmitoylphosphatidylcholine (DPPC):cholesterol liposomes was evaluated. The results obtained show that AgH-1 is readily incorporated into DPPC:cholesterol liposomes. The conditions leading to the optimal incorporation are the result of a compromise between incorporation efficiency and incorporation extent. The presence of AgH-1 produces liposomes of smaller size, with only small changes in the properties of the bilayer. However, the data obtained employing diphenylhexatriene and laurodan as fluorescence probes and merocyanine 540 as optical probe suggest that AgH-1 incorporation leads to a small rigidization of the liposomes at temperatures lower than ca. 42 degrees C. (C) 1998 Academic Press.</t>
  </si>
  <si>
    <t>0003-9861</t>
  </si>
  <si>
    <t>10.1006/abbi.1997.0500</t>
  </si>
  <si>
    <t>WOS:000072428500001</t>
  </si>
  <si>
    <t>Orellana, P; Claro, F; Anda, E; Makler, S</t>
  </si>
  <si>
    <t>Self-consistent calculation of resonant tunneling in asymmetric double barriers in a magnetic field</t>
  </si>
  <si>
    <t>We have studied resonant tunneling through an asymmetric double barrier in the presence of a magnetic field in the direction of the current flow. The electron-electron interaction as well as coupling to a longitudinal-optical phonon field are included. The main resonance peak in the I-V characteristic is followed by a phonon-induced peak, both showing a structure at finite magnetic field. We find a bistable region whose width oscillates with magnetic field, in accordance with experiment. This region is expected in the main resonance, yet, as we show, it may also be present in the phonon peak in the limit of large asymmetry.</t>
  </si>
  <si>
    <t>Anda, Enrique/D-1342-2019; Orellana, Pedro/L-4895-2018</t>
  </si>
  <si>
    <t>Orellana, Pedro/0000-0001-7688-4111; claro, francisco/0000-0003-2122-6992</t>
  </si>
  <si>
    <t>10.1103/PhysRevB.53.12967</t>
  </si>
  <si>
    <t>WOS:A1996UM47800068</t>
  </si>
  <si>
    <t>COSTAMAGNA, J; CANALES, J; VARGAS, J; ALVARADO, A; FERRAUDI, G</t>
  </si>
  <si>
    <t>SPECTROSCOPIC AND ELECTROCHEMICAL CHARACTERIZATION OF SOME COMPLEXES WITH AZAMACROCYCLE LIGANDS</t>
  </si>
  <si>
    <t>JOURNAL OF THE INDIAN CHEMICAL SOCIETY</t>
  </si>
  <si>
    <t>This work describes the synthesis and infrared, uv-visible, H-1 nmr and electrochemical characterisation of azacyclophanes and naphthalocyanines ligands and some Ni-II Cu-II, Co-II and Zn-II complexes. The characterisation of some non commercial precursors of these compounds is also informed. The results show that the ligands and complexes are essentially planar, their optical properties are similar to those found in phthalocyanines and some ligands stabilises Ni-I or Cu-I at potentials less than 1 V vs ESC. In order to increase the solubility of these systems in polar solvents, some alternatives sulphonation are proposed.</t>
  </si>
  <si>
    <t>0019-4522</t>
  </si>
  <si>
    <t>WOS:A1993QU35000005</t>
  </si>
  <si>
    <t>Aguirre, A; Zorrilla, R; Baiges, J; Codina, R</t>
  </si>
  <si>
    <t>Aguirre, A.; Zorrilla, R.; Baiges, J.; Codina, R.</t>
  </si>
  <si>
    <t>Fluid-structure interaction approximation with embedded solid-shell finite elements using discontinuous shape functions</t>
  </si>
  <si>
    <t>This work introduces a numerical framework for addressing Fluid-Structure Interaction problems involving thin structures subject to finite strain deformations. The proposed approach utilizes an embedded mesh method to establish a coupling interface between the fluid and structural domains. The novelty of the work is the incorporation of a recently developed locking-free stabilized formulation of solid-shell elements to handle the structural domain. The framework employs established techniques to handle pressure jumps in the fluid domain across the embedding interface and enforce boundary conditions, such as discontinuous shape functions for the pressure unknowns designed to segregate nodal contributions of the cut elements, and Nitsche's method for the weak imposition of transmission conditions in the fluid. The present approach is validated through a series of benchmark cases in both 2D and 3D environments, progressively increasing in complexity. The results demonstrate good agreement with existing literature, establishing the presented framework as a viable method for addressing Fluid-Structure Interaction problems involving thin structures subject to large strains.</t>
  </si>
  <si>
    <t>Codina, Ramon/I-2311-2014; Baiges, Joan/D-3433-2014; Zorrilla Martinez, Ruben/R-3898-2019</t>
  </si>
  <si>
    <t>Zorrilla Martinez, Ruben/0000-0001-8270-7170</t>
  </si>
  <si>
    <t>10.1016/j.apm.2025.115994</t>
  </si>
  <si>
    <t>WOS:001426724900001</t>
  </si>
  <si>
    <t>Solé, A; Mosella-Montoro, A; Cardona, J; Gómez-Coca, S; Aravena, D; Ruiz, E; Ruiz-Hidalgo, J</t>
  </si>
  <si>
    <t>Sole, Alex; Mosella-Montoro, Albert; Cardona, Joan; Gomez-Coca, Silvia; Aravena, Daniel; Ruiz, Eliseo; Ruiz-Hidalgo, Javier</t>
  </si>
  <si>
    <t>A Cartesian encoding graph neural network for crystal structure property prediction: application to thermal ellipsoid estimation</t>
  </si>
  <si>
    <t>DIGITAL DISCOVERY</t>
  </si>
  <si>
    <t>In the diffraction resolution of crystal structures, thermal ellipsoids are a critical parameter that is usually more difficult to determine than atomic positions. These ellipsoids are quantified through Anisotropic Displacement Parameters (ADPs), which provide critical insights into atomic vibrations within crystalline structures. ADPs reflect the thermal behaviour and structural properties of crystal structures. However, traditional methods to compute ADPs are computationally intensive. This paper presents CartNet, a novel graph neural network (GNN) architecture designed to predict properties of crystal structures efficiently by encoding the atomic structural geometry to the Cartesian axes and the temperature of the crystal structure. Additionally, CartNet employs a neighbour equalization technique for message passing to help emphasise the covalent and contact interactions and a novel Cholesky-based head to ensure valid ADP predictions. Furthermore, a rotational SO(3) data augmentation technique has been proposed during the training phase to generalize unseen rotations. To corroborate this procedure, an ADP dataset with over 200 000 experimental crystal structures from the Cambridge Structural Database (CSD) has been curated. The model significantly reduces computational costs and outperforms existing previously reported methods for ADP prediction by 10.87%, while demonstrating a 34.77% improvement over the tested theoretical computation methods. Moreover, we have employed CartNet for other already known datasets that included different material properties, such as formation energy, band gap, total energy, energy above the convex hull, bulk moduli, and shear moduli. The proposed architecture outperformed previously reported methods by 7.71% in the JARVIS dataset and 13.16% in the Materials Project dataset, proving CarNet's capability to achieve state-of-the-art results in several tasks. The project website with online demo available at: https://www.ee.ub.edu/cartnet.</t>
  </si>
  <si>
    <t>Ruiz-Hidalgo, Javier/F-8137-2013; Aravena, Daniel/F-2174-2011; Cardona, Joan/IAP-2682-2023; Ruiz, Eliseo/A-6268-2011; Gomez-Coca, Silvia/F-5384-2011</t>
  </si>
  <si>
    <t>Ruiz, Eliseo/0000-0001-9097-8499; Gomez-Coca, Silvia/0000-0002-2299-4697; Mosella Montoro, Albert/0000-0001-9334-3472</t>
  </si>
  <si>
    <t>2635-098X</t>
  </si>
  <si>
    <t>MAR 12</t>
  </si>
  <si>
    <t>10.1039/d4dd00352g</t>
  </si>
  <si>
    <t>WOS:001411116400001</t>
  </si>
  <si>
    <t>Shabani, H; Cruz, N; Ziaie, AH</t>
  </si>
  <si>
    <t>Shabani, Hamid; Cruz, Norman; Ziaie, Amir Hadi</t>
  </si>
  <si>
    <t>Late time cosmological solutions in f(R,T) gravity in a viscous universe</t>
  </si>
  <si>
    <t>Considering the condition on conservation of energy-momentum tensor (EMT), we study late time cosmological solutions in the context of f(R,T)=R+alpha T-n gravity (where alpha and n are constants) in a flat Friedmann-Lemaitre-Robertson-Walker (FLRW) spacetime. The present model discusses the case of a barotropic perfect fluid as the matter content of the Universe, along with the case when dissipative effects are taken into account. Briefly, assuming a single perfect fluid, we find that the mentioned model is not capable of presenting an observationally consistent picture of the late time accelerated expansion of the Universe; nevertheless, the model leads to admissible solutions when the bulk viscosity is included. In this regard, a consistent setting is found considering the Eckart, Truncated and Full Israel-Stewart theories which determine the behavior of bulk viscosity. In the presence of bulk viscosity, the behavior of the deceleration parameter (DP) shows that the underlying model can describe an acceptable evolution even if the isotropic pressure of matter content of the Universe is negligible.</t>
  </si>
  <si>
    <t>Shabani, Hamid/CAG-1389-2022</t>
  </si>
  <si>
    <t>JAN 20</t>
  </si>
  <si>
    <t>10.1142/S0217732323501912</t>
  </si>
  <si>
    <t>WOS:001173869900005</t>
  </si>
  <si>
    <t>Zagaglioni, T; Trejo, M; Espindola, DA; Galaz, BA</t>
  </si>
  <si>
    <t>Zagaglioni, Teresa; Trejo, Miguel; Espindola, David A.; Galaz, Belfor A.</t>
  </si>
  <si>
    <t>Rotation Elastogram Estimation Using Mechanical Assisted Spatial Compounding: An Experimental Validation Study</t>
  </si>
  <si>
    <t>IEEE ACCESS</t>
  </si>
  <si>
    <t>In quasi-static ultrasound elastography, breast tumor classification can be performed by using the rotation fill-in signature present in the rotation elastogram. This rotation fill-in signature is a benign tumors marker obtained from lesion rotation as a product of the lateral asymmetric stress field. However, the well-known low lateral resolution limitation of ultrasound imaging devices reduces the image quality of the rotation elastograms. Studies using beam-steering, synthetic transmit aperture (STA), diverging beam with STA, and sub-pitch translation of the ultrasonic beam methods have shown that the rotation elastogram's quality can be significantly improved. In this context, we aim to study the feasibility of improving the rotation elastogram quality by mechanical-assisted spatial compounding of displacement images from different ultrasound probe angles. Recently, through numerical simulations, we have shown the theoretical feasibility of this technique. Here, we present the corresponding experimental validation by using tissue-mimicking gelatin phantoms. Our experimental results show that the contrast-to-noise ratio of the rotation elastogram can be improved by approximately 5 dB by increasing the number of displacement images used in the spatial compounding for small scanning angles of about 1 degrees. This result confirms the prediction of previous numerical simulations. In addition, we show that the estimation of rotation can be used, in conjunction with the shear strain, to compute a new parameter to quantify the rotation possibility of the inclusion with respect to its shearing nature. In conclusion, our method is technically feasible but requires an exhaustive ultrasound probe position control in synchronism with the ultrasound image acquisition process.</t>
  </si>
  <si>
    <t>Espindola, DAVID/M-9318-2019</t>
  </si>
  <si>
    <t>Espindola, David/0000-0001-6675-9560</t>
  </si>
  <si>
    <t>2169-3536</t>
  </si>
  <si>
    <t>10.1109/ACCESS.2024.3406264</t>
  </si>
  <si>
    <t>WOS:001237363100001</t>
  </si>
  <si>
    <t>Grande-Tovar, CD; Castro, JI; Tenorio, DL; Zapata, PA; Florez-López, E; Valencia-Llano, CH</t>
  </si>
  <si>
    <t>Grande-Tovar, Carlos David; Castro, Jorge Ivan; Tenorio, Diego Lopez; Zapata, Paula A.; Florez-Lopez, Edwin; Valencia-Llano, Carlos Humberto</t>
  </si>
  <si>
    <t>Chitosan-Polyvinyl Alcohol Nanocomposites for Regenerative Therapy</t>
  </si>
  <si>
    <t>Tissue accidents provide numerous pathways for pathogens to invade and flourish, causing additional harm to the host tissue while impeding its natural healing and regeneration. Essential oils (EOs) exhibit rapid and effective antimicrobial properties without promoting bacterial resistance. Clove oils (CEO) demonstrate robust antimicrobial activity against different pathogens. Chitosan (CS) is a natural, partially deacetylated polyamine widely recognized for its vast antimicrobial capacity. In this study, we present the synthesis of four membrane formulations utilizing CS, polyvinyl alcohol (PVA), and glycerol (Gly) incorporated with CEO and nanobioglass (n-BGs) for applications in subdermal tissue regeneration. Our analysis of the membranes' thermal stability and chemical composition provided strong evidence for successfully blending polymers with the entrapment of the essential oil. The incorporation of the CEO in the composite was evidenced by the increase in the intensity of the band of C-O-C in the FTIR; furthermore, the increase in diffraction peaks, as well as the broadening, provide evidence that the introduction of CEO perturbed the crystal structure. The morphological examination conducted using scanning electron microscopy (SEM) revealed that the incorporation of CEO resulted in smooth surfaces, in contrast to the porous morphologies observed with the n-BGs. A histological examination of the implanted membranes demonstrated their biocompatibility and biodegradability, particularly after a 60-day implantation period. The degradation process of more extensive membranes involved connective tissue composed of type III collagen fibers, blood vessels, and inflammatory cells, which supported the reabsorption of the composite membranes, evidencing the material's biocompatibility.</t>
  </si>
  <si>
    <t>Lopez Tenorio, Diego/0009-0002-5855-0497; Zapata, Paula Andrea/0000-0003-3361-6226; Valencia Llano, Carlos Humberto/0000-0003-4892-9786; Grande Tovar, Carlos David/0000-0002-6243-4571; castro castro, jorge ivan/0000-0003-1930-6598</t>
  </si>
  <si>
    <t>10.3390/polym15234595</t>
  </si>
  <si>
    <t>WOS:001116008500001</t>
  </si>
  <si>
    <t>Lizarraga, AP; López, JV; Alvarado, SF</t>
  </si>
  <si>
    <t>Pavez Lizarraga, Amaya; Vanegas Lopez, Jairo; Flores Alvarado, Sandra</t>
  </si>
  <si>
    <t>Cognitive Impairment Among Older Adults in Chile: Evidence from the National Health Survey (ENS 2016-2017)</t>
  </si>
  <si>
    <t>Objective: Analysis of cognitive impairment in the elderly by age, sex and self-perception of memory using the National Health Survey (ENS 2016-2017). Material and Method: Analytical cross-sectional study. The data comes from the National Health Survey (ENS 2016-2017). A n = 2,030 adults over 60 years of age are included. Variables such as age, sex, self-perception of memory and cognitive ability measured with the Mini-Mental Test were considered. A Pearson correlation was made between the results of the Mini-Mental and age by sex and by level of self-perception of memory and Spearman's correlation between age and level of self-perception. A Logistic Regression analysis considered a binary variable due to suspicion of cognitive impairment (CD) and predictors, age, level of self-perception of memory, and sex. Results: The evaluation was completed by 63.69% (n = 1,293) women and 36.31% (n = 737) men. The mean age was 71.02 +/- 7.9 years. Age was significantly higher in the group with suspected DC (p=0.00). While Age and negative self-perception independently increase the risk of DC (OR= 1.1027 CI95%; 1.0392-1.1719 and OR = 1.4974 CI95%; 0.4091-5.5725) respectively. Conclusion: A significant percentage of older adults reported a fair to poor (self-perceived) memory. Age was the most significant variable in relation to the suspicion of CD. In other words, the older the age, the greater the cognitive deterioration without significant differences by sex. However, women presented less cognitive impairment.</t>
  </si>
  <si>
    <t>Vanegas, Jairo/ACV-6689-2022; Flores-Alvarado, Sandra/JPL-8077-2023</t>
  </si>
  <si>
    <t>WOS:001223730900003</t>
  </si>
  <si>
    <t>Beltrán-Castillo, S; Bravo, K; Eugenín, J</t>
  </si>
  <si>
    <t>Gonzalez-Ortiz, M</t>
  </si>
  <si>
    <t>Beltran-Castillo, Sebastian; Bravo, Karina; Eugenin, Jaime</t>
  </si>
  <si>
    <t>Impact of Prenatal Nicotine Exposure on Placental Function and Respiratory Neural Network Development</t>
  </si>
  <si>
    <t>ADVANCES IN MATERNAL-FETAL BIOMEDICINE: Cellular and Molecular Mechanisms of Pregnancy Pathologies</t>
  </si>
  <si>
    <t>Advances in Experimental Medicine and Biology</t>
  </si>
  <si>
    <t>Smoking during pregnancy is associated with multiple undesirable outcomes in infants, such as low birth weight, increased neonatal morbidity and mortality, and catastrophic conditions like sudden infant death syndrome (SIDS). Nicotine, the most addictive and teratogenic substance in tobacco smoke, reaches and crosses the placenta and can be accumulated in the amniotic fluid and distributed by fetal circulation, altering the cholinergic transmission by acting on the nicotinic acetylcholine receptors (nAChRs) expressed from very early gestational stages in the placenta and fetal tissue. Because nAChRs influence the establishment of fetomaternal circulation and the emergence of neuronal networks, prenatal nicotine exposure can lead to multiple alterations in newborns. In this mini-review, we discuss the undeniable effects of nicotine in the placenta and the respiratory neural network as examples of how prenatal nicotine and smoking exposition can affect brain development because dysfunction in this network is involved in SIDS etiology.</t>
  </si>
  <si>
    <t>Bravo García, Martha/KZT-8810-2024; Beltran Castillo, Sebastian/AAT-2028-2021</t>
  </si>
  <si>
    <t>Bravo-Flores, Karina Alejandra/0000-0001-8871-294X; Beltran-Castillo, Sebastian/0000-0003-4550-6323</t>
  </si>
  <si>
    <t>0065-2598</t>
  </si>
  <si>
    <t>2214-8019</t>
  </si>
  <si>
    <t>978-3-031-32556-4; 978-3-031-32554-0; 978-3-031-32553-3</t>
  </si>
  <si>
    <t>10.1007/978-3-031-32554-0_10</t>
  </si>
  <si>
    <t>10.1007/978-3-031-32554-0</t>
  </si>
  <si>
    <t>WOS:001168210800010</t>
  </si>
  <si>
    <t>Granados-Tavera, K; Zambrano-Angulo, M; Hidalgo-Rosa, Y; Zarate, X; Cárdenas-Jirón, G</t>
  </si>
  <si>
    <t>Granados-Tavera, Kevin; Zambrano-Angulo, Michael; Hidalgo-Rosa, Yoan; Zarate, Ximena; Cardenas-Jiron, Gloria</t>
  </si>
  <si>
    <t>Tuning the visible-NIR absorption of azulenocyanine-based photosensitizers</t>
  </si>
  <si>
    <t>JOURNAL OF MOLECULAR MODELING</t>
  </si>
  <si>
    <t>A new photosensitizer 1-WS55 (dyad) based on two dyes with excellent properties, azulenocyanine (1) and WS55, is proposed at the density functional theory level (M06/def2-SVP). 1 is a dye having a broad NIR absorption (similar to 1000 nm), and WS55 is a metal-free organic dye that presents a huge photoelectric conversion efficiency (PCE) of 9.5%. The dyad presents a panchromatic absorption along the UV-Vis-NIR region. It exhibits two intense Q bands (880, 926 nm) in the NIR region, one strong band (672 nm) in the visible region, and several bands in 300-600 nm. Charge transfer bands in the dyad from 1 to WS55 were found in the visible region, which favors the adsorption on an anatase TiO2 surface. The interaction energies dyad (dye)-TiO2 were calculated as a periodic system and corrected by the basis set superposition error. These show better adsorption for the dyad than fragments 1 and WS55. The electron injection calculated from the dye (dyad) to TiO2 suggests an efficient solar energy conversion because of Delta G(inj) &gt; 0.2 eV. Additionally, calculations performed for the reorganization energy of electrons and holes indicate that the dyad presents the highest charge mobility. In summary, the dyad proposed 1-WS55 constitutes an excellent candidate to be used as a potential photosensitizer for the DSSCs.</t>
  </si>
  <si>
    <t>Cardenas-Jiron, Gloria/H-9508-2012; Hidalgo Rosa, Yoan/ABA-2376-2021</t>
  </si>
  <si>
    <t>Cardenas-Jiron, Gloria/0000-0003-4305-8088; Hidalgo Rosa, Yoan/0000-0002-1391-435X; Granados-Tavera, Kevin/0000-0002-7585-4022</t>
  </si>
  <si>
    <t>1610-2940</t>
  </si>
  <si>
    <t>0948-5023</t>
  </si>
  <si>
    <t>10.1007/s00894-022-05329-y</t>
  </si>
  <si>
    <t>WOS:000864629200001</t>
  </si>
  <si>
    <t>Recabarren-Domínguez, E; López, FA; Ferriol, F; Gatica, G</t>
  </si>
  <si>
    <t>Rocha, A; Fajardo-Toro, CH; Rodriguez, JMR</t>
  </si>
  <si>
    <t>Recabarren-Dominguez, Eduardo; Lopez, Felipe A.; Ferriol, Fermin; Gatica, Gustavo</t>
  </si>
  <si>
    <t>A Methodological Proposal for Managing Operational Risk by Integrating Agility</t>
  </si>
  <si>
    <t>DEVELOPMENTS AND ADVANCES IN DEFENSE AND SECURITY, MICRADS 2021</t>
  </si>
  <si>
    <t>Multidisciplinary International Conference of Research Applied to Defense and Security (MICRADS)</t>
  </si>
  <si>
    <t>AUG 18-20, 2021</t>
  </si>
  <si>
    <t>Today's processes are dynamic, in particular how customers purchase products and/or services from financial institutions. Therefore, organizations face the challenge of establishing business strategies focused on the customer and building long-lasting relationships. This implies accelerating the needs of a digital transformation both toward the customer and in internal processes. A framework for risk management, applicable to digital transformation projects, is presented under an agile approach to manage and manage operational risks. Thus, through a methodology based on the application of a set of Scrum best practices, it is integrated into the current risk management tools of a banking institution. The results are scalable and extensible to Financial and Governmental Institutions.</t>
  </si>
  <si>
    <t>gatica, gustavo/KXR-7308-2024; López, Felipe/ACA-3714-2022</t>
  </si>
  <si>
    <t>Lopez, Felipe A./0000-0003-3007-8928</t>
  </si>
  <si>
    <t>978-981-16-4884-7; 978-981-16-4883-0</t>
  </si>
  <si>
    <t>10.1007/978-981-16-4884-7_26</t>
  </si>
  <si>
    <t>WOS:000842939900026</t>
  </si>
  <si>
    <t>Melo, R; Armstrong, V; Navarro, F; Castro, P; Mendoza, L; Cotoras, M</t>
  </si>
  <si>
    <t>Melo, Ricardo; Armstrong, Veronica; Navarro, Freddy; Castro, Paulo; Mendoza, Leonora; Cotoras, Milena</t>
  </si>
  <si>
    <t>Characterization of the Fungitoxic Activity on Botrytis cinerea of N-phenyl-driman-9-carboxamides</t>
  </si>
  <si>
    <t>A total of 12 compounds were synthesized from the natural sesquiterpene (-) drimenol (compounds 4 to 15). The synthesized compounds corresponded to N-phenyl-driman-9-carboxamide derivatives, similar to some fungicides that inhibit the electron-transport chain. Their structures were characterized and confirmed by H-1 NMR, C-13 NMR spectroscopy, and mass spectrometry. Compounds 5 to 15 corresponded to novel compounds. The effect of the compounds on the mycelial growth of Botrytis cinerea was evaluated. Methoxylated and chlorinated compounds in the aromatic ring (compounds 6, 7, 12, and 13) exhibited the highest antifungal activity with IC50 values between 0.20 and 0.26 mM. On the other hand, the effect on conidial germination of B. cinerea of one methoxylated compound (6) and one chlorinated compound (7) was analyzed, and no inhibition was observed. Additionally, compound 7 decreased 36% the rate of oxygen consumption by germinating conidia.</t>
  </si>
  <si>
    <t>Melo, Ricardo/0000-0001-6512-4272; Navarro, Freddy/0000-0003-0056-5266</t>
  </si>
  <si>
    <t>10.3390/jof7110902</t>
  </si>
  <si>
    <t>WOS:000726704800001</t>
  </si>
  <si>
    <t>Bolados, CC; Ferrari, G; Suárez-Reyes, M; Dourado, DQS; Diaz-Peña, H; Pizarro, T</t>
  </si>
  <si>
    <t>Bolados, Cristian Cofre; Ferrari, Gerson; Suarez-Reyes, Monica; Quintiliano Scarpelli Dourado, Daiana; Diaz-Pena, Helen; Pizarro, Tito</t>
  </si>
  <si>
    <t>Muscular Strength of Upper and Lower Limbs and Self-Esteem in Chilean SchoolChildren: Independent Associations with Body Composition Indicators</t>
  </si>
  <si>
    <t>The aim of this study was to analyze the relationship between muscular strength from upper and lower limbs with self-esteem among Chilean schoolchildren, drawing independent associations with body composition indicators. The sample consisted of 1078 schoolchildren. The muscular strength of the upper and lower limbs was evaluated using a digital dynamometer and long jump performance. The general strength index was calculated based on Z-score values. Rosenberg's test was used to determine the level of self-esteem of participants. Body fat and body mass index were employed as body composition indicators. Boys had significantly more upper and lower strength, and a general strength index higher than girls (11.7 vs. 10.6; 109.7 vs. 97.4; 0.19 vs. -0.24, respectively). For boys and girls combined, there were no significant associations between all muscular strength variables and self-esteem. In boys, upper and lower limb strength was positively associated with self-esteem. In girls, no association between muscular strength and self-esteem was found. In both sexes, the general strength index was not associated with self-esteem. Strategies and programs that promote mental health and muscular strength among schoolchildren, specifically in boys, are needed.</t>
  </si>
  <si>
    <t>Dourado, Daiana/AAO-6746-2021; Suárez- Reyes, Mónica/GYE-3153-2022; Ferrari, Gerson/ABG-6635-2021; Pizarro, Tito/AAY-2260-2021; Ferrari, Gerson/P-1152-2014</t>
  </si>
  <si>
    <t>Ferrari, Gerson/0000-0003-3177-6576; Suarez-Reyes, Monica/0000-0002-5663-4673; pizarro, tito/0000-0002-2514-0072; QUINTILIANO SCARPELLI DOURADO, DAIANA/0000-0003-4317-4601</t>
  </si>
  <si>
    <t>10.3390/ijerph18020361</t>
  </si>
  <si>
    <t>WOS:000611271000001</t>
  </si>
  <si>
    <t>Bervoets, S; Bravo, M; Faure, M</t>
  </si>
  <si>
    <t>Bervoets, Sebastian; Bravo, Mario; Faure, Mathieu</t>
  </si>
  <si>
    <t>Learning with minimal information in continuous games</t>
  </si>
  <si>
    <t>THEORETICAL ECONOMICS</t>
  </si>
  <si>
    <t>While payoff-based learning models are almost exclusively devised for finite action games, where players can test every action, it is harder to design such learning processes for continuous games. We construct a stochastic learning rule, designed for games with continuous action sets, which requires no sophistication from the players and is simple to implement: players update their actions according to variations in own payoff between current and previous action. We then analyze its behavior in several classes of continuous games and show that convergence to a stable Nash equilibrium is guaranteed in all games with strategic complements as well as in concave games, while convergence to Nash equilibrium occurs in all locally ordinal potential games as soon as Nash equilibria are isolated.</t>
  </si>
  <si>
    <t>Bravo, Mario/0000-0002-4312-9600</t>
  </si>
  <si>
    <t>1933-6837</t>
  </si>
  <si>
    <t>1555-7561</t>
  </si>
  <si>
    <t>10.3982/TE3435</t>
  </si>
  <si>
    <t>WOS:000609459200007</t>
  </si>
  <si>
    <t>Abarca, R; Chavez, H; Lismayes, A; Caro-Ruiz, C; Alvarez, GE</t>
  </si>
  <si>
    <t>Abarca, R.; Chavez, H.; Lismayes, A.; Caro-Ruiz, Claudia; Alvarez, Gonzalo E.</t>
  </si>
  <si>
    <t>A REFLEX Algebraic Reserve Constraint Model</t>
  </si>
  <si>
    <t>2020 IEEE PES TRANSMISSION &amp; DISTRIBUTION CONFERENCE AND EXHIBITION - LATIN AMERICA (T&amp;D LA)</t>
  </si>
  <si>
    <t>Proceedings of the IEEE-PES Transmission &amp; Distribution Conference and Exposition Latin America</t>
  </si>
  <si>
    <t>IEEE PES Transmission and Distribution Conference and Exhibition - Latin America (T and D LA)</t>
  </si>
  <si>
    <t>SEP 28-OCT 02, 2020</t>
  </si>
  <si>
    <t>Montevideo, URUGUAY</t>
  </si>
  <si>
    <t>IEEE PES</t>
  </si>
  <si>
    <t>The Renewable Energy FLEXibility model (REFLEX) is a planning model that assesses the impact of renewable integration on power balance flexibility. As the model has been implemented in various commercial software, it is currently a known framework to evaluate planning scenarios of renewable integration. In order for the model to represent flexibility related to intra-dispatch system balance, an iterative process has to be performed to evaluate the adequacy of reserve coordination for all commitment decisions through dynamic simulations. This process is computationally intense, and must be performed each time the system changes. This work proposes a general model to represent intra-dispatch reserve adequacy algebraically, so the iterative process is avoided. A numerical example is provided.</t>
  </si>
  <si>
    <t>Caro-Ruiz, Claudia/GRF-1630-2022; Alvarez, Gonzalo/ABG-9996-2020</t>
  </si>
  <si>
    <t>Caro Ruiz, Claudia Catalina/0000-0001-8302-9930</t>
  </si>
  <si>
    <t>2381-3571</t>
  </si>
  <si>
    <t>978-1-7281-4155-8</t>
  </si>
  <si>
    <t>10.1109/TDLA47668.2020.9326215</t>
  </si>
  <si>
    <t>WOS:000666965600053</t>
  </si>
  <si>
    <t>Arancibia, J; Labbé, TP; Ríos, JA</t>
  </si>
  <si>
    <t>Arancibia, Javiera; Labbe, Tomas P.; Rios, Juvenal A.</t>
  </si>
  <si>
    <t>mTOR inhibitors, autophagia and Cancer: looking forward to a universal financial coverage</t>
  </si>
  <si>
    <t>Rios, Juvenal/KII-7543-2024</t>
  </si>
  <si>
    <t>Labbe, Tomas/0000-0002-1566-5940</t>
  </si>
  <si>
    <t>10.4067/S0034-98872019000500674</t>
  </si>
  <si>
    <t>WOS:000478968700019</t>
  </si>
  <si>
    <t>Pizarro, GD; Marambio, OG; Jeria-Orell, M; Oyarzún, DP; Martin-Trasanco, R; Sánchez, J</t>
  </si>
  <si>
    <t>Pizarro, Guadalupe del C.; Marambio, Oscar G.; Jeria-Orell, Manuel; Oyarzun, Diego P.; Martin-Trasanco, Rudy; Sanchez, Julio</t>
  </si>
  <si>
    <t>Porous Surface Films With Tunable Morphologies and Hydrophobic Properties Based on Block Copolymer Under the Effects of Thermal Annealing</t>
  </si>
  <si>
    <t>The fabrication of porous-structured polymer films with patterned surface structures has recently attracted increased interest within the material science field. In this work, a series of microstructure scale patterned polymer films were obtained via breath figure methods (BF) with hydrophobic surface films based on self-assembled diblock copolymers by atom-transfer radical polymerization (ATRP). The surface characteristics and morphological properties, pore size, roughness, thickness, and wettability of the block copolymer films was studied in response to variation of the hydrophilic co-monomer structures. A significant improvement of the quality and order of the hydrophobic films was observed in response to thermal annealing and a consequent optimization of the assembly process.</t>
  </si>
  <si>
    <t>PIZARRO, GUADALUPE/V-3353-2017; Sanchez, Julio/AEO-4360-2022; Oyarzun, Diego/MTF-4062-2025; Martin-Trasancos, Rudy/L-2791-2017</t>
  </si>
  <si>
    <t>Sanchez, Julio/0000-0003-4245-0096</t>
  </si>
  <si>
    <t>MAR 28</t>
  </si>
  <si>
    <t>10.3389/fchem.2019.00181</t>
  </si>
  <si>
    <t>WOS:000462702000001</t>
  </si>
  <si>
    <t>Corvalan, A; Cox, P; Osorio, R</t>
  </si>
  <si>
    <t>Corvalan, Alejandro; Cox, Paulo; Osorio, Rodrigo</t>
  </si>
  <si>
    <t>Indirect political budget cycles: Evidence from Chilean municipalities</t>
  </si>
  <si>
    <t>JOURNAL OF DEVELOPMENT ECONOMICS</t>
  </si>
  <si>
    <t>Political budget cycles have been studied at the national and local level, separately. However, when local governments depend on national resources, the central government may have incentives to manipulate intergovernmental transfers to favor politically aligned mayors, in order to use their help to mobilize voters in the next national election. This generates an indirect Political Budget Cycle (iPBC). This paper documents the presence of an iPBC in Chile. We show that, during municipal election years, the government increases the overall amount of transfers to municipalities (local governments), and that these additional resources are allocated to the politically aligned mayors. We also report that transfers to aligned mayors are higher when the local races are tighter, suggesting that the government prefers to deviate resources towards swing municipalities. Finally, we show that transfers are correlated with municipal spending during electoral years, and with both local and national political electoral outcomes.</t>
  </si>
  <si>
    <t>CORVALAN, ALEJANDRO/KYD-1353-2024; Cox, Paulo/GWV-5402-2022</t>
  </si>
  <si>
    <t>Osorio, Rodrigo/0000-0002-7365-5054; Corvalan, Alejandro/0000-0001-9281-8018</t>
  </si>
  <si>
    <t>0304-3878</t>
  </si>
  <si>
    <t>1872-6089</t>
  </si>
  <si>
    <t>10.1016/j.jdeveco.2018.01.001</t>
  </si>
  <si>
    <t>WOS:000437068000001</t>
  </si>
  <si>
    <t>Tammeveski, K; Zagal, JH</t>
  </si>
  <si>
    <t>Tammeveski, Kaido; Zagal, Jose H.</t>
  </si>
  <si>
    <t>Electrocatalytic oxygen reduction on transition metal macrocyclic complexes for anion exchange membrane fuel cell application</t>
  </si>
  <si>
    <t>CURRENT OPINION IN ELECTROCHEMISTRY</t>
  </si>
  <si>
    <t>This review discusses the electrocatalytic activity of MN4 macrocyclic complexes for the O-2 reduction reaction. The main reactivity descriptors for these complexes, essentially the M(III)/(II) redox potential and the M-O-2 binding energies are considered. MN x pyrolysed catalysts are only discussed briefly as this will be covered in other articles of this issue. The performance of these catalysts in anion exchange membrane fuel cell (AEMFC) is thoroughly reviewed.</t>
  </si>
  <si>
    <t>zagal, jose/L-9648-2014; Tammeveski, Kaido/H-7789-2015</t>
  </si>
  <si>
    <t>Tammeveski, Kaido/0000-0002-4144-4471</t>
  </si>
  <si>
    <t>2451-9103</t>
  </si>
  <si>
    <t>10.1016/j.coelec.2018.04.001</t>
  </si>
  <si>
    <t>WOS:000442798800029</t>
  </si>
  <si>
    <t>Villamar, CA; Vera-Puerto, I; Rivera, D; De la Hoz, F</t>
  </si>
  <si>
    <t>Villamar, Cristina-Alejandra; Vera-Puerto, Ismael; Rivera, Diego; De la Hoz, Felipe</t>
  </si>
  <si>
    <t>Reuse and Recycling of Livestock and Municipal Wastewater in Chilean Agriculture: A Preliminary Assessment</t>
  </si>
  <si>
    <t>WATER</t>
  </si>
  <si>
    <t>Chile is an agricultural power, but also one of the most vulnerable countries to climate change and water shortage. About 50% of the irrigated agriculture land in Chile is in the central zone, thanks to its agricultural-climatic characteristics that provide an adequate water supply (100-4000 m(3)/s). However, the vulnerability scenario in this zone is high due to the seasonal availability of water resources. Therefore, opportunities to use non-conventional alternative sources (e.g., wastewater) become an appealing and feasible option due to the high population and animal density (&gt;76%) in this part of the country. Moreover, the physicochemical characteristics of the municipal and livestock wastewater suggest that there are potential opportunities to recycle nutrients for agricultural production. In Chile, wastewater reuse opportunities are noted by the wide coverage of wastewater treatment programs, with municipal and intensified livestock production taking up most of the percentage (&gt;99%). Nevertheless, more than 70% of wastewater treatment systems reach biological secondary treatment, which suggests reuse possibilities only for non-food crops. Therefore, this paper is focused on a preliminary analysis of the potential of reusing and recycling municipal and livestock wastewater for Chilean agriculture. There is some reuse work occurring in Chile, specifically in the use of municipal and livestock wastewater for cereal crops (animal feed), forests, and grasslands. However, aspects related to the long-term effects of these practices have not yet been evaluated. Therefore, municipal and livestock wastewater in Chile could be re-valued in agriculture, but the current quality and condition of treated wastewater do not ensure its safe use in food crops. In addition, state policies are needed to provide sustainability (circular and ethic economy) to water reusing/recycling in agriculture.</t>
  </si>
  <si>
    <t>Vera-Puerto, Ismael/M-2308-2013; Villamar, Cristina-Alejandra/AAB-4154-2019; Rivera, Diego/D-5092-2016</t>
  </si>
  <si>
    <t>Rivera, Diego/0000-0003-0916-1540; Vera-Puerto, Ismael L./0000-0002-6445-2896; Villamar, Cristina Alejandra/0000-0003-4654-0670</t>
  </si>
  <si>
    <t>2073-4441</t>
  </si>
  <si>
    <t>10.3390/w10060817</t>
  </si>
  <si>
    <t>WOS:000436515100148</t>
  </si>
  <si>
    <t>Manquián-Cerda, K; Cruces, E; Escudey, M; Zúñiga, G; Calderón, R</t>
  </si>
  <si>
    <t>Manquian-Cerda, K.; Cruces, E.; Escudey, M.; Zuniga, G.; Calderon, R.</t>
  </si>
  <si>
    <t>Interactive effects of aluminum and cadmium on phenolic compounds, antioxidant enzyme activity and oxidative stress in blueberry (Vaccinium corymbosum L.) plantlets cultivated in vitro</t>
  </si>
  <si>
    <t>ECOTOXICOLOGY AND ENVIRONMENTAL SAFETY</t>
  </si>
  <si>
    <t>To evaluate the potential role of phenolic compounds in Al and Cd stress tolerance mechanisms, Vaccinium coryinboszan cv. Legacy plantlets were exposed to different metal concentrations. The present study used an in vitro plant model to test the effects of the following treatments: 100 mu M Al; 100 mu wMAl + 50 mu M Cd; and 100 mu MAl + 100 mu M Cd during periods of 7, 14, 21 and 30 days. The oxidative damage was determined by the accumulation of malondialdehyde (MDA) and hydrogen peroxide (H2O2). The antioxidant activity values were determined using 1,1-diphenyl-2-picrylhydrazine (DPPH) and the ferric reducing antioxidant power test (FRAP). Additionally, the phenolic compound concentrations were determined using HPLC-DAD. The exposure to Al and Cd increased the MDA and H2O2 contents differentially, while the antioxidant capacity values showed differences between DPPH and FRAP with the largest changes in FRAP relative to Cd. SOD had the highest activity in the first 7 days, leading to a significant increase in phenolic compounds observed after 14 days, and chlorogenic acid was the major compound identified. Our results revealed that phenolic compounds seem to play an important role in the response to ROS. Therefore, the mechanisms of tolerance to Al and Cd in V. corymbosion will be determined by the type of metal and time of exposure.</t>
  </si>
  <si>
    <t>Zuñiga, Gustavo/P-8306-2015; Calderon, Raul/AAP-5930-2020</t>
  </si>
  <si>
    <t>Zuniga, Gustavo/0000-0002-8286-9468; Calderon Araya, Raul Alexis/0000-0002-1094-9661; Cruces, Edgardo/0000-0003-4537-552X</t>
  </si>
  <si>
    <t>0147-6513</t>
  </si>
  <si>
    <t>1090-2414</t>
  </si>
  <si>
    <t>10.1016/j.ecoenv.2017.12.050</t>
  </si>
  <si>
    <t>WOS:000423651600038</t>
  </si>
  <si>
    <t>Vergara-Fernánde, A; Yánez, D; Morales, P; Scott, F; Aroca, G; Diaz-Robles, L; Moreno-Casas, P</t>
  </si>
  <si>
    <t>Vergara-Fernande, Alberto; Yanez, Diana; Morales, Paulina; Scott, Felipe; Aroca, German; Diaz-Robles, Luis; Moreno-Casas, Patricio</t>
  </si>
  <si>
    <t>Biofiltration of benzo[α] pyrene, toluene and formaldehyde in air by a consortium of Rhodococcus erythropolis and Fusarium solani: Effect of inlet loads, gas flow and temperature</t>
  </si>
  <si>
    <t>CHEMICAL ENGINEERING JOURNAL</t>
  </si>
  <si>
    <t>Volatile organic compounds (VOCs) and polycyclic aromatic hydrocarbons (PAHs) are air contaminants with serious effects on human health. They include compounds with very different physicochemical properties, ranging from low to high volatility and low to high hydrophobicity. The objective of this research is to assess the feasibility of the simultaneous abatement of formaldehyde, a soluble and slightly polar VOC, toluene a hydrophobic and volatile VOC and benzo[alpha] pyrene (BaP), a representative PAH in a biofiltration reactor inoculated with the fungi Fusarium solani and the bacteria Rhodococcus erythropolis. Results obtained at an extended range of inlet loads: 3.7 to 447.7, 9.0 to 273.1 and 6.9 to 247.4 g m(-3) h(-1) of toluene, formaldehyde and BaP, respectively, show that the elimination capacity and removal efficiencies of the contaminants were largely independent of each other. Moreover, the system can accommodate a fivefold increase in inlet gas flow maintaining removal efficiencies close to 60% for all the contaminants tested when the inlet loads of contaminants were kept constant. The most dramatic decrease in elimination capacity and removal efficiency in the system was obtained by changing the temperature of the system, where a decrease from 25 degrees C to 17 degrees C reduced the formaldehyde removal efficiency from 67% to 43%. BaP and toluene removal efficiencies were less affected by the decrease in system's temperature. This study shows the high flexibility of a biofiltration system inoculated with F. solani and R. erythropolis for the abatement of toluene, formaldehyde and BaP.</t>
  </si>
  <si>
    <t>Aroca, German/ABG-6714-2020; Moreno, Patricio/AAZ-6949-2021; Vergara-Fernández, Alberto/D-1770-2011; Aroca, German/B-3798-2011; Scott, Felipe/K-4193-2016; Diaz-Robles, Luis/D-3450-2013</t>
  </si>
  <si>
    <t>Vergara-Fernandez, Alberto/0000-0002-6075-9137; Aroca, German/0000-0003-1376-7940; Scott, Felipe/0000-0003-2041-4641; Diaz-Robles, Luis/0000-0002-6098-7746; Yanez Sevilla, Diana/0000-0003-2840-5731</t>
  </si>
  <si>
    <t>1385-8947</t>
  </si>
  <si>
    <t>1873-3212</t>
  </si>
  <si>
    <t>10.1016/j.cej.2017.09.095</t>
  </si>
  <si>
    <t>WOS:000414913700075</t>
  </si>
  <si>
    <t>Cárcamo, M; Román, PE; Casassus, S; Moral, V; Rannou, FR</t>
  </si>
  <si>
    <t>Carcamo, M.; Roman, P. E.; Casassus, S.; Moral, V.; Rannou, F. R.</t>
  </si>
  <si>
    <t>Multi-GPU maximum entropy image synthesis for radio astronomy</t>
  </si>
  <si>
    <t>ASTRONOMY AND COMPUTING</t>
  </si>
  <si>
    <t>The maximum entropy method (MEM) is a well known deconvolution technique in radio-interferometry. This method solves a non-linear optimization problem with an entropy regularization term. Other heuristics such as CLEAN are faster but highly user dependent. Nevertheless, MEM has the following advantages: it is unsupervised, it has a statistical basis, it has a better resolution and better image quality under certain conditions. This work presents a high performance GPU version of non-gridding MEM, which is tested using real and simulated data. We propose a single-GPU and a multi-GPU implementation for single and multi-spectral data, respectively. We also make use of the Peer-to-Peer and Unified Virtual Addressing features of newer GPUs which allows to exploit transparently and efficiently multiple GPUs. Several ALMA data sets are used to demonstrate the effectiveness in imaging and to evaluate GPU performance. The results show that a speedup from 1000 to 5000 times faster than a sequential version can be achieved, depending on data and image size. This allows to reconstruct the HD142527 CO(6-5) short baseline data set in 2.1 min, instead of 2.5 days that takes a sequential version on CPU. (c) 2017 Elsevier B.V. All rights reserved.</t>
  </si>
  <si>
    <t>Carcamo, Miguel/LEM-3690-2024; Casassus, Simon/I-8609-2016; Rannou, Fernando/G-5749-2019; Asenjo, Pablo/AAZ-8486-2021; Roman, Pablo/G-1960-2011</t>
  </si>
  <si>
    <t>Roman, Pablo/0000-0002-7105-9371; Carcamo, Miguel/0000-0003-0564-8167; Rannou, Fernando/0000-0002-3244-1893</t>
  </si>
  <si>
    <t>2213-1337</t>
  </si>
  <si>
    <t>2213-1345</t>
  </si>
  <si>
    <t>10.1016/j.ascom.2017.11.003</t>
  </si>
  <si>
    <t>WOS:000427755500003</t>
  </si>
  <si>
    <t>Díaz, H; Maureira, F; Cordova, F</t>
  </si>
  <si>
    <t>Shi, Y; Wolcott, P; Kwak, W; Chen, Z; Tian, Y; Lee, H</t>
  </si>
  <si>
    <t>Diaz M, Hernan; Maureira, Fernando; Cordova, Felisa</t>
  </si>
  <si>
    <t>Time series of closed and open eyes EEG conditions reveal differential characteristics in the temporality of linear and non-linear analysis domain</t>
  </si>
  <si>
    <t>6TH INTERNATIONAL CONFERENCE ON INFORMATION TECHNOLOGY AND QUANTITATIVE MANAGEMENT</t>
  </si>
  <si>
    <t>6th International Conference on Information Technology and Quantitative Management (ITQM)</t>
  </si>
  <si>
    <t>OCT 20-21, 2018</t>
  </si>
  <si>
    <t>Omaha, NE</t>
  </si>
  <si>
    <t>Int Acad Informat Technol &amp; Quantitat Management,Univ Nebraska,Chinese Acad Sci, Res Ctr Fictitious Economy &amp; Data Sci,UCAS, Sch Econ &amp; Management,Chinese Acad Sci, Inst Sci &amp; Dev,Chinese Acad Sci, Key Lab Big Data Mining &amp; Knowledge Management,Chinese Acad Management, Business Intelligence Soc,SW Minzu Univ,TIBD</t>
  </si>
  <si>
    <t>The basal states defined by the closed (EC) and open (EC) eyes conditions are revisited using linear and nonlinear analysis approaches. We compared EO and EC control states using standard Spearman R correlation between pairs of EEG electrodes. We also performed a moving correlation coefficient (MCC) analysis to explore the short-term (1-second) timeframe scale behavior of the synchronous/asynchronous dynamic of paired brain regions, and compared these results with the long-term correlation coefficient rendered from the complete 2 minutes EEG time series. In these two different (long- and short-) time scales, we also explored the nonlinear domain of chaos/order dynamic fluctuation. Using Hurst exponent as an estimator of the chaos/order balance of a time series, we studied the chaotic and self-organized (persistent) trends of the EEG signal coming from 8 subjects in closed and open eyes basal resting conditions. (C) 2018 The Authors. Published by Elsevier B.V.</t>
  </si>
  <si>
    <t>Córdova, Felisa/AAK-4280-2020</t>
  </si>
  <si>
    <t>CORDOVA, FELISA/0000-0002-5557-8569</t>
  </si>
  <si>
    <t>10.1016/j.procs.2018.10.208</t>
  </si>
  <si>
    <t>WOS:000471259200075</t>
  </si>
  <si>
    <t>Cruz, M; Cruz, N; Lepe, S</t>
  </si>
  <si>
    <t>Cruz, Miguel; Cruz, Norman; Lepe, Samuel</t>
  </si>
  <si>
    <t>Phantom solution in a non-linear Israel-Stewart theory</t>
  </si>
  <si>
    <t>In this paper we present a phantom solution with a big rip singularity in a non-linear regime of the Israel-Stewart formalism. In this framework it is possible to extend this causal formalism in order to describe accelerated expansion, where assumption of near equilibrium is no longer valid. We assume a flat universe filled with a single viscous fluid ruled by a barotropic EoS, p = omega rho, which can represent a late time accelerated phase of the cosmic evolution. The solution allows to cross the phantom divide without evoking an exotic matter fluid and the effective EoS parameter is always lesser than -1 and constant in time. (C) 2017 The Authors. Published by Elsevier B.V.</t>
  </si>
  <si>
    <t>JUN 10</t>
  </si>
  <si>
    <t>10.1016/j.physletb.2017.03.065</t>
  </si>
  <si>
    <t>WOS:000402342500026</t>
  </si>
  <si>
    <t>Urrutia-Pereira, M; Oliano, VJ; Mallol, J; Sole, D</t>
  </si>
  <si>
    <t>Urrutia-Pereira, M.; Oliano, V. J.; Mallol, J.; Sole, D.</t>
  </si>
  <si>
    <t>Smoking among adolescents from a countryside city of Brazil and the future impact in respiratory diseases</t>
  </si>
  <si>
    <t>Meeting of the European-Academy-of-Allergy-and-Clinical-Immunology</t>
  </si>
  <si>
    <t>JUN 11-15, 2016</t>
  </si>
  <si>
    <t>Vienna, AUSTRIA</t>
  </si>
  <si>
    <t>European Acad Allergy &amp; Clin Immunol</t>
  </si>
  <si>
    <t>WOS:000383679801354</t>
  </si>
  <si>
    <t>Arce, T; Román, PE; Velásquez, J; Parada, V</t>
  </si>
  <si>
    <t>Arce, Tomas; Roman, Pablo E.; Velasquez, Juan; Parada, Victor</t>
  </si>
  <si>
    <t>Identifying web sessions with simulated annealing</t>
  </si>
  <si>
    <t>Delivery of efficient service through a web site makes it compulsory in the redesigning stage to take into account the behavior of the users, which can be studied by means of a web log file that partially records information about user visits. The reconstruction of all of the sequences of pages that are visited by users who browse a web site is known as the web sessionization problem, and it has been formulated by means of an integer programming model; however, because a web log can accumulate a large amount of information, it is necessary to reconstruct the sessions over a period of weeks or months, thus the solution to this problem requires a long computational processing time. This paper presents a heuristic approach based on simulated annealing for the sessionization problem. Using this approach, it has been possible to reduce the processing time up to 166 times compared to the time that is required for the integer programming model. Furthermore, the metaheuristic solution finds new optimum values, which achieve increases on the order of 17% in the best cases. (C) 2013 Elsevier Ltd. All rights reserved.</t>
  </si>
  <si>
    <t>Velasquez, Juan/H-3859-2013; Roman, Pablo/G-1960-2011; Parada, Victor/M-5840-2014</t>
  </si>
  <si>
    <t>10.1016/j.eswa.2013.08.056</t>
  </si>
  <si>
    <t>WOS:000329955900007</t>
  </si>
  <si>
    <t>Caro, CA; Cabello, G; Landaeta, E; Pérez, J; González, M; Zagal, JH; Lillo, L</t>
  </si>
  <si>
    <t>Caro, Claudia A.; Cabello, Gerardo; Landaeta, Esteban; Perez, Jeronimo; Gonzalez, Miguelina; Zagal, Jose H.; Lillo, Luis</t>
  </si>
  <si>
    <t>Preparation, spectroscopic, and electrochemical characterization of metal( II) complexes with Schiff base ligands derived from chitosan: correlations of redox potentials with Hammett parameters</t>
  </si>
  <si>
    <t>The chitosan-(Fe(II), Co(II), and Cu(II)) complexes were prepared by mixing chitosan (Chi) powder with a salicylaldehyde (Sal, 5-hydrogen (-H)) and their 5-bromo (-Br), 5-chloro (-Cl), 5-methoxy (-OCH3), 5-fluoro (-F), 5-methyl (-CH3), and 5-nitro (-NO2) derivatives (groups R) and mixing these with FeCl2 and CuCl2 in ethanol and with Co(CH3COO)(2) solutions in butanol at 80 degrees C over 8h in heterogeneous phase, followed by extraction with ethanol and butanol, respectively. The complexes were characterized by FTIR and UV-vis spectroscopy, elemental analysis, and cyclic voltammetry. A linear correlation between the metal formal potential versus the Hammett parameters of the substituents was observed. The electron-withdrawing groups shift the redox potential to positive values, as a result of lowering the energy of the highest occupied molecular orbital. The formal potential was used as a measurement for the driving force of chitosan complexes for redox reactions.</t>
  </si>
  <si>
    <t>Landaeta, Esteban/0000-0002-1417-5181</t>
  </si>
  <si>
    <t>23-24</t>
  </si>
  <si>
    <t>10.1080/00958972.2014.977271</t>
  </si>
  <si>
    <t>WOS:000345454600028</t>
  </si>
  <si>
    <t>Lapa-Guimaraes, J; Felício, PE; Guzmán, EC</t>
  </si>
  <si>
    <t>Lapa-Guimaraes, J.; Felicio, P. E.; Contreras Guzman, E.</t>
  </si>
  <si>
    <t>AN ALTERNATIVE APPROACH FOR IMPROVING FRESHNESS INDICES FOR SQUID (LOLIGO PLEI)</t>
  </si>
  <si>
    <t>ACTA ALIMENTARIA</t>
  </si>
  <si>
    <t>The leaching of soluble compounds reduces the efficiency of chemical indices for freshness when fish is stored in ice. The objective of this study was to evaluate whether chemical indices for freshness evaluation of squid (Loligo plei) could be improved by expressing their contents as percentages of the non-protein nitrogen (NPN). The contents of NPN, free amino groups (FAG), trimethylamine oxide (TMA-O), trimethylamine (TMA), volatile basic nitrogen (VBN), ammonia (AMM), urea and free tryptophan (FT) were periodically determined in squid muscle during 16 days of storage in ice. The VBN, AMM, TMA, urea and FT contents in squids, when expressed as mg/100 g, did not distinguish between squids stored in ice for 1 or 2 weeks. However, when the contents of VBN and AMM were expressed as percentages of the NPN, it was possible to distinguish between squids stored for 1, 4 and 7 days. Free tryptophan was the most efficient quality index for L. plei, allowing accurate discrimination of squids stored in ice for 0-2, 4, 7-10, 13 and 16 days.</t>
  </si>
  <si>
    <t>Guimarães, Judite/D-7888-2012</t>
  </si>
  <si>
    <t>0139-3006</t>
  </si>
  <si>
    <t>10.1556/AAlim.42.2013.3.17</t>
  </si>
  <si>
    <t>WOS:000324490700017</t>
  </si>
  <si>
    <t>Rozas, C; Loyola, S; Ugarte, G; Zeise, ML; Reyes-Parada, M; Pancetti, F; Rojas, P; Morales, B</t>
  </si>
  <si>
    <t>Rozas, C.; Loyola, S.; Ugarte, G.; Zeise, M. L.; Reyes-Parada, M.; Pancetti, F.; Rojas, P.; Morales, B.</t>
  </si>
  <si>
    <t>Acutely applied MDMA enhances long-term potentiation in rat hippocampus involving D1/D5 and 5-HT2 receptors through a polysynaptic mechanism</t>
  </si>
  <si>
    <t>EUROPEAN NEUROPSYCHOPHARMACOLOGY</t>
  </si>
  <si>
    <t>3,4-Methylenedioxymethamphetamine (MDMA, ecstasy) is a drug of abuse that induces learning and memory deficit. However, there are no experimental data that correlate the behavioral evidence with models of synaptic plasticity such as long-term potentiation (LTP) or long-term depression (LTD). Using field potential recordings in rat hippocampal slices of young rats, we found that acute application of MDMA enhances LTP in CA3-CA1 synapses without affecting LTD. Using specific antagonists and paired-pulse facilitation protocols we observed that the MDMA-dependent increase of LTP involves presynaptic 5-HT2 serotonin receptors and postsynaptic D1/D5 dopamine receptors. In addition, the inhibition of PKA suppresses the MDMA-dependent increase in LTP, suggesting that dopamine receptor agonism activates cAMP-dependent intracellular pathways. We propose that MDMA exerts its LIP-altering effect involving a polysynaptic interaction between serotonergic and dopaminergic systems in hippocampal synapses. Our results are compatible with the view that the alterations in hippocampal LTP could be responsible for MDMA-dependent cognitive deficits observed in humans and animals. (C) 2011 Elsevier B.V. and ECNP. All rights reserved.</t>
  </si>
  <si>
    <t>Morales Castañeda, Bernardo/GPP-1642-2022; Pancetti, Floria/A-2491-2013; Rojas, Patricio/ISS-1091-2023; Loyola Arroyo, Sebastian/IAO-1254-2023</t>
  </si>
  <si>
    <t>Rozas, Carlos/0000-0002-6422-9600; Pancetti, Floria/0000-0002-6990-9832; Loyola Arroyo, Sebastian/0000-0002-6029-2274</t>
  </si>
  <si>
    <t>0924-977X</t>
  </si>
  <si>
    <t>1873-7862</t>
  </si>
  <si>
    <t>10.1016/j.euroneuro.2011.11.010</t>
  </si>
  <si>
    <t>WOS:000308056800007</t>
  </si>
  <si>
    <t>Castro-Nallar, E; Martín, MCS; Mascayano, C; Molina, C; Crandall, KA</t>
  </si>
  <si>
    <t>Castro-Nallar, Eduardo; Cortez-San Martin, Marcelo; Mascayano, Carolina; Molina, Cristian; Crandall, Keith A.</t>
  </si>
  <si>
    <t>Molecular Phylodynamics and Protein Modeling of Infectious Salmon Anemia Virus (ISAV)</t>
  </si>
  <si>
    <t>BMC EVOLUTIONARY BIOLOGY</t>
  </si>
  <si>
    <t>Background: ISAV is a member of the Orthomyxoviridae family that affects salmonids with disastrous results. It was first detected in 1984 in Norway and from then on it has been reported in Canada, United States, Scotland and the Faroe Islands. Recently, an outbreak was recorded in Chile with negative consequences for the local fishing industry. However, few studies have examined available data to test hypotheses associated with the phylogeographic partitioning of the infecting viral population, the population dynamics, or the evolutionary rates and demographic history of ISAV. To explore these issues, we collected relevant sequences of genes coding for both surface proteins from Chile, Canada, and Norway. We addressed questions regarding their phylogenetic relationships, evolutionary rates, and demographic history using modern phylogenetic methods. Results: A recombination breakpoint was consistently detected in the Hemagglutinin-Esterase (he) gene at either side of the Highly Polymorphic Region (HPR), whereas no recombination breakpoints were detected in Fusion protein (f) gene. Evolutionary relationships of ISAV revealed the 2007 Chilean outbreak group as a monophyletic clade for f that has a sister relationship to the Norwegian isolates. Their tMRCA is consistent with epidemiological data and demographic history was successfully recovered showing a profound bottleneck with further population expansion. Finally, selection analyses detected ongoing diversifying selection in f and he codons associated with protease processing and the HPR region, respectively. Conclusions: Our results are consistent with the Norwegian origin hypothesis for the Chilean outbreak clade. In particular, ISAV HPR0 genotype is not the ancestor of all ISAV strains, although SK779/06 (HPR0) shares a common ancestor with the Chilean outbreak clade. Our analyses suggest that ISAV shows hallmarks typical of RNA viruses that can be exploited in epidemiological and surveillance settings. In addition, we hypothesized that genetic diversity of the HPR region is governed by recombination, probably due to template switching and that novel fusion gene proteolytic sites confer a selective advantage for the isolates that carry them. Additionally, protein modeling allowed us to relate the results of phylogenetic studies with the predicted structures. This study demonstrates that phylogenetic methods are important tools to predict future outbreaks of ISAV and other salmon pathogens.</t>
  </si>
  <si>
    <t>Crandall, Keith/H-2789-2019; Castro-Nallar, Eduardo/I-5925-2019</t>
  </si>
  <si>
    <t>Crandall, Keith/0000-0002-0836-3389; Mascayano Collado, Carolina Lorena/0000-0002-3488-9309; Castro-Nallar, Eduardo/0000-0003-4384-8661</t>
  </si>
  <si>
    <t>1471-2148</t>
  </si>
  <si>
    <t>10.1186/1471-2148-11-349</t>
  </si>
  <si>
    <t>WOS:000299846900001</t>
  </si>
  <si>
    <t>Rodríguez, J; Valdés, M; Fernández, AM; Dalbosco, D; Hoffman, M; Flores, MF; Lee, MJ; Ramírez, R; Ramírez, E; Pruzzo, MP</t>
  </si>
  <si>
    <t>Rodriguez T, Jorge; Valdes C, Macarena; Maria Fernandez, Ana; Dalbosco R, Daniela; Hoffman S, Marianela; Fernanda Flores O, Maria; Javiera Lee A, Maria; Ramirez F, Rafael; Ramirez R, Enrica; Pruzzo G, Matias</t>
  </si>
  <si>
    <t>Drug Consumption in The Masculine School Population Using The Peer Methodology and The Standard Self Assessment Questionnaire</t>
  </si>
  <si>
    <t>The objective of this study is to compare the declared licit and illicit drug consumption, between paired methodology (MP) and self assessed questionnaire (CAR). We suggest that understatement of illicit drug use will be minimized with the use of peer methodology, and that licit drug understatement will not he affected using peer methodology. The population of this study is composed by male school students ranging between middle and high School. The sample reached to 301 students. The results obtained regarding illicit drug consumption in the year. tend lobe higher using MP compared with the CAR. Similarly, last month consumption reached a higher prevalence using MP than using CAR. There are no significant differences in both samples. during both periods. Nevertheless, in the last 12 months, illicit drug consumption doubled the CAR report in comparison to MP. Regarding drug consumption in the last 30 days, the results also showed that CAR underestimated half of the rate stated using MP. Illicit drug consumption is significantly higher using MP, than CAR, in both periods that were studied. Illicit consumption rates of in the past year and in the last month are significantly higher using MP. particularly with Marihuana. There are no statistical differences in the same periods, regarding licit drug consumption rate, as alcohol and tobacco.</t>
  </si>
  <si>
    <t>Fernandez, Ana Maria/E-6429-2011</t>
  </si>
  <si>
    <t>Fernandez, Ana Maria/0000-0003-4132-5891</t>
  </si>
  <si>
    <t>10.4067/S0718-48082011000200002</t>
  </si>
  <si>
    <t>WOS:000296316000002</t>
  </si>
  <si>
    <t>Piqueras, JA; Olivares, J; Hidalgo, MD; Vera-Villarroel, P; Marzo, JC</t>
  </si>
  <si>
    <t>Antonio Piqueras, Jose; Olivares, Jose; Dolores Hidalgo, Maria; Vera-Villarroel, Pablo; Carlos Marzo, Juan</t>
  </si>
  <si>
    <t>Psychometric Update of the Social Anxiety Screening Scale (SASS/EDAS) in a Spanish Adolescent Population</t>
  </si>
  <si>
    <t>SPANISH JOURNAL OF PSYCHOLOGY</t>
  </si>
  <si>
    <t>The aim of this work was to update the validation of the Social Anxiety Screening Scale (SASS/EDAS) in a sample of Spanish adolescents. To achieve this, one study with a sample of 1489 students in secondary education, of ages 14 to 17 years, were carried out. The psychometric properties of EDAS were examined through confirmatory factor analysis, reliability (Cronbach's alpha), temporal stability (test-retest), and concurrent criterion validity. The results supported the three-independent-factor structure (avoidance, distress and interference), that showed best fit indices compared to alternative models. They also showed that the scores of participants on EDAS scales were reliable in terms of internal consistency (alpha &gt; .80) and moderately reliable concerning temporal stability (r = .48-.60) over a five-week period. The correlations between the EDAS factors and other social anxiety measures were positive and significant. Data provide empirical evidence of the estimation of reliability and validity of this scale. Future work should extend the validation of the EDAS in clinical samples.</t>
  </si>
  <si>
    <t>Olivares Rodríguez, José/F-5059-2016; Vera-Villarroel, Pablo/A-1134-2011; Marzo, Juan/L-7013-2014; Piqueras, Jose A/C-6011-2011; Hidalgo Montesinos, Maria Dolores/B-4170-2011</t>
  </si>
  <si>
    <t>Vera-Villarroel, Pablo/0000-0001-9187-8414; Marzo, Juan/0000-0003-4284-6744; Piqueras, Jose A/0000-0002-3604-5441; Hidalgo Montesinos, Maria Dolores/0000-0002-6256-718X</t>
  </si>
  <si>
    <t>1138-7416</t>
  </si>
  <si>
    <t>1988-2904</t>
  </si>
  <si>
    <t>10.5209/rev_SJOP.2011.v14.n2.43</t>
  </si>
  <si>
    <t>WOS:000296623800043</t>
  </si>
  <si>
    <t>Ríos, M; Parada-Bustamante, A; Velásquez, LA; Croxatto, HB; Orihuela, PA</t>
  </si>
  <si>
    <t>Rios, Mariana; Parada-Bustamante, Alexis; Velasquez, Luis A.; Croxatto, Horacio B.; Orihuela, Pedro A.</t>
  </si>
  <si>
    <t>Participation of the oviductal s100 calcium binding protein G in the genomic effect of estradiol that accelerates oviductal embryo transport in mated rats</t>
  </si>
  <si>
    <t>REPRODUCTIVE BIOLOGY AND ENDOCRINOLOGY</t>
  </si>
  <si>
    <t>Background: Mating changes the mechanism by which E2 regulates oviductal egg transport, from a non-genomic to a genomic mode. Previously, we found that E2 increased the expression of several genes in the oviduct of mated rats, but not in unmated rats. Among the transcripts that increased its level by E2 only in mated rats was the one coding for an s100 calcium binding protein G (s100 g) whose functional role in the oviduct is unknown. Methods: Herein, we investigated the participation of s100 g on the E2 genomic effect that accelerates oviductal transport in mated rats. Thus, we determined the effect of E(2) on the mRNA and protein level of s100 g in the oviduct of mated and unmated rats. Then, we explored the effect of E(2) on egg transport in unmated and mated rats under conditions in which s100 g protein was knockdown in the oviduct by a morpholino oligonucleotide against s100 g (s100 g-MO). In addition, the localization of s100 g in the oviduct of mated and unmated rats following treatment with E(2) was also examined. Results: Expression of s100 g mRNA progressively increased at 3-24 h after E2 treatment in the oviduct of mated rats while in unmated rats s100 g increased only at 12 and 24 hours. Oviductal s100 g protein increased 6 h following E(2) and continued elevated at 12 and 24 h in mated rats, whereas in unmated rats s100 g protein increased at the same time points as its transcript. Administration of a morpholino oligonucleotide against s100 g transcript blocked the effect of E(2) on egg transport in mated, but not in unmated rats. Finally, immunoreactivity of s100 g was observed only in epithelial cells of the oviducts of mated and unmated rats and it was unchanged after E2 treatment. Conclusions: Mating affects the kinetic of E2-induced expression of s100 g although it not changed the cellular localization of s100 g in the oviduct after E(2). On the other hand, s100 g is a functional component of E2 genomic effect that accelerates egg transport. These findings show a physiological involvement of s100 g in the rat oviduct.</t>
  </si>
  <si>
    <t>1477-7827</t>
  </si>
  <si>
    <t>MAY 23</t>
  </si>
  <si>
    <t>10.1186/1477-7827-9-69</t>
  </si>
  <si>
    <t>WOS:000291874300001</t>
  </si>
  <si>
    <t>Galdámez, A; Gutiérrez-Hernández, M; Cassels, BK; Sáez-Briones, P</t>
  </si>
  <si>
    <t>Galdamez, Antonio; Gutierrez-Hernandez, Manuel; Cassels, Bruce K.; Saez-Briones, Patricio</t>
  </si>
  <si>
    <t>CRYSTAL STRUCTURE OF (1R,5S)-9-NITRO-1,2,3,4,5,6-HEXAHYDRO-1,5-METHANOPYRIDO[1,2-a][1,5] DIAZOCIN-8-ONE (9-NITROCYTISINE), C11H13O3N3</t>
  </si>
  <si>
    <t>The title compound (1, trivial name: 9 (or 3)-nitrocytisine) crystallizes with two independent molecules in the asymmetric unit. In its structure two rings form a bispidine framework that is fused to a 3-nitro-2-pyridone group. The half-normal probability plot reveals that the two molecules do not show any significant geometrical differences, except in conformations of the nitro-group, which is involved in intermolecular interactions. The crystal packing structure of the title compound is described in terms of three-dimensional supramolecular arrays built up from chains of N-H center dot center dot center dot O (nitro-group), hydrogen bonds and weak intermolecular C-H center dot center dot center dot O=C interactions, with graph-set descriptors C-2(2)(6) and C-2(2)(10) motifs, which together result in R-4(4)(26) rings motifs. These chains are additionally stabilized by intermolecular NO2...pi interactions.</t>
  </si>
  <si>
    <t>Cassels, Bruce/H-6937-2013; Galdamez, Antonio/H-7404-2013</t>
  </si>
  <si>
    <t>Galdamez, Antonio/0000-0001-9665-7696</t>
  </si>
  <si>
    <t>10.4067/S0717-97072011000100016</t>
  </si>
  <si>
    <t>WOS:000290700500016</t>
  </si>
  <si>
    <t>Bidaut-Véron, MF; Garcia-Huidobro, M; Yarur, C</t>
  </si>
  <si>
    <t>Bidaut-Veron, Marie-Francoise; Garcia-Huidobro, Marta; Yarur, Cecilia</t>
  </si>
  <si>
    <t>Backward Blow-up Estimates and Initial Trace for a Parabolic System of Reaction-Diffusion</t>
  </si>
  <si>
    <t>ADVANCED NONLINEAR STUDIES</t>
  </si>
  <si>
    <t>In this article we study the positive solutions of the parabolic semilinear system of competitive type {u(t) - Delta u + v(p) = 0, u(t) - Delta v + u(q) = 0, in Omega x (0, T), where Omega is a domain of R(N), and p, q &gt; 0, pq not equal 1. Despite of the lack of comparison principles, we prove local upper estimates in the superlinear case pq &gt; 1 of the form u(x, t) &lt;= Ct(-(p+1)/(pq-1)), v(x, t) &lt;= Ct(-(q+1)/(pq-1)) in omega x (0, T(1)), for any domain omega subset of subset of Omega, T(1) is an element of (0, T), and C = C(N,p,q,T1,omega). For p, q &gt; 1, we prove the existence of an initial trace at time 0, which is a Borel measure on Omega. Finally we prove that the punctual singularities at time 0 are removable when p,q &gt;= 1+2/N.</t>
  </si>
  <si>
    <t>García-Huidobro, Marta/JJE-8451-2023</t>
  </si>
  <si>
    <t>1536-1365</t>
  </si>
  <si>
    <t>WOS:000280268000010</t>
  </si>
  <si>
    <t>Coutinho, DF; de Souza, CE; Barbosa, KA</t>
  </si>
  <si>
    <t>Coutinho, D. F.; de Souza, C. E.; Barbosa, K. A.</t>
  </si>
  <si>
    <t>Robust H∞ filter design for a class of discrete-time parameter varying systems</t>
  </si>
  <si>
    <t>This paper proposes a robust H-infinity filter design method for discrete-time linear parameter varying systems with the state-space model matrices depending rationally on time-varying parameters. The system is described by a difference-algebraic representation and the parameters admissible values and variations are assumed to belong to given intervals. A convex optimization approach in terms of linear matrix inequalities is devised for designing robust filters. The filter design is based on Lyapunov functions with rational dependence on the system parameters and incorporates information on available bounds on the parameters variation. The proposed method can be also applied to the design of gain-scheduled H-infinity filters. Numerical examples illustrate the effectiveness of the proposed filter design. (C) 2009 Elsevier Ltd. All rights reserved.</t>
  </si>
  <si>
    <t>Barbosa, Karina A./0000-0001-7183-2662; de Souza, Carlos/0000-0002-9374-9517; Coutinho, Daniel/0000-0002-4249-1288</t>
  </si>
  <si>
    <t>10.1016/j.automatica.2009.09.034</t>
  </si>
  <si>
    <t>WOS:000273087500027</t>
  </si>
  <si>
    <t>Sepulveda, W; Dickens, K; Casasbuenas, A; Gutierrez, J; Dezerega, V</t>
  </si>
  <si>
    <t>Sepulveda, W.; Dickens, K.; Casasbuenas, A.; Gutierrez, J.; Dezerega, V.</t>
  </si>
  <si>
    <t>Fetal abdominal cysts in the first trimester: prenatal detection and clinical significance</t>
  </si>
  <si>
    <t>Objective In order to determine the clinical significance of fetal abdominal cysts detected in the first trimester, we reviewed our experience with such cases collected over a 5-year period. Methods Five cases in which a fetal abdominal Cyst was detected by ultrasound in the, first trimester were identified. Information on the ultrasound findings, antenatal course and perinatal outcome was obtained in all cases. Results The abdominal cyst was confirmed by an early second-trimester scan at 14-16 weeks in all cases, at which time no associated anomalies were detected. The standard detailed second-trimester scan at 18-22 weeks demonstrated complete resolution in three cases. These women bad an uneventful antenatal course, and normal newborn infants were delivered at term. However, one of these infants bad intestinal malrotation, chronic abdominal distension and mid gut volvulus requiring surgery at the age of 7 months. Among the remaining two cases in which the abdominal cyst persisted, one, required prenatal aspiration at 19 weeks owing to significant enlargement and resolved. The other remained stable in size and was managed conservatively, but the infant required surgery at the age of 7 weeks owing to a choledochal cyst causing intermittent episodes of acholia. Conclusion Abdominal cysts in early, pregnancy often resolve spontaneously or remain small and are usually associated with a good outcome. Nevertheless, as they can also be associated with serious underlying gastrointestinal pathological conditions, close surveillance in the perinatal period is advocated. Copyright (C) 2008 ISUOG. Published by John Wiley &amp; Sons, Ltd.</t>
  </si>
  <si>
    <t>Dickens, Kevin/0000-0003-0349-8169</t>
  </si>
  <si>
    <t>10.1002/uog.6142</t>
  </si>
  <si>
    <t>WOS:000261822500005</t>
  </si>
  <si>
    <t>Combina, M; Daguerre, C; Massera, A; Mercado, L; Sturm, ME; Ganga, A; Martinez, C</t>
  </si>
  <si>
    <t>Combina, M.; Daguerre, C.; Massera, A.; Mercado, L.; Sturm, M. E.; Ganga, A.; Martinez, C.</t>
  </si>
  <si>
    <t>Yeast identification in grape juice concentrates from Argentina</t>
  </si>
  <si>
    <t>LETTERS IN APPLIED MICROBIOLOGY</t>
  </si>
  <si>
    <t>Aims: The purpose of this study was to identify yeast species present in spoiled and unspoiled grape juice concentrates from Argentine industries. Methods and Results: Osmophilic and osmotolerant yeasts were isolated from spoiled - visually effervescent - and unspoiled - without any visible damage - grape juice concentrates by the spread-plate technique in two culture media. Yeast identification was done by classical and molecular methods. Zygosaccharomyces rouxii was the only species isolated from spoiled grape juice concentrates. In unspoiled samples, five different species were identified: Z. rouxii was isolated at a higher frequency, followed in decreasing order by Saccharomyces cerevisiae, Schizosaccharomyces pombe, Pichia anomala and Kluyveromyces delphensis. Conclusions: Yeasts isolated from grape juice concentrates were characterized by a limited taxonomic diversity, where Z. rouxii was the main species isolated. Significance and Impact of the Study: Grape production in Argentina is mainly devoted to the industry where wine and grape juice concentrates represent major types of commercial products. Little information on common yeast contaminants is available for grape juice concentrates. This study constitutes the first report of osmophilic yeast species present in spoiled and unspoiled grape juice concentrates elaborated in Argentina.</t>
  </si>
  <si>
    <t>Martinez, Claudio/0000-0001-8564-9287; Combina, Mariana/0000-0002-0798-1564; Massera, Ariel/0000-0002-9423-0346</t>
  </si>
  <si>
    <t>0266-8254</t>
  </si>
  <si>
    <t>1472-765X</t>
  </si>
  <si>
    <t>10.1111/j.1472-765X.2007.02291.x</t>
  </si>
  <si>
    <t>WOS:000252496600010</t>
  </si>
  <si>
    <t>Niklitschek, M; Alcaíno, J; Barahona, S; Sepúlveda, D; Lozano, C; Carmona, M; Marcoleta, A; Martínez, C; Lodato, P; Baeza, M; Cifuentes, V</t>
  </si>
  <si>
    <t>Niklitschek, Mauricio; Alcaino, Jennifer; Barahona, Salvador; Sepulveda, Dionisia; Lozano, Carla; Carmona, Marisela; Marcoleta, Andres; Martinez, Claudio; Lodato, Patricia; Baeza, Marcelo; Cifuentes, Victor</t>
  </si>
  <si>
    <t>Genomic organization of the structural genes controlling the astaxanthin biosynthesis pathway of Xanthophyllomyces dendrorhous</t>
  </si>
  <si>
    <t>The cloning and nucleotide sequence of the genes (idi, crtE, crtYB, crtI and crtS) controlling the astaxanthin biosynthesis pathway of the wild-type ATCC 24230 strain of Xanthophyllomyces dendrorhous in their genomic and cDNA version were obtained. The idi, crtE, crtYB, crtI and crtS genes were cloned, as fragments of 10.9, 11.5, 15.8, 5.9 and 4 kb respectively. The nucleotide sequence data analysis indicates that the idi, crtE, crtYB, crtI and crtS genes have 4, 8, 4, 11, and 17 introns and 5, 9, 5, 12 and 18 exons respectively. In addition, a highly efficient site-directed mutagenesis system was developed by transformation by integration, followed by mitotic recombination (the double recombinant method). Heterozygote idi (idi(+)/idi(-)::hph), crtE (crtE(+/)crtE(-)::hph), crtYB (crtYB(+)/crtYB(-)::hph), crtI (crtI(+)/crtI(-)::hph) and crtS (crtS(+)/crtS(-)::hph) and homozygote mutants crtYB (crtYB(-)::hph/crtYB(-)::hph), crtI (crtI(-)::hph/crtI(-)::hph) and crtS (crtS(-)::hph/crtS(-)::hph) were constructed. All the heterozygote mutants have a pale phenotype and produce less carotenoids than the wild-type strain. The genetic analysis of the crtYB, crtI and crtS loci in the wild-type, heterozygote, and homozygote give evidence of the diploid constitution of ATCC 24230 strains. In addition, the cloning of a truncated form of the crtYB that lacks 153 amino acids of the N-terminal region derived from alternatively spliced mRNA was obtained. Their heterologous expression in Escherichia coli carrying the carotenogenic cluster of Erwinia uredovora result in trans-complementation and give evidence of its functionality in this bacterium, maintaining its phytoene synthase activity but not the lycopene cyclase activity.</t>
  </si>
  <si>
    <t>baeza, marcelo/C-6686-2008; Martinez, Claudio/MGS-9961-2025; Marcoleta, Andrés/Z-1918-2019; Alcaino, Jennifer/H-4576-2012</t>
  </si>
  <si>
    <t>Martinez, Claudio/0000-0001-8564-9287; Baeza, Marcelo/0000-0001-8853-395X; Marcoleta Caldera, Andres Esteban/0000-0003-2950-7510</t>
  </si>
  <si>
    <t>WOS:000258425500009</t>
  </si>
  <si>
    <t>Cubillos, FA; Acuña, G; Lima, EL</t>
  </si>
  <si>
    <t>Cubillos, F. A.; Acuna, G.; Lima, E. L.</t>
  </si>
  <si>
    <t>Real-time process optimization based on grey-box neural models</t>
  </si>
  <si>
    <t>BRAZILIAN JOURNAL OF CHEMICAL ENGINEERING</t>
  </si>
  <si>
    <t>This paper investigates the feasibility of using grey-box neural models (GNM) in Real Time Optimization (RTO). These models are based on a suitable combination of fundamental conservation laws and neural networks, being used in at least two different ways: to complement available phenomenological knowledge with empirical information, or to reduce dimensionality of complex rigorous physical models. We have observed that the benefits of using these simple adaptable models are counteracted by some difficulties associated with the solution of the optimization problem. Nonlinear Programming (NLP) algorithms failed in finding the global optimum due to the fact that neural networks can introduce multimodal objective functions. One alternative considered to solve this problem was the use of some kind of evolutionary algorithms, like Genetic Algorithms (GA). Although these algorithms produced better results in terms of finding the appropriate region, they took long periods of time to reach the global optimum. It was found that a combination of genetic and nonlinear programming algorithms can be use to fast obtain the optimum solution. The proposed approach was applied to the Williams-Otto reactor, considering three different GNM models of increasing complexity. Results demonstrated that the use of GNM models and mixed GA/NLP optimization algorithms is a promissory approach for solving dynamic RTO problems.</t>
  </si>
  <si>
    <t>CUBILLOS, FRANCISCO/0000-0001-7863-4394; Acuna Leiva, Gonzalo Pedro/0000-0002-0519-7792</t>
  </si>
  <si>
    <t>0104-6632</t>
  </si>
  <si>
    <t>1678-4383</t>
  </si>
  <si>
    <t>10.1590/S0104-66322007000300012</t>
  </si>
  <si>
    <t>WOS:000248910600012</t>
  </si>
  <si>
    <t>Kennedy, BF; Bondarczuk, K; Barry, LP</t>
  </si>
  <si>
    <t>Marciniak, M</t>
  </si>
  <si>
    <t>Kennedy, B. F.; Bondarczuk, K.; Barry, L. P.</t>
  </si>
  <si>
    <t>Experimental analysis of four-wave mixing in a semiconductor optical amplifier using frequency resolved optical gating</t>
  </si>
  <si>
    <t>ICTON 2007: PROCEEDINGS OF THE 9TH INTERNATIONAL CONFERENCE ON TRANSPARENT OPTICAL NETWORKS, VOL 4</t>
  </si>
  <si>
    <t>9th International Conference on Transparent Optical Networks (ICTON 2007)</t>
  </si>
  <si>
    <t>Rome, ITALY</t>
  </si>
  <si>
    <t>IEEE,IEEE Lasers &amp; Electro Opt Soc,IEEE, LEOS Poland Chapter,COST,Instytut Lacznosci,iscom,IT,Univ Studi, Roma Tor Vergata,Univ Studi, ROMA TRE,Inst Supenore Antinicendi,e-Photon ONe</t>
  </si>
  <si>
    <t>Four-wave mixing was performed in a multi-quantum well semiconductor optical amplifier in order to demultiplex 2 ps pulses from 80 GHz to 10 GHz. The demultiplexed pulses were measured using frequency resolved optical gating. This technique allows for full characterization of the pulses in both the time and frequency domains. The measurements confirm that the four-wave mixing conjugate signal preserves the phase of the injected signal. Furthermore, in the time domain the influence of the pulse pedestals present on the injected probe pulses is significantly increased on the output four-wave mixing signals. This effect is attributed to the nonlinear suppression of the device gain.</t>
  </si>
  <si>
    <t>Barry, Liam/0000-0001-8366-4790</t>
  </si>
  <si>
    <t>10.1109/ICTON.2007.4296395</t>
  </si>
  <si>
    <t>WOS:000250535300070</t>
  </si>
  <si>
    <t>Landeros, P; Escrig, J; Altbir, D; Bahiana, M; Castro, JD</t>
  </si>
  <si>
    <t>Landeros, P.; Escrig, J.; Altbir, D.; Bahiana, M.; d'Albuquerque e Castro, J.</t>
  </si>
  <si>
    <t>Stability of magnetic configurations in nanorings</t>
  </si>
  <si>
    <t>JOURNAL OF APPLIED PHYSICS</t>
  </si>
  <si>
    <t>The relative stability of the vortex, onion, and ferromagnetic phases in nanorings is examined as a function of the ring geometry. Total energy calculations are carried out analytically, based on simple models for each configuration. Results are summarized by phase diagrams, which might be used as a guide to the production of rings with specific magnetic properties. (c) 2006 American Institute of Physics.</t>
  </si>
  <si>
    <t>Escrig, Juan/N-4304-2015; Altbir, Dora/R-6781-2018; Landeros, Pedro/B-4603-2012</t>
  </si>
  <si>
    <t>Escrig, Juan/0000-0002-3958-8185; Altbir, Dora/0000-0002-2945-4909; Landeros, Pedro/0000-0002-0927-1419</t>
  </si>
  <si>
    <t>0021-8979</t>
  </si>
  <si>
    <t>10.1063/1.2218997</t>
  </si>
  <si>
    <t>WOS:000240236800109</t>
  </si>
  <si>
    <t>Neto, HJC; Dela Bianca, C; Solé, D; Rosario, N; Mallol, J</t>
  </si>
  <si>
    <t>Can parents reliably identify asthma in infants?</t>
  </si>
  <si>
    <t>JOURNAL OF ALLERGY AND CLINICAL IMMUNOLOGY</t>
  </si>
  <si>
    <t>62nd Annual Meeting of the American-Academy-of-Allergy-Asthma-and-Immunology</t>
  </si>
  <si>
    <t>MAR 03-07, 2006</t>
  </si>
  <si>
    <t>Miami Beach, FL</t>
  </si>
  <si>
    <t>Amer Acad Allergy, Asthma &amp; Immunol</t>
  </si>
  <si>
    <t>Rosario Filho, Nelson/HSE-9522-2023; Solé, Dirceu/JAO-0340-2023</t>
  </si>
  <si>
    <t>0091-6749</t>
  </si>
  <si>
    <t>S217</t>
  </si>
  <si>
    <t>10.1016/j.jaci.2005.12.856</t>
  </si>
  <si>
    <t>WOS:000235865301334</t>
  </si>
  <si>
    <t>Pedreschi, F; Kaack, K; Granby, K</t>
  </si>
  <si>
    <t>Acrylamide content and color development in fried potato strips</t>
  </si>
  <si>
    <t>Acrylamide formation and changes in color of fried potato strips was investigated in relation to frying temperature and three treatments before frying. Potato strips (0.8 x 0.8 x 5 cm) of Bintje variety were fried at 150, 170 and 190 degrees C until reaching moisture contents of similar to 40 g water/100 g (total basis). Prior to frying, potato strips were treated in one of the following ways: (i) immersed in distilled water for 0 min (control), 60 min and 120 min; (ii) blanched in hot water at six different time-temperature combinations (50 degrees C for 40 and 80 min; 70 degrees C for 10 and 45 min; 90 degrees C for 3 and 10 min); (iii) immersed in a citric acid solution of 10 g/L for an hour; (iv) immersed in a sodium pyrophosphate solution of 10 g/L for an hour. Acrylamide content and color was determined in the potato strips after frying. Immersed strips in water for 120 min showed a reduction of acrylamide formation of 33%, 21% and 27% at 150, 170 and 190 T, respectively, when they were compared against the control. Potato strips blanched at 50 T for 80 min had the lowest acrylamide content when compared against strips blanched at different conditions and fried at the same temperature (13 5, 327 and 564 mu m acrylamide/kg for 150, 170 and 190 degrees C, respectively). Potato strip immersion in citric acid solution of 10 g/L reduced much more the acrylamide formation after frying than the strip immersion in sodium pyrophosphate solution of 10 g/L (53% vs. 17%, respectively, average values for the three temperatures tested). Acrylamide formation decreased dramatically as the frying temperature decreased from 190 to 150 degrees C for all the pre-treatments tested. Color represented by the parameters L* and a* showed high correlations (r(2) of 0.79 and 0.83, respectively) with French fry acrylamide content. (c) 2005 Elsevier Ltd. All rights reserved.</t>
  </si>
  <si>
    <t>pedreschi, franco/F-8844-2013; Granby, Kit/J-7271-2016</t>
  </si>
  <si>
    <t>Granby, Kit/0000-0002-5264-1577</t>
  </si>
  <si>
    <t>10.1016/j.foodres.2005.06.001</t>
  </si>
  <si>
    <t>WOS:000234581800005</t>
  </si>
  <si>
    <t>Guzmán, AM; Escobar, RA; Amon, CH</t>
  </si>
  <si>
    <t>Methodology for predicting oxygen transport on an intravenous membrane oxygenator combining computational and analytical models</t>
  </si>
  <si>
    <t>JOURNAL OF BIOMECHANICAL ENGINEERING-TRANSACTIONS OF THE ASME</t>
  </si>
  <si>
    <t>A computational methodology for accurately predicting flow and oxygen-transport characteristics and performance of an intravenous membrane oxygenator (IMO) device is developed, tested, and validated. This methodology uses extensive numerical simulations of three-dimensional computational models to determine flow-mixing characteristics and oxygen-transfer performance, and analytical models to indirectly validate numerical predictions with experimental data, using both blood and water as working fluids. Direct numerical simulations for IMO stationary and pulsating balloons predict flow field and oxygen transport performance in response to changes in the device length, number of fibers, and balloon pulsation frequency. Multifiber models are used to investigate interfiber interference and length effects for a stationary balloon whereas a single fiber model is used to analyze the effect of balloon pulsations on velocity and oxygen concentration fields and to evaluate oxygen transfer rates. An analytical lumped model is developed and validated by comparing its numerical predictions with experimental data. Numerical results demonstrate that oxygen transfer rates for a stationary balloon regime decrease with increasing number of fibers, independent of the fluid type. The oxygen transfer rate ratio obtained with blood and water is approximately two. Balloon pulsations show an effective and enhanced flow mixing, with time-dependent recirculating flows around the fibers regions which induce higher oxygen transfer rates. The mass transfer rates increase approximately 100% and 80%, with water and blood, respectively, compared with stationary balloon operation. Calculations with combinations of frequency, number of fibers, fiber length and diameter, and inlet volumetric flow rates, agree well with the reported experimental results, and provide a solid comparative base for analysis, predictions, and comparisons with numerical and experimental data.</t>
  </si>
  <si>
    <t>Guzman, Amador/F-9260-2013</t>
  </si>
  <si>
    <t>0148-0731</t>
  </si>
  <si>
    <t>1528-8951</t>
  </si>
  <si>
    <t>10.1115/1.2073669</t>
  </si>
  <si>
    <t>WOS:000234259600010</t>
  </si>
  <si>
    <t>Iturriaga-Vásquez, P; Zapata-Torres, G; Rezende, MC; Cassels, BK</t>
  </si>
  <si>
    <t>1-benzyl-1,2,3,4-tetrahydroisoquinolines.: 1H NMR conformational studies and rotational barriers</t>
  </si>
  <si>
    <t>The conformational preferences of a series of 1-benzyl-1,2,3,4-tetrahydroisoquinolines (norlaudanosine and coclaurine analogues) were investigated with the aid of their H-1 NMR spectra and NOESY experiments, coupled with ab initio theoretical studies to estimate energy barriers among the various stable conformers of these systems. The secondary amines prefer an extended conformation, while the N-alkylated derivatives prefer a semi-folded one, with considerable freedom to exchange between both forms. A third, folded conformation, although not much higher in energy, is relatively inaccessible.</t>
  </si>
  <si>
    <t>WOS:000189308600004</t>
  </si>
  <si>
    <t>Pedreschi, F; Aguilera, JM; Brown, CA</t>
  </si>
  <si>
    <t>Characterization of the surface properties of chocolate using scale-sensitive fractal analysis</t>
  </si>
  <si>
    <t>INTERNATIONAL JOURNAL OF FOOD PROPERTIES</t>
  </si>
  <si>
    <t>A scanning laser microscope was used at its highest resolution (25 mum) to study the surface of three kinds of commercial chocolate. Data of measured surfaces were analyzed by scale-sensitive fractal analysis (SSFA) using linear and area tiling (length-scale and area-scale analysis) and by conventional statistical analyses for roughness. Area-scale and length-scale fractal complexities (Lsfc and Asfc) and the smooth-rough crossover (SRC) derived from SSFA proved adequate to characterize the surface roughness of chocolate and changes in topography as a result of bloom. The three chocolate surfaces analyzed had similar values of Asfc, Lsfc and ARa. Nestle milk chocolate presented significant higher values of SRC than those corresponding to the other two kinds of chocolate analyzed (e.g., 0.051 mm(2) vs. 0.038 and 0.037 mm(2) in the case of area-scale sensitive analysis) implying a rougher surface.</t>
  </si>
  <si>
    <t>Aguilera, Jose/D-1383-2014; pedreschi, franco/F-8844-2013</t>
  </si>
  <si>
    <t>Aguilera, Jose Miguel/0000-0001-5754-2722</t>
  </si>
  <si>
    <t>1094-2912</t>
  </si>
  <si>
    <t>1532-2386</t>
  </si>
  <si>
    <t>10.1081/JFP-120015489</t>
  </si>
  <si>
    <t>WOS:000178879300004</t>
  </si>
  <si>
    <t>Hurtado-Guzmán, C; Cassels, BK; Reyes-Parada, M</t>
  </si>
  <si>
    <t>N-substituted derivatives of the serotonin releaser MTA are potent MAO-A inhibitors.</t>
  </si>
  <si>
    <t>Cassels, Bruce/H-6937-2013</t>
  </si>
  <si>
    <t>56-MEDI</t>
  </si>
  <si>
    <t>U648</t>
  </si>
  <si>
    <t>U649</t>
  </si>
  <si>
    <t>WOS:000170690003384</t>
  </si>
  <si>
    <t>Velasquez, LA; Maisey, KR; Croxatto, HB</t>
  </si>
  <si>
    <t>Estradiol-regulated genes in the rat oviduct: Hunting through bioinformatics.</t>
  </si>
  <si>
    <t>Maisey, Kevin/AAP-2886-2021</t>
  </si>
  <si>
    <t>Maisey, Kevin/0000-0002-7423-6329</t>
  </si>
  <si>
    <t>WOS:000169570900588</t>
  </si>
  <si>
    <t>Aguirre, MJ; Isaacs, M; Armijo, F; Bocchi, N; Zagal, JH</t>
  </si>
  <si>
    <t>Catalytic electrooxidation of 2-mercaptoethanol on perchlorinated iron phthalocyanine adsorbed on a graphite electrode</t>
  </si>
  <si>
    <t>In this article we show that iron perchlorinated phthalocyanine (FePcCl16), adsorbed on an OPG electrode, acts as a catalyst for the electrooxidation of 2-mercaptoethanol (R-SH), lowering the overpotential of the reaction by near 0.3 V, compared to the unmodified OPG. A Tafel slope close to 0.12 V/decade was observed, indicating that the first electron-transfer is rate determining. Chemical orders of one in R-SH and in OH- are obtained. The linearity of a plot of log I vs. log [RSH] indicates that this system could have potential applications in the amperometric detection of thiols.</t>
  </si>
  <si>
    <t>Aguirre, Maria/A-3935-2013; zagal, jose/L-9648-2014; Isaacs, Mauricio/N-3027-2013; Bocchi, Nerilso/G-6839-2014; Armijo, Francisco/G-3391-2013</t>
  </si>
  <si>
    <t>Armijo, Francisco/0000-0002-2479-6280; Isaacs Casanova, Mauricio/0000-0003-0503-0949; Aguirre, Maria/0000-0003-1134-4469</t>
  </si>
  <si>
    <t>WOS:000075048100011</t>
  </si>
  <si>
    <t>LISSI, EA; ABUIN, EB; SEPULVEDA, L; QUINA, FH</t>
  </si>
  <si>
    <t>ION-EXCHANGE BETWEEN MONO-VALENT AND DIVALENT COUNTERIONS IN CATIONIC MICELLAR SOLUTION</t>
  </si>
  <si>
    <t>JOURNAL OF PHYSICAL CHEMISTRY</t>
  </si>
  <si>
    <t>0022-3654</t>
  </si>
  <si>
    <t>10.1021/j150645a020</t>
  </si>
  <si>
    <t>WOS:A1984RZ51100020</t>
  </si>
  <si>
    <t>LLAMBIAS, FJG; MENDIOROZ, S; ANIA, F; AGUDO, AL</t>
  </si>
  <si>
    <t>INFLUENCE OF THE ALUMINA CHARACTERISTICS ON THE STRUCTURE AND HYDRODESULFURIZATION ACTIVITY OF SUPPORTED NI-MO CATALYSTS</t>
  </si>
  <si>
    <t>Ania, F/JFA-4738-2023; Ania, Fernando/C-5899-2011</t>
  </si>
  <si>
    <t>Ania, Fernando/0000-0002-8515-6279</t>
  </si>
  <si>
    <t>10.1016/0166-9834(83)85004-0</t>
  </si>
  <si>
    <t>WOS:A1983RX34600004</t>
  </si>
  <si>
    <t>Hashemi, B; Fakhri, S; Kiani, A; Abbaszadeh, F; Miraghaee, S; Mohammadi, M; Echeverría, J</t>
  </si>
  <si>
    <t>Hashemi, Boshra; Fakhri, Sajad; Kiani, Amir; Abbaszadeh, Fatemeh; Miraghaee, Shahram; Mohammadi, Mohammad; Echeverria, Javier</t>
  </si>
  <si>
    <t>Anti-neuropathic effects of astaxanthin in a rat model of chronic constriction injury: passing through opioid/benzodiazepine receptors and relevance to its antioxidant and anti-inflammatory effects</t>
  </si>
  <si>
    <t>Introduction Neuropathic pain is a debilitating neurological disorder and is on the rise. Since no effective treatment has been so far approved to combat the complex pathological mechanisms behind neuropathic pain, finding new therapeutic candidates is of great importance. Astaxanthin (AST) is a carotenoid with strong antioxidant, and anti-inflammatory activities.Purpose The present research aimed to evaluate the ameliorative effects of AST on a rat model of neuropathic pain.Methods To induce neuropathic pain, a chronic constriction injury (CCI) model was employed. Accordingly, Wistar rats were divided into nine groups of six including sham, negative control group (CCI), positive control group gabapentin (100 mg/kg), AST (5, 10 mg/kg), flumazenil (0.5 mg/kg), naloxone (0.1 mg/kg), AST (10 mg/kg) + flumazenil (0.5 mg/kg), and AST (10 mg/kg) + naloxone (0.1 mg/kg) were administered intraperitoneally on days 1, 3, 5, 7, 10, and 14. To check the experimental signs of neuropathic pain and motor dysfunction, hot plate, acetone drop, and open field tests were used at the same time points. Additionally, biochemical assay and zymography were done on days 7 and 14 to assess the changes in catalase, glutathione and nitrite, as well as matrix metalloproteinases (MMP-2 and MMP-9). Besides, histological evaluations were performed for tissue damages on days 7 and 14.Results and discussion Results indicated that intraperitoneal injection of AST improved allodynia, hyperalgesia, and locomotor activity after CCI. AST also increased catalase and glutathione while suppressing nitrite, MMP-2, and MMP-9 activity through opioid/benzodiazepine receptors.Conclusion The results highlighted AST as a promising candidate against neuropathic pain with beneficial effects on motor function by suppressing inflammatory mediators, and augmenting antioxidant factors, passing through opioid/benzodiazepine receptors.</t>
  </si>
  <si>
    <t>Abbaszadeh, Fatemeh/AHB-2484-2022; Echeverría, Javier/AAK-3323-2020</t>
  </si>
  <si>
    <t>10.3389/fphar.2024.1467788</t>
  </si>
  <si>
    <t>WOS:001372194000001</t>
  </si>
  <si>
    <t>Maureira, D; Riquelme, D; Leiva-Salcedo, E; Cerda, O</t>
  </si>
  <si>
    <t>Maureira, Diego; Riquelme, Denise; Leiva-Salcedo, Elias; Cerda, Oscar</t>
  </si>
  <si>
    <t>Serine 474 residue regulates the trafficking and activity of Kv3.1B channel</t>
  </si>
  <si>
    <t>68th Annual Meeting of the Biophysical-Society</t>
  </si>
  <si>
    <t>FEB 10-14, 2024</t>
  </si>
  <si>
    <t>Philadelphia, PA</t>
  </si>
  <si>
    <t>Biophys Soc</t>
  </si>
  <si>
    <t>Cerda, Oscar/N-3895-2018</t>
  </si>
  <si>
    <t>1542-0086</t>
  </si>
  <si>
    <t>1423-Pos</t>
  </si>
  <si>
    <t>256A</t>
  </si>
  <si>
    <t>WOS:001194120701527</t>
  </si>
  <si>
    <t>Maquieira, CP; Arias, JT; Espinosa-Méndez, C</t>
  </si>
  <si>
    <t>Maquieira, Carlos P.; Arias, Jose T.; Espinosa-Mendez, Christian</t>
  </si>
  <si>
    <t>The impact of ESG on the default risk of family firms: International evidence</t>
  </si>
  <si>
    <t>RESEARCH IN INTERNATIONAL BUSINESS AND FINANCE</t>
  </si>
  <si>
    <t>This research is focused on studying the relationship between ESG performance and default risk of family firms. The sample consists of the 500 largest family firms worldwide (including all continents) for the period 2015-2021. This study shows a positive and a statistically significant relationship between ESG score and Z-score. This is confirmed for ESG environmental and ESG social scores. We include ownership concentration of family members as well as the percentage of family members in the board of directors. In the first case, we detect a non-linear relationship between ownership concentration and Z-score (inverted U shape) and for the second variable we find a negative relationship between the family participation in the board and Z-score. Finally, financial constraints of family firms reduce the impact of ESG score on Z-score.</t>
  </si>
  <si>
    <t>Arias, Jose/0000-0001-8126-5948; Maquieira, Carlos/0000-0001-5710-4669; Espinosa-Mendez, Christian/0000-0001-6499-2414</t>
  </si>
  <si>
    <t>0275-5319</t>
  </si>
  <si>
    <t>1878-3384</t>
  </si>
  <si>
    <t>10.1016/j.ribaf.2023.102136</t>
  </si>
  <si>
    <t>WOS:001102526200001</t>
  </si>
  <si>
    <t>Aqueveque, P; Peña, G; Gutiérrez, M; Gómez, B; Germany, E; Retamal, G; Ortega-Bastidas, P</t>
  </si>
  <si>
    <t>Aqueveque, Pablo; Pena, Guisella; Gutierrez, Manuel; Gomez, Britam; Germany, Enrique; Retamal, Gustavo; Ortega-Bastidas, Paulina</t>
  </si>
  <si>
    <t>Utilizing Motion Capture Systems for Instrumenting the OCRA Index: A Study on Risk Classification for Upper Limb Work-Related Activities</t>
  </si>
  <si>
    <t>In the search to enhance ergonomic risk assessments for upper limb work-related activities, this study introduced and validated the efficiency of an inertial motion capture system, paired with a specialized platform that digitalized the OCRA index. Conducted in a semi-controlled environment, the proposed methodology was compared to traditional risk classification techniques using both inertial and optical motion capture systems. The inertial method encompassed 18 units in a Bluetooth Low Energy tree topology network for activity recording, subsequently analyzed for risk using the platform. Principal outcomes emphasized the optical system's preeminence, aligning closely with the conventional technique. The optical system's superiority was further evident in its alignment with the traditional method. Meanwhile, the inertial system followed closely, with an error margin of just +/- 0.098 compared to the optical system. Risk classification was consistent across all systems. The inertial system demonstrated strong performance metrics, achieving F1-scores of 0.97 and 1 for risk and no risk classifications, respectively. Its distinct advantage of portability was reinforced by participants' feedback on its user-friendliness. The results highlight the inertial system's potential, mirroring the precision of both traditional and optical methods and achieving a 65% reduction in risk assessment time. This advancement mitigates the need for intricate video setups, emphasizing its potential in ergonomic assessments.</t>
  </si>
  <si>
    <t>Gómez, Britam/AAY-6534-2020; Germany Morrison, Enrique Ignacio/HHC-2009-2022; Aqueveque, Pablo/I-1463-2012</t>
  </si>
  <si>
    <t>Gomez, Britam/0000-0001-6563-2955; Germany Morrison, Enrique Ignacio/0000-0002-3100-187X; Aqueveque, Pablo/0000-0001-9101-0383; Ortega-Bastidas, Paulina/0000-0002-9333-3036</t>
  </si>
  <si>
    <t>10.3390/s23177623</t>
  </si>
  <si>
    <t>WOS:001144816000001</t>
  </si>
  <si>
    <t>Cifuentes-Silva, E; Bueno-Buker, D; Pastene-Maureira, C; Pacheco-Valles, A</t>
  </si>
  <si>
    <t>Cifuentes-Silva, Eduardo; Bueno-Buker, Daniel; Pastene-Maureira, Constanza; Pacheco-Valles, Alejandro</t>
  </si>
  <si>
    <t>Characterization of strength, endurance and lung function in subjects with neuromuscular diseases with the R577X polymorphism of the ACTN3 gene</t>
  </si>
  <si>
    <t>ANDES PEDIATRICA</t>
  </si>
  <si>
    <t>The ACTN3 R577X polymorphism determines the expression of alpha-actinin 3 protein in human muscle. The homozygous XX genotype fails to synthesize alpha-actinin 3 and is associated with lower muscle strength than the RR genotype. Neuromuscular diseases (NMD) generate an accelerated loss of muscle strength, and their relationship with the ACTN3 gene has not been established. Objective: To describe the variables of strength, respiratory muscle endurance, and lung function in patients with NMD who present the ACTN3 R577X polymorphism. Patients and Method: Descriptive observational study. Six subjects between 10 and 14 years old, with a diagnosis of NMD, treated at the Hospital Dr. Exequiel Gonzalez Cortes in Santiago, Chile, were evaluated. They were genotyped with the ACTN3 R577X polymorphism by polymerase chain reaction (PCR). Lung function was measured by spirometry. Muscle strength was evaluated with maximal inspiratory pressure (MIP), maximal expiratory pressure (MEP), and grip strength (GS). Respiratory muscle endurance was evaluated by time limit (TLim). Results: The median and 25-75th percentile [Med(p25-p75)] of the lower limit percentages (%Li) for GS, MIP, and MEP were: 36.01% (16.88-53.30), 68.88% (41.07-89.59), and 38.74% (27.74-56.90), respectively. The Med(p25-p75) of TLim was 299.0 (113.3-356.3) seconds. Regarding the genotyping of the ACTN3 R577X polymorphism, in 2 subjects it was XX, in 2 RX, and in 2 RR. Conclusions: The subjects presented restrictive ventilatory spirometric alterations and decreased muscle strength when compared with the reference values. No relationship could be established with the ACTN3 gene polymorphism.</t>
  </si>
  <si>
    <t>Cifuentes-Silva, Eduardo/0000-0003-1492-6456; Pacheco Valles, Alejandro/0000-0001-6901-2913</t>
  </si>
  <si>
    <t>****_****</t>
  </si>
  <si>
    <t>2452-6053</t>
  </si>
  <si>
    <t>10.32641/andespediatr.v94i4.4039</t>
  </si>
  <si>
    <t>WOS:001053878700013</t>
  </si>
  <si>
    <t>García-Salirrosas, EE; Niño-de-Guzmán, JC; Gómez-Bayona, L; Escobar-Farfán, M</t>
  </si>
  <si>
    <t>Garcia-Salirrosas, Elizabeth Emperatriz; Nino-de-Guzman, Juan Carlos; Gomez-Bayona, Ledy; Escobar-Farfan, Manuel</t>
  </si>
  <si>
    <t>Environmentally Responsible Purchase Intention in Pacific Alliance Countries: Geographic and Gender Evidence in the Context of the COVID-19 Pandemic</t>
  </si>
  <si>
    <t>BEHAVIORAL SCIENCES</t>
  </si>
  <si>
    <t>The objectives of this research were: (1) to examine the influence of environmental awareness (EA), sustainable consumption (SC) and social responsibility (SR) on the environmentally responsible purchase intention (ERPI) of consumers in the member countries of the Pacific Alliance, namely, Chile, Colombia, Mexico and Peru; and (2) to analyze whether there is a moderating effect related to the country of residence and gender of the consumer. The study was conducted under a quantitative and cross-sectional approach. The sample consisted of 1646 consumers: 24.4% from Peru (n = 402), 25.4% from Mexico (n = 418), 26.1% from Colombia (n = 401) and 24.1% from Chile (n = 397). Data analysis and hypothesis testing were performed using a multigroup Structural Equation Model (SEM). The results show a positive influence among environmental awareness (EA), sustainable consumption (SC) and social responsibility (SR) on environmentally responsible purchase intention (ERPI). Gender and country of residence were also shown to be moderating variables in these relationships. In conclusion, it can be affirmed that the participants of this study recognize the importance of acquiring environmentally friendly products. Among them, the female population is more aware of this issue. It is recommended new business models be created to provide products and services oriented to this market according to consumers' tastes, desires and purchasing preferences; the proposals they have should be friendly to the environment and to society.</t>
  </si>
  <si>
    <t>García-salirrosas, Elizabeth/JBJ-6862-2023; Escobar Farfán, Manuel/HJH-8388-2023</t>
  </si>
  <si>
    <t>Garcia-Salirrosas, Elizabeth Emperatriz/0000-0003-4197-8438; Escobar-Farfan, Manuel/0000-0002-2975-7010; Nino-de-Guzman, Juan/0000-0003-1093-3624</t>
  </si>
  <si>
    <t>2076-328X</t>
  </si>
  <si>
    <t>10.3390/bs13030221</t>
  </si>
  <si>
    <t>WOS:000954198100001</t>
  </si>
  <si>
    <t>Campillay-Campillay, M; Calle-Carrasco, A; Dubo, P; Moraga-Rodríguez, J; Coss-Mandiola, J; Vanegas-López, J; Rojas, A; Carrasco, R</t>
  </si>
  <si>
    <t>Campillay-Campillay, Maggie; Calle-Carrasco, Ana; Dubo, Pablo; Moraga-Rodriguez, Jorge; Coss-Mandiola, Juan; Vanegas-Lopez, Jairo; Rojas, Alejandra; Carrasco, Raul</t>
  </si>
  <si>
    <t>Accessibility in People with Disabilities in Primary Healthcare Centers: A Dimension of the Quality of Care</t>
  </si>
  <si>
    <t>The purpose of this research is to evaluate universal accessibility in primary healthcare (PHC) centers in the Atacama region, Chile, through an analytical cross-sectional study with a quality approach, which uses the external audit model with the application of a dichotomous comparison guideline, evaluating levels of compliance with four dimensions of universal accessibility described in the literature: participation, information, accessibility chain and architectural aspects. This was carried out in 18 PHC, and set as Lower Control Limit (LCL) of 70% to compare levels of compliance, and a hierarchical model and k-mean analysis were applied. Results: Very low compliance averages were obtained, 37.7% participation, 4% information, 44.4% access chain, and 63.9% architectural aspects, indicating a critical situation. Moreover, the cluster comparison allowed to observe that a group of healthcare centers complies more than other groups, which requires more attention. Conclusions: The low level of accessibility for people with disabilities may be associated with various factors that require further monitoring and analysis. However, low levels of accessibility require changing the way of relating to this vulnerable group of the population, and considering including them in the design and reasonable adjustments made in PHC centers. The findings from this research open the possibility for future research that increases understanding of how to reduce barriers in a such wide variety of forms of disability.</t>
  </si>
  <si>
    <t>Rojas, Alejandra/GXN-3580-2022; Vanegas, Jairo/ACV-6689-2022; Carrasco, Raul/G-5440-2015; Campillay Campillay, Maggie/ADC-6657-2022; Calle Carrasco, Ana/ABF-9325-2021</t>
  </si>
  <si>
    <t>Rojas, Alejandra/0000-0002-0419-0839; Carrasco, Raul/0000-0002-5023-9349; Campillay Campillay, Maggie/0000-0002-4054-1595; Calle Carrasco, Ana/0000-0002-8099-1486; Vanegas Lopez, Jairo Javier/0000-0001-5281-483X; Coss Mandiola, Juan/0000-0002-9512-350X; Dubo Araya, Pablo Andres/0000-0001-6918-3659</t>
  </si>
  <si>
    <t>10.3390/ijerph191912439</t>
  </si>
  <si>
    <t>WOS:000866830400001</t>
  </si>
  <si>
    <t>Galaz, B; Henriquez, T; Espíndola, D; Trejo, M</t>
  </si>
  <si>
    <t>Galaz, Belfor; Henriquez, Teresa; Espindola, David; Trejo, Miguel</t>
  </si>
  <si>
    <t>Rotation Elastogram Estimation Using Mechanical Assisted Spatial Compounding: A simulation study</t>
  </si>
  <si>
    <t>2021 IEEE UFFC LATIN AMERICA ULTRASONICS SYMPOSIUM (LAUS)</t>
  </si>
  <si>
    <t>IEEE UFFC Latin America Ultrasonics Symposium (LAUS)</t>
  </si>
  <si>
    <t>OCT 04-05, 2021</t>
  </si>
  <si>
    <t>IEEE,IEEE, Ultrason, Ferroelect &amp; Frequency Control Soc</t>
  </si>
  <si>
    <t>In quasi-static ultrasound elastography the breast tumor classification may be done by using the rotation fill-in signature presents in the rotation elastogram, which is a marker of benignity that originate from the lesion rotation as a product of a laterally asymmetric stress field. However, the well-known low lateral resolution limitation of ultrasound imaging reduces the image quality of rotation elastogram. Studies using beam-steering, synthetic transmit aperture (STA) and diverging beam with STA methods have shown that the rotation elastogram quality can be significantly improved. In this context, we aim to study the feasibility of improve the rotation elastogram by mechanical assisted spatial compounding of displacements images from different ultrasound probe angles. We present a numerical study of the rotation elastogram contrast-to-noise enhancement by spatial compounding of displacement images obtained from quasi-static small compression at different ultrasound probe angles. Instead of steer electronically the insonofication beam, the ultrasound probe is rotated itself. Our results show that the contrast-to-noise ratio of the rotation elastogram can be significantly improved by increasing the number of displacement images used in the spatial compounding for small scanning angles.</t>
  </si>
  <si>
    <t>978-1-6654-4359-3</t>
  </si>
  <si>
    <t>10.1109/LAUS53676.2021.9639198</t>
  </si>
  <si>
    <t>WOS:000766833900041</t>
  </si>
  <si>
    <t>Bardi, M; Cesaroni, A; Topp, E</t>
  </si>
  <si>
    <t>Bardi, Martino; Cesaroni, Annalisa; Topp, Erwin</t>
  </si>
  <si>
    <t>Cauchy problem and periodic homogenization for nonlocal Hamilton-Jacobi equations with coercive gradient terms</t>
  </si>
  <si>
    <t>PROCEEDINGS OF THE ROYAL SOCIETY OF EDINBURGH SECTION A-MATHEMATICS</t>
  </si>
  <si>
    <t>This paper deals with the periodic homogenization of nonlocal parabolic Hamilton-Jacobi equations with superlinear growth in the gradient terms. We show that the problem presents different features depending on the order of the nonlocal operator, giving rise to three different cell problems and effective operators. To prove the locally uniform convergence to the unique solution of the Cauchy problem for the effective equation we need a new comparison principle among viscosity semi-solutions of integrodifferential equations that can be of independent interest.</t>
  </si>
  <si>
    <t>Bardi, Martino/HSC-0533-2023; CESARONI, ANNALISA/N-5338-2016</t>
  </si>
  <si>
    <t>bardi, martino/0000-0002-4342-268X; CESARONI, ANNALISA/0000-0001-7159-8263</t>
  </si>
  <si>
    <t>0308-2105</t>
  </si>
  <si>
    <t>1473-7124</t>
  </si>
  <si>
    <t>PII S0308210519000568</t>
  </si>
  <si>
    <t>10.1017/prm.2019.56</t>
  </si>
  <si>
    <t>WOS:000595576100013</t>
  </si>
  <si>
    <t>Guajardo-Penroz, C; Soto, I; San-Juan, E; Adasme, P; Azurdia-Meza, C; Alavia, W</t>
  </si>
  <si>
    <t>Guajardo-Penroz, Cristobal; Soto, Ismael; San-Juan, Enrique; Adasme, Pablo; Azurdia-Meza, Cesar; Alavia, Wilson</t>
  </si>
  <si>
    <t>New High Dimming Range M-FSK Demodulation Strategy for VLC Systems</t>
  </si>
  <si>
    <t>2020 12TH INTERNATIONAL SYMPOSIUM ON COMMUNICATION SYSTEMS, NETWORKS AND DIGITAL SIGNAL PROCESSING, CSNDSP</t>
  </si>
  <si>
    <t>12th International Symposium on Communication Systems, Networks and Digital Signal Processing (CSNDSP)</t>
  </si>
  <si>
    <t>JUL 20-22, 2020</t>
  </si>
  <si>
    <t>Porto, PORTUGAL</t>
  </si>
  <si>
    <t>This paper provides an alternative to digital filter based frequency detection for multi-frequency shift keying modulation (M-FSK) using field programmable gate array (FPGA) architectures, by providing a hamming space autocorrelation based detector that outperforms the use of digital filters by consuming only 4% of an equivalent filter's logic resources and no DSP blocks at all, with a detection accuracy of 97% while being non-dependant on Hermitian symmetry, orthogonality or any other radio frequency (RF) signal condition. This detection method supports an inexpensive, reliable and accurate real time data demodulation strategy for flicker-free, high dimming range visible light communications (VLC) multi-user systems.</t>
  </si>
  <si>
    <t>Meza, Cesar/D-6948-2014; Alavia, Wilson/AGY-3117-2022; Adasme, Pablo/U-1735-2019</t>
  </si>
  <si>
    <t>978-1-7281-6743-5</t>
  </si>
  <si>
    <t>WOS:001331796100051</t>
  </si>
  <si>
    <t>Andreasen, E; Sandleris, G; Van der Ghote, A</t>
  </si>
  <si>
    <t>Andreasen, Eugenia; Sandleris, Guido; Van der Ghote, Alejandro</t>
  </si>
  <si>
    <t>The political economy of sovereign defaults</t>
  </si>
  <si>
    <t>JOURNAL OF MONETARY ECONOMICS</t>
  </si>
  <si>
    <t>How do income distribution and the tax system affect sovereign borrowing and default decisions? Are these effects shaped by the political constraints that governments face when raising revenues to repay the debt? To address these questions, we incorporate agent heterogeneity, in terms of income distribution and tax burden, and a political support constraint into a standard DSGE model of sovereign default. The results show that income inequality and regressive taxes make defaults more likely for a given level of debt while they reduce sovereign borrowing in equilibrium. Tighter political support requirements reinforce these effects. (C) 2018 Elsevier B.V. All rights reserved.</t>
  </si>
  <si>
    <t>0304-3932</t>
  </si>
  <si>
    <t>1873-1295</t>
  </si>
  <si>
    <t>10.1016/j.jmoneco.2018.09.003</t>
  </si>
  <si>
    <t>WOS:000473123000002</t>
  </si>
  <si>
    <t>Carreño, A; Solís-Céspedes, E; Zúñiga, C; Nevermann, J; Rivera-Zaldívar, MM; Gacitúa, M; Ramírez-Osorio, A; Páez-Hernández, D; Arratia-Pérez, R; Fuentes, JA</t>
  </si>
  <si>
    <t>Carreno, Alexander; Solis-Cespedes, Eduardo; Zuniga, Cesar; Nevermann, Jan; Macarena Rivera-Zaldivar, Maria; Gacitua, Manuel; Ramirez-Osorio, Angelica; Paez-Hernandez, Dayan; Arratia-Perez, Ramiro; Fuentes, Juan A.</t>
  </si>
  <si>
    <t>Cyclic voltammetry, relativistic DFT calculations and biological test of cytotoxicity in walled-cell models of two classical rhenium (I) tricarbonyl complexes with 5-amine-1,10-phenanthroline</t>
  </si>
  <si>
    <t>fac-[Re(CO)(3)(5-amine-1,10-phenanthroline)Cl or Br] (D1 and D2) were synthesized and characterized. D2 was obtained by al alternative method. The electrochemical reaction mechanisms of both D1 and D2 corresponded to EEC for reduction, and ECE for oxidation. Moreover, geometry, electronic, and luminescent properties were analyzed by relativistic DFT and TD-DFT calculations. We determined the lability of -Cl and -Br by a Morokuma-Ziegler analysis. We found that these compounds were less toxic than the ligand alone, and it depends on the cell model tested, where bacteria seem to be more susceptible than yeasts.</t>
  </si>
  <si>
    <t>Páez-Hernández, Dayán/AAJ-3317-2020; Gacitua, Manuel/R-8868-2019; Carreno, Alexander/I-6374-2019; Arratia-Perez, Ramiro/AAG-2648-2019</t>
  </si>
  <si>
    <t>Paez, Dayan/0000-0003-2747-9982; Carreno, Alexander/0000-0001-9733-8224; Paez-Hernandez, Dayan/0000-0002-8163-1343; Rivera Zaldivar, Maria Macarena/0000-0003-1439-6424; Gacitua, Manuel/0000-0003-0807-2677; Zuniga, Cesar/0009-0004-8736-6861; Fuentes, Juan A./0000-0002-9374-0707; Solis-Cespedes, Eduardo/0000-0002-7834-524X</t>
  </si>
  <si>
    <t>1873-4448</t>
  </si>
  <si>
    <t>10.1016/j.cplett.2018.11.043</t>
  </si>
  <si>
    <t>WOS:000455097200037</t>
  </si>
  <si>
    <t>Poveda, G; Gil-Durán, C; Vaca, I; Levicán, G; Chávez, R</t>
  </si>
  <si>
    <t>Poveda, Gabriela; Gil-Duran, Carlos; Vaca, Inmaculada; Levican, Gloria; Chavez, Renato</t>
  </si>
  <si>
    <t>Cold-active pectinolytic activity produced by filamentous fungi associated with Antarctic marine sponges</t>
  </si>
  <si>
    <t>Background: Pectinase enzymes catalyze the breakdown of pectin, a key component of the plant cell wall. At industrial level, pectinases are used in diverse applications, especially in food-processing industry. Currently, most of the industrial pectinases have optimal activity at mesophilic temperatures. On the contrary, very little is known about the pectinolytic activities from organisms from cold climates such as Antarctica. In this work, 27 filamentous fungi isolated from marine sponges collected in King George Island, Antarctica, were screened as new source of cold-active pectinases. Results: In semi-quantitative plate assays, 8 out 27 of these isolates showed pectinolytic activities at 15 degrees C and one of them, Geomyces sp. strain F09-T3-2, showed the highest production of pectinases in liquid medium containing pectin as sole carbon source. More interesting, Geomyces sp. F09-T3-2 showed optimal pectinolytic activity at 30 degrees C, 10 degrees C under the temperature of currently available commercial mesophilic pectinases. Conclusion: Filamentous fungi associated with Antarctic marine sponges are a promising source of pectinolytic activity. In particular, pectinases from Geomyces sp. F09-T3-2 may be potentially suitable for biotechnological applications needing cold-active pectinases. To the best of our knowledge, this is the first report describing the production of pectinolytic activity from filamentous fungi from any environment in Antarctica.</t>
  </si>
  <si>
    <t>Levican, Gloria/R-5191-2019; Vaca, Inmaculada/I-2758-2013</t>
  </si>
  <si>
    <t>Vaca, Inmaculada/0000-0002-8952-9036; Chavez, Renato/0000-0003-1754-3610; Levican, Gloria/0000-0002-1275-7399; Gil-Duran, Carlos Andres/0000-0001-9638-6902</t>
  </si>
  <si>
    <t>10.1186/s40659-018-0177-4</t>
  </si>
  <si>
    <t>WOS:000442838400001</t>
  </si>
  <si>
    <t>González-Teuber, M; Urzúa, A; Plaza, P; Bascuñán-Godoy, L</t>
  </si>
  <si>
    <t>Gonzalez-Teuber, M.; Urzua, Alejandro; Plaza, Paula; Bascunan-Godoy, L.</t>
  </si>
  <si>
    <t>Effects of root endophytic fungi on response of Chenopodium quinoa to drought stress</t>
  </si>
  <si>
    <t>PLANT ECOLOGY</t>
  </si>
  <si>
    <t>Symbiotic associations with microbes can help plants to respond to environmental changes. In this study, we investigated how colonization by root endophytic fungi enhances performance of Chenopodium quinoa and its ability to cope with extended periods of drought. The fungus Penicillium minioluteum, which was isolated from quinoa naturally occurring in the Atacama Desert, was used for endophyte colonization. We developed a greenhouse experiment, subjecting endophyte-infected (E+) and endophyte-free (E-) plants to two treatments: water deficit and abundant water availability. Differences in plant performance, photosynthesis, water-use efficiency and photochemical efficiency between E+ and E- plants under both water treatments were examined. We assessed the nature of the plant-symbiont interaction (parasitic or mutualistic) under both treatment conditions. We found that P. minioluteum initially affected radicle growth, subsequently triggering improvements in root formation, with the latter particularly evident under drought conditions. Under low water, E+ plants demonstrated a 40% improvement in root formation relative to E- plants; however, physiological responses to drought were not demonstrably enhanced by the presence of endophytic fungi. The nature of the interaction appeared to be positive, but only under conditions of water stress. Our study demonstrates that, in C. quinoa, P. minioluteum assists in coping with water stress primarily by affecting substantial root biomass adjustments, and that host benefits in this relationship are conferred in conditions of stress only.</t>
  </si>
  <si>
    <t>González-Teuber, Marcia/ABH-2318-2021; Godoy, Luisa/AAF-2978-2019</t>
  </si>
  <si>
    <t>Urzua, Alejandro/0000-0003-2638-0921; Gonzalez-Teuber, Marcia/0000-0003-0565-9333; Plaza, Paula/0000-0002-9402-151X</t>
  </si>
  <si>
    <t>1385-0237</t>
  </si>
  <si>
    <t>1573-5052</t>
  </si>
  <si>
    <t>10.1007/s11258-017-0791-1</t>
  </si>
  <si>
    <t>WOS:000425976700001</t>
  </si>
  <si>
    <t>Vera-Villarroel, P; Urzúa, A; Beyle, C; Contreras, D; Lillo, S; Oyarzo, F; Sanín-Posada, A</t>
  </si>
  <si>
    <t>Vera-Villarroel, Pablo; Urzua, Alfonso; Beyle, Christian; Contreras, Daniela; Lillo, Sebastian; Oyarzo, Francisco; Sanin-Posada, Alejandro</t>
  </si>
  <si>
    <t>Relationship between optimism and health under the influence of religious beliefs in two Latin American population samples</t>
  </si>
  <si>
    <t>REVISTA LATINOAMERICANA DE PSICOLOGIA</t>
  </si>
  <si>
    <t>The study of well-being has gained increasing relevance given its relationship with psychological states such as anxiety, depression, stress, as well as health. Nonetheless, there are few explanatory proposals on well-being, or any empirical cross-cultural validation of these. The present study evaluated the effect of the inclusion of a cultural contextual variable on an explanatory model of well-being, specifically on whether religious beliefs moderate the mediating effect of the positive affects on the relationship between optimism and health. The sample of this study consisted of 529 participants from two Latin American countries (285 from Chile and 244 from Colombia). The results indicate that, in both countries, there is a significant effect of optimism on the perception of health mediated by positive affects. However, religious beliefs do not exert a significant effect on the intensity of the relationships between the variables of the base model. The importance of cultural factors and cross-cultural studies on well-being are presented and discussed. (C) 2017 Fundacian Universitaria Konrad Lorenz. Published by Elsevier Espana, S.L.U.</t>
  </si>
  <si>
    <t>Lillo, Sara/KVB-4124-2024; Beyle, Christian/O-9872-2019; Urzua, Alfonso/A-1208-2012; Beyle, Christian/E-8226-2018; Vera-Villarroel, Pablo/A-1134-2011</t>
  </si>
  <si>
    <t>Urzua, Alfonso/0000-0002-0882-2194; Beyle, Christian/0000-0003-2526-3141; Vera-Villarroel, Pablo/0000-0001-9187-8414</t>
  </si>
  <si>
    <t>0120-0534</t>
  </si>
  <si>
    <t>10.1016/j.rlp.2017.03.002</t>
  </si>
  <si>
    <t>WOS:000416752400007</t>
  </si>
  <si>
    <t>Gabriel Palma, Jose</t>
  </si>
  <si>
    <t>Why are developing country corporations more susceptible to the vicissitudes of international finance?</t>
  </si>
  <si>
    <t>ECONOMIC AND LABOUR RELATIONS REVIEW</t>
  </si>
  <si>
    <t>About USD7 trillion of quantitative easing funds has flooded emerging markets since 2008. These funds, created to stimulate a recovery in the Organisation for Economic Cooperation and Development and to stabilise financial markets, ended up mostly as emerging markets' corporate bonds and loans (often after being leveraged into many multiples of their original value). Not for the first time, emerging markets became the financial markets of last resort. These funds were then either mainly invested (Asia) or used (as in Latin America and South Africa) for almost anything except for creating additional productive capacities. Enquiries into these issues, especially how corporations financed their investment, were subjects that fascinated economist Ajit Singh. He was the first to find out that corporations in emerging markets relied much more on external finance than those in the Organisation for Economic Cooperation and Development (where retained profits played a major role). The implication was that they were likely to be more susceptible to the vicissitudes of financial markets, and these have become even more weird since quantitative easing, as Northern investors', in search for elusive yields, have been happy to take on ever higher risks, leverage and illiquidity in the South. This is a key difference between current global financial fragilities and those at the onset of the current global financial crisis in 2007. The stakes for emerging economies and international financial markets could scarcely be higher, but unfortunately these huge new challenges occur at the worst possible time, as our social imagination has seldom been so barren.</t>
  </si>
  <si>
    <t>1035-3046</t>
  </si>
  <si>
    <t>1838-2673</t>
  </si>
  <si>
    <t>10.1177/1035304616663354</t>
  </si>
  <si>
    <t>WOS:000382959100001</t>
  </si>
  <si>
    <t>Hernández, G; León, R; Urtubia, A</t>
  </si>
  <si>
    <t>Hernandez, Gonzalo; Leon, Roberto; Urtubia, Alejandra</t>
  </si>
  <si>
    <t>Detection of abnormal processes of wine fermentation by support vector machines</t>
  </si>
  <si>
    <t>CLUSTER COMPUTING-THE JOURNAL OF NETWORKS SOFTWARE TOOLS AND APPLICATIONS</t>
  </si>
  <si>
    <t>The early detection of problematic fermentations is one of the main problems that appear in winemaking processes, due to the significant impacts in wine quality and utility. This situation is specially important in Chile because is one of the top ten wine production countries. In last years, different methods coming from Multivariate Statistics and Computational Intelligence have been applied to solve this problem. In this work we detect normal and problematic (sluggish and stuck) wine fermentations applying the support vector machine method with three different kernels: linear, polynomial and radial basis function. For the training algorithm, we use the same database of 22 wine fermentation studied in [1, 2] that contains approximately 22,000 points, considering the main chemical variables measured in this kind of processes: total sugar, alcoholic degree and density. Our main result establishes that the SVM method with third degree polynomial and radial basis kernels predict correctly 88 and 85 % respectively. The fermentation behavior results have been obtained for a 80-20 % training/testing percentage configuration and a time cutoff of 48 h.</t>
  </si>
  <si>
    <t>Urtubia, Alejandra/N-4038-2013; Leon, Roberto/AHH-3825-2022</t>
  </si>
  <si>
    <t>Leon, Roberto/0000-0002-7164-1783; Urtubia, Alejandra/0000-0002-0124-3587</t>
  </si>
  <si>
    <t>1386-7857</t>
  </si>
  <si>
    <t>1573-7543</t>
  </si>
  <si>
    <t>10.1007/s10586-016-0594-5</t>
  </si>
  <si>
    <t>WOS:000382635400012</t>
  </si>
  <si>
    <t>Fernández, YT; Diaz, O; Acuña, E; Casanova, M; Salazar, O; Masaguer, A</t>
  </si>
  <si>
    <t>Tapia Fernandez, Yasna; Diaz, O.; Acuna, E.; Casanova, M.; Salazar, O.; Masaguer, A.</t>
  </si>
  <si>
    <t>Phytostabilization of arsenic in soils with plants of the genus Atriplex established in situ in the Atacama Desert</t>
  </si>
  <si>
    <t>ENVIRONMENTAL MONITORING AND ASSESSMENT</t>
  </si>
  <si>
    <t>In the ChiuChiu village (Atacama Desert, Chile), there is a high concentration of arsenic (As) in the soil due to natural causes related to the presence of volcanoes and geothermal activity. To compare the levels of As and the growth parameters among plants of the same genus, three species of plants were established in situ: Atriplex atacamensis (native of Chile), Atriplex hathnus, and Atriplex nununularia. These soils have an As concentration of 131.2 +/- 10.4 mg kg(-1), a pH of 8,6 +/- 0.1, and an electrical conductivity of 7.06 +/- 2.37 dS Cuttings of A triplex were transplanted and maintained for 5 months with periodic irrigation and without the addition of fertilizers. The sequential extraction of As indicated that the metalloid in these soils has a high bioavailability (38 %), which is attributed to the alkaline pH, low organic matter and Fe oxide content, and sandy texture. At day 90 of the assay, the As concentrations in the leaves of A. halimus (4.53 +/- 1.14 mg kg(-1)) and A. nummularia (3.85 +/- 0.64 mg kg(-1)) were significantly higher than that in A. atacatnensis (2.46 +/- 1.82 mg kg(-1)). However, the three species accumulated higher levels of As in their roots, indicating a phytostabilization capacity. At the end of the assay, A. halimus and A. nummularia generated 30 % more biomass than A. aiacamensis without significant differences in the As levels in the leaves. Despite the difficult conditions in these soils, the establishment of plants of the genus Atriplex is a recommended strategy to generate a vegetative cover that prevents the metalloid from spreading in this arid area through the soil or by wind.</t>
  </si>
  <si>
    <t>Salazar, Osvaldo/AAV-3263-2020; Casanova, Manuel/I-3880-2013; Masaguer, Alberto/E-3982-2013; Salazar, Osvaldo/H-7075-2013</t>
  </si>
  <si>
    <t>Casanova, Manuel/0000-0002-2039-7469; Masaguer, Alberto/0000-0002-1670-0330; Salazar, Osvaldo/0000-0002-3284-3817</t>
  </si>
  <si>
    <t>0167-6369</t>
  </si>
  <si>
    <t>1573-2959</t>
  </si>
  <si>
    <t>10.1007/s10661-016-5247-x</t>
  </si>
  <si>
    <t>WOS:000372750100034</t>
  </si>
  <si>
    <t>Morales, D; Canales, J; Morgan, A; Blanco, C; Saldias, M; Silva, I; Rivas, J; Riquelme, D; Leiva-Salcedo, E; Cáceres, M; Cerda, O</t>
  </si>
  <si>
    <t>Morales, D.; Canales, J.; Morgan, A.; Blanco, C.; Saldias, M.; Silva, I.; Rivas, J.; Riquelme, D.; Leiva-Salcedo, E.; Caceres, M.; Cerda, O.</t>
  </si>
  <si>
    <t>TRPM4 channels regulate migration and invasiveness of melanoma cells.</t>
  </si>
  <si>
    <t>MOLECULAR BIOLOGY OF THE CELL</t>
  </si>
  <si>
    <t>Annual Meeting of the American-Society-for-Cell-Biology (ASCB)</t>
  </si>
  <si>
    <t>DEC 03-07, 2016</t>
  </si>
  <si>
    <t>San Francisco, CA</t>
  </si>
  <si>
    <t>Amer Soc Cell Biol</t>
  </si>
  <si>
    <t>1059-1524</t>
  </si>
  <si>
    <t>1939-4586</t>
  </si>
  <si>
    <t>P1437</t>
  </si>
  <si>
    <t>WOS:000396047100438</t>
  </si>
  <si>
    <t>Domínguez, M; Machado, VG; Nandi, LG; Rezende, MC; Silva, P</t>
  </si>
  <si>
    <t>Dominguez, Moises; Machado, Vanderlei Gageiro; Nandi, Leandro Guarezi; Caroli Rezende, Marcos; Silva, Patricia</t>
  </si>
  <si>
    <t>A Kinetic Investigation of Regioselective Solvation of a Solvatochromic Dye in Aqueous Alcohols</t>
  </si>
  <si>
    <t>The kinetics of methylation of the solvatochromic dye 4-[(2,4-dinitrobenzyli-dene)imino]-2,6-diphenylphenolate by dimethyl sulfate was investigated in three aqueous alcohols (1-propanol, ethanol, and methanol), in the search of a sharp change in its reactivity in water-rich media. The observed kinetic results paralleled previous observations of a sharp change in the solvatochromic behavior of the dye in the same media and was supported by a QM/MM simulation of the dye in two methanol-water mixtures, which rationalized the observed sharp change in the phenolate reactivity. (C) 2015 Wiley Periodicals, Inc.</t>
  </si>
  <si>
    <t>Domínguez, Moisés/P-2227-2019; Caroli, Marcos/H-3570-2019; Gageiro Machado, Vanderlei/C-7045-2018</t>
  </si>
  <si>
    <t>Gageiro Machado, Vanderlei/0000-0002-6995-6591; Dominguez, Moises/0000-0002-8444-3065; Rezende, Marcos/0000-0003-2040-9009</t>
  </si>
  <si>
    <t>10.1002/kin.20963</t>
  </si>
  <si>
    <t>WOS:000363684000006</t>
  </si>
  <si>
    <t>Favero, G; Fusco, G; Mazzei, F; Tasca, F; Antiochia, R</t>
  </si>
  <si>
    <t>Favero, Gabriele; Fusco, Giovanni; Mazzei, Franco; Tasca, Federico; Antiochia, Riccarda</t>
  </si>
  <si>
    <t>Electrochemical Characterization of Graphene and MWCNT Screen-Printed Electrodes Modified with AuNPs for Laccase Biosensor Development</t>
  </si>
  <si>
    <t>The aim of this work is to show how the integration of gold nanoparticles (AuNPs) into multi-wall-carbon-nanotubes (MWCNTs) based screen-printed electrodes and into graphene-based screen-printed electrodes (GPHs) could represent a potential way to further enhance the electrochemical properties of those electrodes based on nanoparticles. Laccase from Trametes versicolor (TvL) was immobilized over MWCNTs and GPH previously modified with AuNPs (of 5 and 10 nm). The characterization of the modified electrode surface has been carried out by cyclic voltammetry. The results showed that the use of AuNPs for modification of both graphene and MWCNTs screen-printed electrode surfaces would increase the electrochemical performances of the electrodes. MWCNTs showed better results than GPH in terms of higher electroactive area formation after modification with AuNPs. The two modified nanostructured electrodes were successively proven to efficiently immobilize the TvL; the electrochemical sensing properties of the GPH- and MWCNT-based AuNPs-TvL biosensors were investigated by choosing 2,2-Azino-bis(3-ethylbenzothiazoline-6-sulfonic-acid diammonium salt (ABTS), catechol and caffeic acid as laccase mediators; and the kinetic parameters of the laccase biosensor were carefully evaluated.</t>
  </si>
  <si>
    <t>Tasca, Federico/J-4134-2015; Fusco, Giovanni/H-8568-2019; Mazzei, Franco/N-6596-2015; Favero, Gabriele/I-5596-2012</t>
  </si>
  <si>
    <t>Mazzei, Franco/0000-0003-0034-2337; ANTIOCHIA, RICCARDA/0000-0001-8990-8506; Fusco, Giovanni/0000-0003-1281-248X; Favero, Gabriele/0000-0001-6650-7216</t>
  </si>
  <si>
    <t>10.3390/nano5041995</t>
  </si>
  <si>
    <t>WOS:000367615500028</t>
  </si>
  <si>
    <t>Younas, M; Druon-Bocquet, S; Romero, J; Sanchez, J</t>
  </si>
  <si>
    <t>Younas, Mohammad; Druon-Bocquet, Stephanie; Romero, Julio; Sanchez, Jose</t>
  </si>
  <si>
    <t>Experimental and Theoretical Investigation of Distribution Equilibria and Kinetics of Copper(II) Extraction with LIX 84 I and TFA</t>
  </si>
  <si>
    <t>SEPARATION SCIENCE AND TECHNOLOGY</t>
  </si>
  <si>
    <t>Batch experiments of copper(II) extraction at equilibrium were carried out in a temperature controlled stirred cell to extract copper(II) with LIX 84-I and 1,1,1-trifluoro-2,4-pentanedione (TFA) diluted in either n-heptane, tetradecane, MIBK, or n-decanol at 298 and 313 K. Extraction efficiency and capacity of copper(II) extraction with acid extractants at equilibrium were measured and analyzed using a theoretical model based on equilibrium extraction kinetics. Experimental and theoretical investigations revealed that TFA and n-decanol are found to be an efficient extractant and diluent, respectively, for copper(II) extraction with high values of extraction capacity.</t>
  </si>
  <si>
    <t>Sanchez, José/E-1445-2012; Romero, Julio/I-6705-2013; YOUNAS, Mohammad/K-9754-2018</t>
  </si>
  <si>
    <t>YOUNAS, Mohammad/0000-0003-3234-3297; Romero, Julio/0000-0002-1229-1592</t>
  </si>
  <si>
    <t>0149-6395</t>
  </si>
  <si>
    <t>1520-5754</t>
  </si>
  <si>
    <t>10.1080/01496395.2014.978943</t>
  </si>
  <si>
    <t>WOS:000355660000010</t>
  </si>
  <si>
    <t>Lay-Son, L; Eloiza, C; Trujillo-Godoy, O</t>
  </si>
  <si>
    <t>Lay-Son, Luis; Eloiza, Claudio; Trujillo-Godoy, Osvaldo</t>
  </si>
  <si>
    <t>Delay in the diagnosis of Parkinson's disease in a Chilean public hospital</t>
  </si>
  <si>
    <t>Background: Early diagnosis is fundamental in patients with Parkinson's disease (PD) to improve their quality of life. Aim: To determine the latency in the diagnosis of Parkinson's disease (PD) after the onset of motor symptoms. Patients and Methods: Prospective study carried out during 16 months in a public hospital. Two hundred newly diagnosed patients aged 41 to 90 years (50% women), were included and analyzed. Results: The lapse between the first symptom -more commonly tremor- and the diagnosis made by a neurologist ranged from I to 84 months (19.1 +/- 13.8). In 39% of patients, it was done in the first year, in 26% during the second year and in 35% of patients, it took more than two years. The referral by a general practitioner had a delay ranging from 1 to 36 months. Sixty nine and 95% of patients were evaluated within the first 6 months after referral if they came from primary care or the same hospital, respectively. Twenty six percent of patients were classified in stages III to V of Hoehn &amp; Yahr's staging and the Parkinson's Disease Rating Scale motor examination ranged from 5 to 81 points, mean 24 (+/- 12.8). Conclusions: The diagnosis of PD has a delay in a public hospital that could be influenced by the referral system.</t>
  </si>
  <si>
    <t>10.4067/S0034-98872015000700007</t>
  </si>
  <si>
    <t>WOS:000360321800007</t>
  </si>
  <si>
    <t>Antilén, M; Amiama, F; Otaiza, M; Armijo, F; Escudey, M; Pizarro, C; Arancibia-Miranda, N</t>
  </si>
  <si>
    <t>Antilen, Monica; Amiama, Fernanda; Otaiza, Marco; Armijo, Francisco; Escudey, Mauricio; Pizarro, Carmen; Arancibia-Miranda, Nicolas</t>
  </si>
  <si>
    <t>A new methodology to evaluate adsorption capacity on nanomaterials</t>
  </si>
  <si>
    <t>Nanomaterials preparation has undergone great development in recent years, with important applications. The adsorbent properties of these nanomaterials cannot be always done using batch studies, because the nanometric particle size often hinders its physical separation, and this may affect the conclusions regarding adsorption studies. A new and simple method was developed, based on electrochemical measurements. For the validation process, synthetic alumina was used as adsorbent with copper solutions. The solid/solution ratio was kept constant in both the electrochemical and batch methods, optimizing in each case the adsorption equilibration time. Peak current versus Cu2+ concentration linearity was assessed from voltammograms. The electrochemical adsorption was accomplished utilizing cyclic voltammetry before and after the addition of the adsorbent. The amount of sorbed element was determined from the difference between the amount of Cu2+ added and that present in solution at equilibrium. The Langmuir, Freundlich, and Langmuir-Freundlich models were used to fit the experimental data obtained by both methods. The results of the electrochemical methodology have precision and accuracy statistically comparable to those obtained with the batch method. The electrochemical technique has the advantage of shorter adsorbent/adsorbate equilibration times than batch and do not require physical separation, allowing the adsorption on the imogolite to be established.</t>
  </si>
  <si>
    <t>Armijo, Francisco/G-3391-2013; Arancibia-Miranda, Nicolás/I-6743-2013</t>
  </si>
  <si>
    <t>Antilen-Lizana, Monica/0000-0003-0512-4267; Pizarro, Carmen/0000-0003-4927-5681; Armijo, Francisco/0000-0002-2479-6280</t>
  </si>
  <si>
    <t>MAY 8</t>
  </si>
  <si>
    <t>10.1007/s11051-015-3016-3</t>
  </si>
  <si>
    <t>WOS:000355690200001</t>
  </si>
  <si>
    <t>Tílvez, E; Cárdenas-Jirón, GI; Menéndez, MI; López, R</t>
  </si>
  <si>
    <t>Tilvez, Elkin; Cardenas-Jiron, Gloria I.; Menendez, Maria I.; Lopez, Ramon</t>
  </si>
  <si>
    <t>Understanding the Hydrolysis Mechanism of Ethyl Acetate Catalyzed by an Aqueous Molybdocene: A Computational Chemistry Investigation</t>
  </si>
  <si>
    <t>A thoroughly mechanistic investigation on the [Cp2Mo(OH)(OH2)](+)-catalyzed hydrolysis of ethyl acetate has been performed using density functional theory methodology together with continuum and discrete-continuum solvation models. The use of explicit water molecules in the PCM-B3LYP/aug-cc-pVTZ (aug-cc-pVTZ-PP for Mo)//PCM-B3LYP/aug-cc-pVDZ (aug-cc-pVDZ-PP for Mo) computations is crucial to show that the intramolecular hydroxo ligand attack is the preferred mechanism in agreement with experimental suggestions. Besides, the most stable intermediate located along this mechanism is analogous to that experimentally reported for the norbornenyl acetate hydrolysis catalyzed by molybdocenes. The three most relevant steps are the formation and cleavage of the tetrahedral intermediate immediately formed after the hydroxo ligand attack and the acetic acid formation, with the second one being the rate-determining step with a Gibbs energy barrier of 36.7 kcal/mol. Among several functionals checked, B3LYP-D3 and M06 give the best agreement with experiment as the rate-determining Gibbs energy barrier obtained only differs 0.2 and 0.7 kcal/mol, respectively, from that derived from the experimental kinetic constant measured at 296.15 K. In both cases, the acetic acid elimination becomes now the rate-determining step of the overall process as it is 0.4 kcal/mol less stable than the tetrahedral intermediate cleavage. Apart from clarifying the identity of the cyclic intermediate and discarding the tetrahedral intermediate formation as the rate-determining step for the mechanism of the acetyl acetate hydrolysis catalyzed by molybdocenes, the small difference in the Gibbs energy barrier found between the acetic acid formation and the tetrahedral intermediate cleavage also uncovers that the rate-determining step could change when studying the reactivity of carboxylic esters other than ethyl acetate substrate specific toward molybdocenes or other transition metal complexes. Therefore, in general, the information reported here could be of interest in designing new catalysts and understanding the reaction mechanism of these and other metal-catalyzed hydrolysis reactions.</t>
  </si>
  <si>
    <t>Menendez, M. Isabel/B-7698-2009; LOPEZ, RAMON/H-5078-2015; Cardenas-Jiron, Gloria/H-9508-2012</t>
  </si>
  <si>
    <t>Tilvez, Elkin/0000-0001-9201-8037; Cardenas-Jiron, Gloria/0000-0003-4305-8088</t>
  </si>
  <si>
    <t>FEB 16</t>
  </si>
  <si>
    <t>10.1021/ic501416u</t>
  </si>
  <si>
    <t>WOS:000349656600013</t>
  </si>
  <si>
    <t>Recio, FJ; Gutierrez, CA; Venegas, R; Linares-Flores, C; Caro, CA; Zagal, JH</t>
  </si>
  <si>
    <t>Recio, Francisco J.; Gutierrez, Cristian A.; Venegas, Ricardo; Linares-Flores, Cristian; Caro, Claudia A.; Zagal, Jose H.</t>
  </si>
  <si>
    <t>Optimization of the electrocatalytic activity of MN4-macrocyclics adsorbed on graphite electrodes for the electrochemical oxidation of L-cysteine by tuning the M (II)/(I) formal potential of the catalyst: an overview</t>
  </si>
  <si>
    <t>The M(II)/(I) formal potential of MN4 macrocyclic complexes dictates their electrocatalytic activity for many reactions and L-cysteine oxidation is not an exception. In this work we review the literature related to this reaction and propose a semi-empirical model that can describe the catalytic activity of these chelates in terms of their formal potential. A correlation of log i (at constant potential) versus the M(II)/(1) formal potential for M= Fe,Co) of the catalysts gives a volcano curve. Our results clearly show that the M (II)/(I) formal potential of N-4-macrocyclic complexes needs to be adjusted to values around -1.0 V vs. SCE to obtain the highest catalytic activity for the oxidation of L-cysteine. When comparing chelates of different metals (M= Cr, Mn, Fe, Co) of tetrasulphonated phthalocyanines only a linear correlation is obtained. (C) 2014 Elsevier Ltd. All rights reserved.</t>
  </si>
  <si>
    <t>Recio, Francisco/AAB-2148-2020; Venegas, Ricardo/U-6376-2019; zagal, jose/L-9648-2014; Gutierrez Ceron, Cristian/O-7236-2018</t>
  </si>
  <si>
    <t>Venegas, Ricardo/0000-0001-7440-484X; Recio, Francisco/0000-0002-5181-3197; Gutierrez Ceron, Cristian/0000-0001-6078-1572; Linares-Flores, Cristian/0000-0002-2967-0388</t>
  </si>
  <si>
    <t>10.1016/j.electacta.2014.04.098</t>
  </si>
  <si>
    <t>WOS:000342528600062</t>
  </si>
  <si>
    <t>Robust Admissibility and H∞ Performance of Time-Varying Descriptor Systems</t>
  </si>
  <si>
    <t>2013 10TH IEEE INTERNATIONAL CONFERENCE ON CONTROL AND AUTOMATION (ICCA)</t>
  </si>
  <si>
    <t>IEEE International Conference on Control and Automation ICCA</t>
  </si>
  <si>
    <t>10th IEEE International Conference on Control and Automation (IEEE ICCA)</t>
  </si>
  <si>
    <t>JUN 12-14, 2013</t>
  </si>
  <si>
    <t>Hangzhou, PEOPLES R CHINA</t>
  </si>
  <si>
    <t>IEEE,IEEE Control Syst Chapter, Singapore Sect,State Key Lab Ind Control Technol,Natl Engn Res Ctr Ind Automat,IEEE Control Syst Chapter, Nanjing Sect,IEEE Control Syst Soc,Chinese Assoc Automat, Tech Comm Proc Control,Zhejiang Univ,Asian Control Assoc</t>
  </si>
  <si>
    <t>This paper addresses the problems of admissibility and H-infinity performance analysis for continuous-time linear time-varying (LTV) descriptor systems. Firstly, necessary and sufficient conditions are proposed to ascertain the admissibility of LTV descriptor systems based on the Lyapunov theory. Secondly, admissibility and H-infinity performance analysis results are derived to deal with linear parameter-varying descriptor systems, where the parameters and their time-derivatives are supposed to be bounded with known limits. These results are then cast in terms of parameter-dependent strict linear matrix inequalities (LMIs) considering affine and polynomial parameter-dependent Lyapunov functions. A numerical example illustrates the proposed approach.</t>
  </si>
  <si>
    <t>de Souza, Carlos/A-6676-2009; Coutinho, Daniel/M-6790-2013; Barbosa, Karina/A-2236-2014</t>
  </si>
  <si>
    <t>1948-3449</t>
  </si>
  <si>
    <t>978-1-4673-4708-2; 978-1-4673-4707-5</t>
  </si>
  <si>
    <t>WOS:000324335200200</t>
  </si>
  <si>
    <t>Lemus, L; Guerrero, J; Costamagna, J; Lorca, R; Jara, DH; Ferraudi, G; Oliver, A; Lappin, AG</t>
  </si>
  <si>
    <t>Lemus, Luis; Guerrero, Juan; Costamagna, Juan; Lorca, Romina; Jara, Danilo H.; Ferraudi, Guillermo; Oliver, Allen; Lappin, A. Graham</t>
  </si>
  <si>
    <t>Resolution and characterization of helicate dimer and trimer complexes of 1,3-bis(9-methyl-1,10-phenanthrolin-2-yl)propane with copper(I)</t>
  </si>
  <si>
    <t>Complexation of copper(I) with the binucleating ligand, 1,3-bis(9-methyl-1,10-phenanthrolin-2-yl)-propane, mphenpr, result in formation of helical dimers, [Cu-2(mphenpr)(2)](2+). The resolution of the enantiomeric forms of the dimers has been carried out with Delta-[As(cat)(3)](-) as resolving agent and X-ray structures for two compounds, P-[Cu-2(mphenpr)(2)](Delta-[As(cat)(3)])(2) and P-[Cu-2(mphenpr)(2)](Delta-[As(cat)(3)])(2)center dot 4(CH3CN), are reported. The rate of racemization in poorly-coordinating solvents has been examined by 1H NMR, and is slow. At saturating concentrations of [[Cu-2(mphenpr)(2)](2+)] in acetonitrile, crystals of the helical trimeric complex [Cu-3(mphenpr)(3)](ClO4)(3) are obtained. The X-ray structure of the trimer is reported. This species has also been resolved. As with the helical dimer, racemization in poorly-coordinating solvents is slow, and circular dichroism and H-1 NMR spectra are reported. The absolute configuration of the resolved complex, P-[Cu-3(mphenpr)(3)](Delta-[As(cat)(3)])(3), has been determined by X-ray crystallography.</t>
  </si>
  <si>
    <t>Oliver, Allen/0000-0002-0511-1127; LEMUS, LUIS/0000-0002-5499-8115; Jara Quinteros, Danilo/0000-0001-9752-4465</t>
  </si>
  <si>
    <t>10.1039/c3dt50971k</t>
  </si>
  <si>
    <t>WOS:000322121200012</t>
  </si>
  <si>
    <t>Pradenas, GA; Díaz-Vásquez, WA; Pérez-Doboso, JM; Vásquez, CC</t>
  </si>
  <si>
    <t>Pradenas, Gonzalo A.; Diaz-Vasquez, Waldo A.; Perez-Doboso, Jose M.; Vasquez, Claudio C.</t>
  </si>
  <si>
    <t>Monounsaturated Fatty Acids Are Substrates for Aldehyde Generation in Tellurite-Exposed Escherichia coli</t>
  </si>
  <si>
    <t>BIOMED RESEARCH INTERNATIONAL</t>
  </si>
  <si>
    <t>Reactive oxygen species (ROS) damage macromolecules and cellular components in nearly all kinds of cells and often generate toxic intracellular byproducts. In this work, aldehyde generation derived from the Escherichia coli membrane oxidation as well as membrane fatty acid profiles, protein oxidation, and bacterial resistance to oxidative stress elicitors was evaluated. Studies included wild-type cells as well as cells exhibiting a modulated monounsaturated fatty acid (MUFA) ratio. The hydroxyaldehyde 4-hydroxy 2-nonenal was found to be most likely produced by E. coli, whose levels are dependent upon exposure to oxidative stress elicitors. Aldehyde amounts and markers of oxidative damage decreased upon exposure to E. coli containing low MUFA ratios, which was paralleled by a concomitant increase in resistance to ROS-generating compounds. MUFAs ratio, lipid peroxidation, and aldehyde generation were found to be directly related; that is, the lower the MUFAs ratio, the lower the peroxide and aldehyde generation levels. These results provide additional evidence about MUFAs being targets for membrane lipid oxidation and their relevance in aldehyde generation.</t>
  </si>
  <si>
    <t>Perez-Donoso, Jose/G-3668-2013</t>
  </si>
  <si>
    <t>Perez-Donoso, Jose/0000-0002-9506-1716</t>
  </si>
  <si>
    <t>2314-6133</t>
  </si>
  <si>
    <t>2314-6141</t>
  </si>
  <si>
    <t>10.1155/2013/563756</t>
  </si>
  <si>
    <t>WOS:000323285800001</t>
  </si>
  <si>
    <t>Yáñez, R; Loyola, FJ; Urzua, C; Cornejo, J</t>
  </si>
  <si>
    <t>Yanez M, Ricardo; Loyola B, Francisco Javier; Urzua E, Camilo; Cornejo F, Jorge</t>
  </si>
  <si>
    <t>Total laryngectomy in advanced laryngeal neoplasma T4a</t>
  </si>
  <si>
    <t>REVISTA CHILENA DE CIRUGIA</t>
  </si>
  <si>
    <t>Background: In Chile a significant number of patients is presented with advanced laryngeal cancer at diagnosis with poor prognosis and less than 50% survival at 5 years. Nowadays choosing the organ sparing treatment, but in selected cases total laryngectomy is a valid treatment option. Aim: To present the results obtained with the extended total laryngectomy in patients with advanced laryngeal carcinoma. Patients and Methods: Retrospective analysis of all patients with advanced laryngeal carcinoma T4a underwent total extended laryngectomy at our center between 2007-2010. Results: 18 patients, a woman, a median age 64 years (range, 50-82), they were studied and etapified with Rhino-Laryngo-Fibrescope Olympus (c) and CT. Seven patients underwent emergency tracheostomy. All patients underwent total extended laryngectomy with primary pharyngeal closure. The median tumor size was 4.3cm. In 17 patients R0 was achieved. Postoperative complication was presented in one patient with a pharyngocutaneous fistula. Thirteen patients were sent to radiotherapy. After a follow-up of 17 months (range, 2-55): one, two and three years of survival was 88.8%, 50% and 50% respectively. Conclusion: In the serie, extended total laryngectomy is a good therapeutic alternative in patients with advanced laryngeal carcinoma, with low surgical morbidity, short hospital stay and favorable survival.</t>
  </si>
  <si>
    <t>Yanez, Ricardo/N-7395-2015</t>
  </si>
  <si>
    <t>0718-4026</t>
  </si>
  <si>
    <t>10.4067/S0718-40262012000500005</t>
  </si>
  <si>
    <t>WOS:000308787900005</t>
  </si>
  <si>
    <t>Arrau, GP; Eades, E; Wilson, J</t>
  </si>
  <si>
    <t>Perez Arrau, Gregorio; Eades, Elaine; Wilson, John</t>
  </si>
  <si>
    <t>Managing human resources in the Latin American context: the case of Chile</t>
  </si>
  <si>
    <t>INTERNATIONAL JOURNAL OF HUMAN RESOURCE MANAGEMENT</t>
  </si>
  <si>
    <t>In this article several aspects of human resource management (HRM) in Chile will be examined. Initially Chile will be analysed in the context of Latin American culture and history, as it shares a number of common features with the rest of the countries of the region. Secondly, the arrival of HRM to Chile is explored, as well as how it is affected by the particular characteristics of the country. Thirdly, HRM research literature in the specific context of Chile is reviewed and analysed. Finally, some consequences are discussed, and it is concluded that Chile shares a unique history, culture, social particularities and problems with the other countries of the region, affecting the way in which HRM is deployed in organisations. It is also concluded that more research in this context is urgently needed.</t>
  </si>
  <si>
    <t>Wang, Longteng/JCO-8985-2023</t>
  </si>
  <si>
    <t>Perez-Arrau, Gregorio/0000-0002-3592-3847</t>
  </si>
  <si>
    <t>0958-5192</t>
  </si>
  <si>
    <t>1466-4399</t>
  </si>
  <si>
    <t>10.1080/09585192.2011.639547</t>
  </si>
  <si>
    <t>WOS:000305077800006</t>
  </si>
  <si>
    <t>Martínez, A; Rayas, JA; Cordero, R; Labbe, F</t>
  </si>
  <si>
    <t>Martinez, A.; Rayas, J. A.; Cordero, R.; Labbe, F.</t>
  </si>
  <si>
    <t>Comparative measurement of in plane strain by shearography and electronic speckle pattern interferometry</t>
  </si>
  <si>
    <t>In this work, an optical setup that gives the possibility of using either ESPI or ESPSI has been implemented to assess in-plane strains induced on a composite sample. First, in-plane ESPI was used to measure displacement fields, which later allowed us to evaluate the corresponding strain fields. Next, we applied ESPSI to measure the derivative of in-plane surface displacements (the strains). The experimental results obtained by applying both techniques (ESPI and ESPSI) were compared. We found that the difference between the strain fields obtained by ESPSI and ESPI was roughly a constant. This result was expected since, although ESPI allows computing absolute strain values, the strains measured by ESPSI are relative to a reference that must be measured using an additional method. Once calibrated the system ESPSI, the ESPI could no longer be used. The strain field obtained in ESPSI is corrected by the sum of constant value calculated.</t>
  </si>
  <si>
    <t>Cordero, Raul/M-7979-2017; Rayas, Juan/CAG-8266-2022</t>
  </si>
  <si>
    <t>Cordero, Raul R./0000-0001-7607-7993; Rayas, Juan Antonio/0000-0001-6809-2368</t>
  </si>
  <si>
    <t>WOS:000298267100008</t>
  </si>
  <si>
    <t>Sierra, D; Zuñiga, C; Buono-Core, GE; Godoy, F; Klahn, AH</t>
  </si>
  <si>
    <t>Sierra, Diego; Zuniga, Cesar; Buono-Core, Gonzalo E.; Godoy, Fernando; Hugo Klahn, A.</t>
  </si>
  <si>
    <t>Suzuki cross-coupling of aryl bromides catalyzed by cyrhetrenylphosphine complexes of palladium (II)</t>
  </si>
  <si>
    <t>The heterobimetallic Re-Pd complex (CO)(3)Re(eta(5)-C(5)H(4)PPh(2))PdCl(2)(NCMe) I and the chelated complexes (eta(5)-C(5)H(4)PPh(2))(CO)(2)PR(3)Re-PdCl(2) (R = Me, II and R = OMe, III) were used as precatalyst for the Suzuki reaction. Complexes II and III containing a metal-metal bond were shown to be more efficient precatalyst for cross-coupling reaction of a wide range of aryl bromides electronically activated, unactivated and sterically hindered. (C) 2011 Elsevier B.V. All rights reserved.</t>
  </si>
  <si>
    <t>Zuniga, Cesar/0009-0004-8736-6861; Klahn, Hugo/0000-0003-3979-2693; Godoy, Fernando/0000-0002-3916-4753</t>
  </si>
  <si>
    <t>10.1016/j.inoche.2011.03.042</t>
  </si>
  <si>
    <t>WOS:000291835600039</t>
  </si>
  <si>
    <t>Modak, B; Torres, R; De Saint Pierre, M; Saud, K; Armijo, A; Caviedes, R; Caviedes, P</t>
  </si>
  <si>
    <t>Modak, Brenda; Torres, Rene; De Saint Pierre, Michelle; Saud, Katherine; Armijo, Adriana; Caviedes, Raul; Caviedes, Pablo</t>
  </si>
  <si>
    <t>In vitro antiproliferative activity of 3 H-spiro [1-benzofuran-2,1′-cyclohexane] derivatives</t>
  </si>
  <si>
    <t>The in vitro effect of the resinous exudate of Heliotropium filifolium, of the 3 H-spiro[1-benzofuran-2,1'-cyclohexane] derivative called filifolinol 1, isolated from the resin and the semi-synthetic compounds filifolinone 2 and filifolinoic acid 3, obtained from filifolinol 1, were evaluated on the proliferation of an immortalized cell line, UCHT1, derived from rat thyroid. We evaluated the effect of these compounds on UCHT1 cell growth parameters by calculating doubling time; and toxicity using the LIVE/DEAD (TM) in vitro test. The results showed that the resin is not active, while filifolinone 2, filifolinoic acid 3 and filifolinol 1 produced a significant inhibition of cell doubling time, in concentrations equal or greater than 50, 25 and 75 mu M, respectively. The LIVE/DEAD test showed no significant toxicity at these concentrations, compared to cultures kept in absence of compounds. These results suggest a possible cytostatic effect of these compounds, and could therefore constitute potential alternatives for antineoplasic therapy.</t>
  </si>
  <si>
    <t>Caviedes, Pablo/I-3273-2013; de Saint Pierre, Michelle/K-3894-2015</t>
  </si>
  <si>
    <t>WOS:000291641700011</t>
  </si>
  <si>
    <t>Curilem, M; Chacón, M; Acuña, G; Ulloa, S; Pardo, C; Defilippi, C; Madrid, AM</t>
  </si>
  <si>
    <t>Curilem, Millaray; Chacon, Max; Acuna, Gonzalo; Ulloa, Sebastian; Pardo, Carlos; Defilippi, Carlos; Maria Madrid, Ana</t>
  </si>
  <si>
    <t>Comparison of Artificial Neural Networks an Support Vector Machines for Feature Selection in Electrogastrography Signal Processing</t>
  </si>
  <si>
    <t>2010 ANNUAL INTERNATIONAL CONFERENCE OF THE IEEE ENGINEERING IN MEDICINE AND BIOLOGY SOCIETY (EMBC)</t>
  </si>
  <si>
    <t>IEEE Engineering in Medicine and Biology Society Conference Proceedings</t>
  </si>
  <si>
    <t>32nd Annual International Conference of the IEEE Engineering-in-Medicine-and-Biology-Society (EMBC 10)</t>
  </si>
  <si>
    <t>AUG 30-SEP 04, 2010</t>
  </si>
  <si>
    <t>Buenos Aires, ARGENTINA</t>
  </si>
  <si>
    <t>IEEE Engn Med &amp; Biol Soc (EMBS)</t>
  </si>
  <si>
    <t>The paper describes a feature selection process applied to electrogastrogram (EGG) processing. The data set is formed by 42 EGG records from functional dyspeptic (FD) patients and 22 from healthy controls. A wrapper configuration classifier was implemented to discriminate between both classes. The aim of this work is to compare artificial neural networks (ANN) and support vector machines (SVM) when acting as fitness functions of a genetic algorithm (GA) that performs a feature selection process over some features extracted from the EGG signals. These features correspond to those that literature shows to be the most used in EGG analysis. The results show that the SVM classifier is faster, requires less memory and reached the same performance (86% of exactitude) than the ANN classifier when acting as the fitness function for the GA.</t>
  </si>
  <si>
    <t>Acuna Leiva, Gonzalo Pedro/0000-0002-0519-7792; Curilem, Millaray/0000-0001-8685-221X</t>
  </si>
  <si>
    <t>1557-170X</t>
  </si>
  <si>
    <t>1558-4615</t>
  </si>
  <si>
    <t>978-1-4244-4124-2</t>
  </si>
  <si>
    <t>10.1109/IEMBS.2010.5626362</t>
  </si>
  <si>
    <t>WOS:000287964003045</t>
  </si>
  <si>
    <t>Cuadros-Melgar, B; Papantonopoulos, E; Tsoukalas, M; Zarnarias, V</t>
  </si>
  <si>
    <t>Cuadros-Melgar, Bertha; Papantonopoulos, Eleftherios; Tsoukalas, Minas; Zarnarias, Vassilios</t>
  </si>
  <si>
    <t>Black holes on thin 3-branes of codimension-2 and their extension into the bulk</t>
  </si>
  <si>
    <t>We discuss black hole solutions in six-dimensional gravity with a Gauss-Bonnet term in the bulk and an induced gravity term on a thin 3-brane of codimension-2. We show that these black holes can be localized on the brane, and they can further be extended into the bulk by a warp function. These solutions have regular horizons and no other curvature singularities appear apart from the string-like ones. The projection of the Gauss-Bonnet term on the brane imposes a constraint relation which requires the presence of matter in the extra dimensions. (c) 2008 Elsevier B.V. All rights reserved.</t>
  </si>
  <si>
    <t>Cuadros-Melgar, Bertha/M-8760-2014</t>
  </si>
  <si>
    <t>Cuadros-Melgar, Bertha/0000-0001-8111-2431</t>
  </si>
  <si>
    <t>10.1016/j.nuclphysb.2008.11.003</t>
  </si>
  <si>
    <t>WOS:000262824200012</t>
  </si>
  <si>
    <t>Peredo, SF; Parada, E; Vega, M; Barrera, CP</t>
  </si>
  <si>
    <t>Peredo P, Santiago F.; Parada Z, Esperanza; Vega C, Marcela; Barrera S, Claudia P.</t>
  </si>
  <si>
    <t>EDAPHIC MESOFAUNA COMMUNITY STRUCTURE IN ORGANIC AND CONVENTIONAL MANAGEMENT OF CRANBERRY (Vaccinium sp.) PLANTATIONS: AN AGROECOLOGICAL APPROACH</t>
  </si>
  <si>
    <t>REVISTA DE LA CIENCIA DEL SUELO Y NUTRICION VEGETAL</t>
  </si>
  <si>
    <t>The aim of the present study was to determine and compare taxa richness, abundance and diversity of the edaphic mesofauna community between plantations of cranberries (Vaccinium sp.) subjected to organic and conventional management in farms in central-south Chile (37 degrees 28'S), as also to evaluate changes produced in their diversity and abundance diversity and abundance, as result of the change from conventional to organic management. In July 2006 two farms were chosen, one with one year under organic management (OM l) and a second one under six years of certified organic management (OM6). Each farm was divided in four quadrants, each one with a surface of 2,500 m(2). In each quadrant was extracted one sample with six replicas of 188.5 cm 3 each. Samples were processed in the laboratory using the Berlesse-Tullgren system for the extraction of mesofauna and the subsequent counting and identification of specimens. To compare the organic managed plantation, it was selected a farm under conventional management (CM) with similar climatic and edaphic conditions. On each parcel, taxa richness, abundance, alpha (alpha) diversity, dominance and beta (beta) diversity were determined. Significant differences between diversity values were determined with Student's t test (alpha = 0.05). It is concluded that taxa richness is similar in all plantations, independent of agricultural management, whereas abundance of each taxon individually is different between both types of management. There are significant differences in diversity between the organic plantations (OM I versus OM6) and between the conventional (CM) versus organic plantations (P&lt;0.05). Qualitative (taxocenotic) and quantitative (biocenotic) similarity recorded in the edaphic communities from both types of plantation management may be explained by soil type and climate similarity, as well as by the homogeneity of the edaphic ecosystem.</t>
  </si>
  <si>
    <t>Alvarez, Claudia/F-8180-2012</t>
  </si>
  <si>
    <t>0717-635X</t>
  </si>
  <si>
    <t>0718-2791</t>
  </si>
  <si>
    <t>WOS:000273003400006</t>
  </si>
  <si>
    <t>Boudaoud, A; Hamm, E; Melo, F</t>
  </si>
  <si>
    <t>Boudaoud, Arezki; Hamm, Eugenio; Melo, Francisco</t>
  </si>
  <si>
    <t>Developable modes in vibrated thin plates</t>
  </si>
  <si>
    <t>We investigate the normal modes of a developable cone singularity as observed in a circular sheet supported by a rigid circular frame and pushed at its center. When the center of the sheet is in addition submitted to a sinusoidal forcing, two types of bending modes, named here rolling and tilt modes, are parametrically excited. The rolling mode is an angular oscillation of the concave sector of the developable cone structure. If the amplitude of vibration is high enough, the rolling mode amplitude increases dramatically giving rise to both a continuous rotation of the concave sector and a material angular displacement of the sheet, similar to that produced by a moving wrinkle in a carpet.</t>
  </si>
  <si>
    <t>Hamm, Eugenio/A-7927-2013; Boudaoud, Arezki/Q-7436-2016; Melo, Francisco/M-3923-2014</t>
  </si>
  <si>
    <t>Boudaoud, Arezki/0000-0002-2780-4717; Melo, Francisco Esteban/0000-0001-6818-5476</t>
  </si>
  <si>
    <t>10.1103/PhysRevLett.99.254301</t>
  </si>
  <si>
    <t>WOS:000251887100026</t>
  </si>
  <si>
    <t>Salles, A; de Melo, F; Retamal, JC; de Matos, RL; Zagury, N</t>
  </si>
  <si>
    <t>Salles, A.; de Melo, F.; Retamal, J. C.; de Matos Filho, R. L.; Zagury, N.</t>
  </si>
  <si>
    <t>Single observable concurrence measurement without simultaneous copies</t>
  </si>
  <si>
    <t>We present a protocol that allows us to obtain the concurrence of any two-qubit pure state by performing a minimal and optimal tomography of one of the subsystems through measuring a single observable of an ancillary four-dimensional qudit. An implementation for a system of trapped ions is also proposed, which can be achieved with present-day experimental techniques.</t>
  </si>
  <si>
    <t>de Matos Filho, Ruynet/A-9677-2013; Retamal, Juan/G-6425-2010; de Melo, Fernando/AAI-1042-2019</t>
  </si>
  <si>
    <t>Retamal Abarzua, Juan Carlos/0000-0002-7174-7879; de Melo, Fernando/0000-0002-8523-1048; de Matos Filho, Ruynet/0000-0002-7514-141X</t>
  </si>
  <si>
    <t>10.1103/PhysRevA.74.060303</t>
  </si>
  <si>
    <t>WOS:000243166700004</t>
  </si>
  <si>
    <t>Cárdenas-Jirón, GI; Espinoza-Leyton, F; Sordo, TL</t>
  </si>
  <si>
    <t>The coordination chemistry of boron porphyrin complexes B2OX2 (TpYPP) (X = OH, F; Y=Cl, CH3) and their chemical reactivities</t>
  </si>
  <si>
    <t>JOURNAL OF CHEMICAL SCIENCES</t>
  </si>
  <si>
    <t>The structure and coordination chemistry of boron porphyrin complexes B2OX2 (TpYPP) (X = OH, F; Y = Cl, CH3) in connection with its chemical reactivity are analyzed at ab initio density functional theory B3LY-P/6-31G* and restricted Hartree-Fock RHF/6-31G* levels of theory. Global reactivity and local selectivity descriptors are used as adequate tools to analyze the isomerism effect (Z or E isomer) and the substitution effect (X: in axial ligand; or Y: in porphyrin ligand). In all the cases, we find that the E conformation is the most stable one, in agreement with X-ray results, and that a principle of maximum hardness in the isomerism analysis is fullfilled. In the substitution analysis, we find that the three global reactivity indexes (eta, omega, chi) and the two local reactivity indexes (f(k), electrostatic potential) used in this paper predict the same trend when an electron-withdrawing substituent is replaced by an electron donor. Finally, we show that substitution in the porphyrin ligand is slightly more significant than that in the axial ligand.</t>
  </si>
  <si>
    <t>Cardenas-Jiron, Gloria/H-9508-2012</t>
  </si>
  <si>
    <t>0974-3626</t>
  </si>
  <si>
    <t>0973-7103</t>
  </si>
  <si>
    <t>10.1007/BF02708357</t>
  </si>
  <si>
    <t>WOS:000232909100019</t>
  </si>
  <si>
    <t>Diez, MC; Quiroz, A; Ureta-Zañartu, S; Vidal, G; Mora, ML; Gallardo, F; Navia, R</t>
  </si>
  <si>
    <t>Soil retention capacity of phenols from biologically pre-treated kraft mill wastewater</t>
  </si>
  <si>
    <t>WATER AIR AND SOIL POLLUTION</t>
  </si>
  <si>
    <t>Allophanic soil, natural and activated by acidification or calcination was used to adsorb organic recalcitrant compounds (lignin and chlorophenols) from biologically pre-treated kraft mill effluent. A synthetic non crystalline aluminosilicate like allophane coated with iron oxide (Al-Si-Fe) was used as control for comparison purposes. It was observed that the adsorption capacity of the allophanic soil increased at higher solid/solution ratio, and at lower pH values. The highest total phenolic compounds removal was obtained between pH 4.0 and 4.5 for natural and activated soil using a solid/solution ratio of 1:5, and for synthetic aluminosilicate using 300 mg in 30 mL of effluent solution. Soil activated by calcination procedure presented the highest total phenolic compounds adsorption capacity (71-85%) for untreated and aerobic or anaerobic pre-treated effluent. The specific chlorophenols analysis indicated that pentachlorophenol (PCP) was almost completely adsorbed onto the allophanic soil (&gt; 99%), and that over 79% of the 2,3,4,6-tetrachlorophenol (TeCP) was adsorbed, independent of the biological pre-treatment type and the soil activation procedure. On the other hand, 2,4-dichlorophenol (DCP) coming from both aerobic and anaerobic treated effluent was poorly removed (24-30%) when natural soil was used for adsorption; whereas in calcinated and acidified soil DCP removal was more than 71%.</t>
  </si>
  <si>
    <t>Ureta-Zañartu, Maria/G-5239-2019; Diez, Cristina/C-9130-2015; Mora Gil, Maria Luz/AAT-4081-2021; Vidal, Gladys/G-9000-2011</t>
  </si>
  <si>
    <t>Diez, Maria Cristina/0000-0002-9494-1551; Mora, Maria Luz/0000-0002-7474-1595; Vidal, Gladys/0000-0001-7433-5004; Navia, Rodrigo/0000-0003-3681-9547</t>
  </si>
  <si>
    <t>0049-6979</t>
  </si>
  <si>
    <t>1573-2932</t>
  </si>
  <si>
    <t>1-4</t>
  </si>
  <si>
    <t>10.1007/s11270-005-1295-5</t>
  </si>
  <si>
    <t>WOS:000229973400020</t>
  </si>
  <si>
    <t>Pinton, JF; Holdsworth, PCW; Labbé, R</t>
  </si>
  <si>
    <t>Power fluctuations in a closed turbulent shear flow</t>
  </si>
  <si>
    <t>We study experimentally the power consumption P of a confined turbulent flow at constant Reynolds number Re. We analyze in details its temporal dynamics and statistical properties, in a setup that covers two decades in Reynolds numbers. We show that nontrivial power fluctuations occur over a wide range of amplitudes and that they involve coherent fluid motions over the entire system size. As a result, the power fluctuations do not result from averaging of independent subsystems and its probability density function Pi(P) is strongly non-Gaussian. The shape of Pi(P) is Reynolds number independent and we show that the relative intensity of fluctuations decreases very slowly as Re increases. These results are discussed in terms of an analaogy with critical phenomena. [S1063-651X(99)50709-5].</t>
  </si>
  <si>
    <t>Holdsworth, Peter/F-2121-2015; Labbe, Raul/C-4581-2008</t>
  </si>
  <si>
    <t>Holdsworth, Peter/0000-0003-4062-5067; Labbe, Raul/0000-0003-4233-8387</t>
  </si>
  <si>
    <t>R2452</t>
  </si>
  <si>
    <t>R2455</t>
  </si>
  <si>
    <t>10.1103/PhysRevE.60.R2452</t>
  </si>
  <si>
    <t>WOS:000082778200005</t>
  </si>
  <si>
    <t>Ritschel, WA; Paulos, C; Arancibia, A; Pezzani, M; Agrawal, MA; Wetzelsberger, KM; Lucker, PW</t>
  </si>
  <si>
    <t>Pharmacokinetics of meperidine in healthy volunteers after short- and long-term exposure to high altitude</t>
  </si>
  <si>
    <t>JOURNAL OF CLINICAL PHARMACOLOGY</t>
  </si>
  <si>
    <t>Increased numbers of erythrocytes have been shown ex vivo to increase meperidine uptake, and one of the major physiologic changes that occurs at high altitude is an increase in hematocrit and erythrocytes. A study was therefore conducted to evaluate the effects of high altitude on the pharmacokinetics of meperidine. Intramuscular doses (0.75 mg/kg) of meperidine were given to three groups of healthy volunteers (age range, 18-20 years): participants living at sea level (group L), those same participants the day after arrival at high altitude (4,360 m; group HA), and participants who had lived at high altitude for greater than or equal to 10 months (group HG). Blood samples were collected for 12 hours after drug administration. Meperidine was measured in whole blood, plasma, and plasma water. Elimination rate constant (lambda(z)) and clearance uncorrected for bioavailability (Cl/F) were significantly lower at high altitudes than at sea level in plasma (HA and HC) and in whole blood (HA only). Mean residence time (MRT) was significantly higher at high altitudes than at sea level in plasma (HA and HC) and in whole blood (HA only). Hematocrit was significantly increased at both rime points at high altitude in comparison to values at sea level, and was also higher after a long-term stay at high altitude than after arrival at high altitude. Erythrocyte binding increased significantly from 41.3% at sea level to 43.8% at arrival at high altitude to 50.9% after a long-term stay ay high altitude. The extent of protein binding tended to decrease with high altitude, but this decrease was not significant. Free concentrations of meperidine in plasma water measured 1, 2, and 4 hours after administration were significantly increased after 2 and 4 hours.</t>
  </si>
  <si>
    <t>Paulos Arenas, Claudio/0000-0002-9857-0567</t>
  </si>
  <si>
    <t>0091-2700</t>
  </si>
  <si>
    <t>10.1002/j.1552-4604.1996.tb04225.x</t>
  </si>
  <si>
    <t>WOS:A1996VA01000007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</si>
</sst>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82</v>
      </c>
      <c r="AQ2" s="1" t="s">
        <v>74</v>
      </c>
      <c r="AR2" s="1" t="s">
        <v>74</v>
      </c>
      <c r="AS2" s="1" t="s">
        <v>74</v>
      </c>
      <c r="AT2" s="1" t="s">
        <v>83</v>
      </c>
      <c r="AU2" s="1">
        <v>2025.0</v>
      </c>
      <c r="AV2" s="1">
        <v>39.0</v>
      </c>
      <c r="AW2" s="1" t="s">
        <v>74</v>
      </c>
      <c r="AX2" s="1" t="s">
        <v>74</v>
      </c>
      <c r="AY2" s="1" t="s">
        <v>74</v>
      </c>
      <c r="AZ2" s="1" t="s">
        <v>74</v>
      </c>
      <c r="BA2" s="1" t="s">
        <v>74</v>
      </c>
      <c r="BB2" s="1" t="s">
        <v>74</v>
      </c>
      <c r="BC2" s="1" t="s">
        <v>74</v>
      </c>
      <c r="BD2" s="1">
        <v>101117.0</v>
      </c>
      <c r="BE2" s="1" t="s">
        <v>84</v>
      </c>
      <c r="BF2" s="2" t="str">
        <f>HYPERLINK("http://dx.doi.org/10.1016/j.ijgfs.2025.101117","http://dx.doi.org/10.1016/j.ijgfs.2025.101117")</f>
        <v>http://dx.doi.org/10.1016/j.ijgfs.2025.101117</v>
      </c>
      <c r="BG2" s="1" t="s">
        <v>74</v>
      </c>
      <c r="BH2" s="1" t="s">
        <v>85</v>
      </c>
      <c r="BI2" s="1" t="s">
        <v>74</v>
      </c>
      <c r="BJ2" s="1" t="s">
        <v>74</v>
      </c>
      <c r="BK2" s="1" t="s">
        <v>74</v>
      </c>
      <c r="BL2" s="1" t="s">
        <v>74</v>
      </c>
      <c r="BM2" s="1" t="s">
        <v>74</v>
      </c>
      <c r="BN2" s="1" t="s">
        <v>74</v>
      </c>
      <c r="BO2" s="1" t="s">
        <v>74</v>
      </c>
      <c r="BP2" s="1" t="s">
        <v>74</v>
      </c>
      <c r="BQ2" s="1" t="s">
        <v>74</v>
      </c>
      <c r="BR2" s="1" t="s">
        <v>74</v>
      </c>
      <c r="BS2" s="1" t="s">
        <v>86</v>
      </c>
      <c r="BT2" s="1" t="str">
        <f>HYPERLINK("https%3A%2F%2Fwww.webofscience.com%2Fwos%2Fwoscc%2Ffull-record%2FWOS:001407854100001","View Full Record in Web of Science")</f>
        <v>View Full Record in Web of Science</v>
      </c>
    </row>
    <row r="3" ht="12.75" customHeight="1">
      <c r="A3" s="1" t="s">
        <v>72</v>
      </c>
      <c r="B3" s="1" t="s">
        <v>87</v>
      </c>
      <c r="C3" s="1" t="s">
        <v>74</v>
      </c>
      <c r="D3" s="1" t="s">
        <v>74</v>
      </c>
      <c r="E3" s="1" t="s">
        <v>74</v>
      </c>
      <c r="F3" s="1" t="s">
        <v>88</v>
      </c>
      <c r="G3" s="1" t="s">
        <v>74</v>
      </c>
      <c r="H3" s="1" t="s">
        <v>74</v>
      </c>
      <c r="I3" s="1" t="s">
        <v>89</v>
      </c>
      <c r="J3" s="1" t="s">
        <v>90</v>
      </c>
      <c r="K3" s="1" t="s">
        <v>74</v>
      </c>
      <c r="L3" s="1" t="s">
        <v>74</v>
      </c>
      <c r="M3" s="1" t="s">
        <v>74</v>
      </c>
      <c r="N3" s="1" t="s">
        <v>74</v>
      </c>
      <c r="O3" s="1" t="s">
        <v>74</v>
      </c>
      <c r="P3" s="1" t="s">
        <v>74</v>
      </c>
      <c r="Q3" s="1" t="s">
        <v>74</v>
      </c>
      <c r="R3" s="1" t="s">
        <v>74</v>
      </c>
      <c r="S3" s="1" t="s">
        <v>74</v>
      </c>
      <c r="T3" s="1" t="s">
        <v>74</v>
      </c>
      <c r="U3" s="1" t="s">
        <v>74</v>
      </c>
      <c r="V3" s="1" t="s">
        <v>91</v>
      </c>
      <c r="W3" s="1" t="s">
        <v>74</v>
      </c>
      <c r="X3" s="1" t="s">
        <v>74</v>
      </c>
      <c r="Y3" s="1" t="s">
        <v>74</v>
      </c>
      <c r="Z3" s="1" t="s">
        <v>74</v>
      </c>
      <c r="AA3" s="1" t="s">
        <v>92</v>
      </c>
      <c r="AB3" s="1" t="s">
        <v>93</v>
      </c>
      <c r="AC3" s="1" t="s">
        <v>74</v>
      </c>
      <c r="AD3" s="1" t="s">
        <v>74</v>
      </c>
      <c r="AE3" s="1" t="s">
        <v>74</v>
      </c>
      <c r="AF3" s="1" t="s">
        <v>74</v>
      </c>
      <c r="AG3" s="1" t="s">
        <v>74</v>
      </c>
      <c r="AH3" s="1" t="s">
        <v>74</v>
      </c>
      <c r="AI3" s="1" t="s">
        <v>74</v>
      </c>
      <c r="AJ3" s="1" t="s">
        <v>74</v>
      </c>
      <c r="AK3" s="1" t="s">
        <v>74</v>
      </c>
      <c r="AL3" s="1" t="s">
        <v>74</v>
      </c>
      <c r="AM3" s="1" t="s">
        <v>74</v>
      </c>
      <c r="AN3" s="1" t="s">
        <v>74</v>
      </c>
      <c r="AO3" s="1" t="s">
        <v>74</v>
      </c>
      <c r="AP3" s="1" t="s">
        <v>94</v>
      </c>
      <c r="AQ3" s="1" t="s">
        <v>74</v>
      </c>
      <c r="AR3" s="1" t="s">
        <v>74</v>
      </c>
      <c r="AS3" s="1" t="s">
        <v>74</v>
      </c>
      <c r="AT3" s="1" t="s">
        <v>95</v>
      </c>
      <c r="AU3" s="1">
        <v>2024.0</v>
      </c>
      <c r="AV3" s="1">
        <v>29.0</v>
      </c>
      <c r="AW3" s="1">
        <v>24.0</v>
      </c>
      <c r="AX3" s="1" t="s">
        <v>74</v>
      </c>
      <c r="AY3" s="1" t="s">
        <v>74</v>
      </c>
      <c r="AZ3" s="1" t="s">
        <v>74</v>
      </c>
      <c r="BA3" s="1" t="s">
        <v>74</v>
      </c>
      <c r="BB3" s="1" t="s">
        <v>74</v>
      </c>
      <c r="BC3" s="1" t="s">
        <v>74</v>
      </c>
      <c r="BD3" s="1">
        <v>5859.0</v>
      </c>
      <c r="BE3" s="1" t="s">
        <v>96</v>
      </c>
      <c r="BF3" s="2" t="str">
        <f>HYPERLINK("http://dx.doi.org/10.3390/molecules29245859","http://dx.doi.org/10.3390/molecules29245859")</f>
        <v>http://dx.doi.org/10.3390/molecules29245859</v>
      </c>
      <c r="BG3" s="1" t="s">
        <v>74</v>
      </c>
      <c r="BH3" s="1" t="s">
        <v>74</v>
      </c>
      <c r="BI3" s="1" t="s">
        <v>74</v>
      </c>
      <c r="BJ3" s="1" t="s">
        <v>74</v>
      </c>
      <c r="BK3" s="1" t="s">
        <v>74</v>
      </c>
      <c r="BL3" s="1" t="s">
        <v>74</v>
      </c>
      <c r="BM3" s="1" t="s">
        <v>74</v>
      </c>
      <c r="BN3" s="1">
        <v>3.9769948E7</v>
      </c>
      <c r="BO3" s="1" t="s">
        <v>74</v>
      </c>
      <c r="BP3" s="1" t="s">
        <v>74</v>
      </c>
      <c r="BQ3" s="1" t="s">
        <v>74</v>
      </c>
      <c r="BR3" s="1" t="s">
        <v>74</v>
      </c>
      <c r="BS3" s="1" t="s">
        <v>97</v>
      </c>
      <c r="BT3" s="1" t="str">
        <f>HYPERLINK("https%3A%2F%2Fwww.webofscience.com%2Fwos%2Fwoscc%2Ffull-record%2FWOS:001384784800001","View Full Record in Web of Science")</f>
        <v>View Full Record in Web of Science</v>
      </c>
    </row>
    <row r="4" ht="12.75" customHeight="1">
      <c r="A4" s="1" t="s">
        <v>72</v>
      </c>
      <c r="B4" s="1" t="s">
        <v>98</v>
      </c>
      <c r="C4" s="1" t="s">
        <v>74</v>
      </c>
      <c r="D4" s="1" t="s">
        <v>74</v>
      </c>
      <c r="E4" s="1" t="s">
        <v>74</v>
      </c>
      <c r="F4" s="1" t="s">
        <v>99</v>
      </c>
      <c r="G4" s="1" t="s">
        <v>74</v>
      </c>
      <c r="H4" s="1" t="s">
        <v>74</v>
      </c>
      <c r="I4" s="1" t="s">
        <v>100</v>
      </c>
      <c r="J4" s="1" t="s">
        <v>101</v>
      </c>
      <c r="K4" s="1" t="s">
        <v>74</v>
      </c>
      <c r="L4" s="1" t="s">
        <v>74</v>
      </c>
      <c r="M4" s="1" t="s">
        <v>74</v>
      </c>
      <c r="N4" s="1" t="s">
        <v>74</v>
      </c>
      <c r="O4" s="1" t="s">
        <v>74</v>
      </c>
      <c r="P4" s="1" t="s">
        <v>74</v>
      </c>
      <c r="Q4" s="1" t="s">
        <v>74</v>
      </c>
      <c r="R4" s="1" t="s">
        <v>74</v>
      </c>
      <c r="S4" s="1" t="s">
        <v>74</v>
      </c>
      <c r="T4" s="1" t="s">
        <v>74</v>
      </c>
      <c r="U4" s="1" t="s">
        <v>74</v>
      </c>
      <c r="V4" s="1" t="s">
        <v>102</v>
      </c>
      <c r="W4" s="1" t="s">
        <v>74</v>
      </c>
      <c r="X4" s="1" t="s">
        <v>74</v>
      </c>
      <c r="Y4" s="1" t="s">
        <v>74</v>
      </c>
      <c r="Z4" s="1" t="s">
        <v>74</v>
      </c>
      <c r="AA4" s="1" t="s">
        <v>103</v>
      </c>
      <c r="AB4" s="1" t="s">
        <v>104</v>
      </c>
      <c r="AC4" s="1" t="s">
        <v>74</v>
      </c>
      <c r="AD4" s="1" t="s">
        <v>74</v>
      </c>
      <c r="AE4" s="1" t="s">
        <v>74</v>
      </c>
      <c r="AF4" s="1" t="s">
        <v>74</v>
      </c>
      <c r="AG4" s="1" t="s">
        <v>74</v>
      </c>
      <c r="AH4" s="1" t="s">
        <v>74</v>
      </c>
      <c r="AI4" s="1" t="s">
        <v>74</v>
      </c>
      <c r="AJ4" s="1" t="s">
        <v>74</v>
      </c>
      <c r="AK4" s="1" t="s">
        <v>74</v>
      </c>
      <c r="AL4" s="1" t="s">
        <v>74</v>
      </c>
      <c r="AM4" s="1" t="s">
        <v>74</v>
      </c>
      <c r="AN4" s="1" t="s">
        <v>74</v>
      </c>
      <c r="AO4" s="1" t="s">
        <v>105</v>
      </c>
      <c r="AP4" s="1" t="s">
        <v>106</v>
      </c>
      <c r="AQ4" s="1" t="s">
        <v>74</v>
      </c>
      <c r="AR4" s="1" t="s">
        <v>74</v>
      </c>
      <c r="AS4" s="1" t="s">
        <v>74</v>
      </c>
      <c r="AT4" s="1" t="s">
        <v>107</v>
      </c>
      <c r="AU4" s="1">
        <v>2024.0</v>
      </c>
      <c r="AV4" s="1">
        <v>199.0</v>
      </c>
      <c r="AW4" s="1" t="s">
        <v>74</v>
      </c>
      <c r="AX4" s="1" t="s">
        <v>74</v>
      </c>
      <c r="AY4" s="1" t="s">
        <v>74</v>
      </c>
      <c r="AZ4" s="1" t="s">
        <v>74</v>
      </c>
      <c r="BA4" s="1" t="s">
        <v>74</v>
      </c>
      <c r="BB4" s="1">
        <v>165.0</v>
      </c>
      <c r="BC4" s="1">
        <v>176.0</v>
      </c>
      <c r="BD4" s="1" t="s">
        <v>74</v>
      </c>
      <c r="BE4" s="1" t="s">
        <v>108</v>
      </c>
      <c r="BF4" s="2" t="str">
        <f>HYPERLINK("http://dx.doi.org/10.1016/j.apnum.2022.12.015","http://dx.doi.org/10.1016/j.apnum.2022.12.015")</f>
        <v>http://dx.doi.org/10.1016/j.apnum.2022.12.015</v>
      </c>
      <c r="BG4" s="1" t="s">
        <v>74</v>
      </c>
      <c r="BH4" s="1" t="s">
        <v>109</v>
      </c>
      <c r="BI4" s="1" t="s">
        <v>74</v>
      </c>
      <c r="BJ4" s="1" t="s">
        <v>74</v>
      </c>
      <c r="BK4" s="1" t="s">
        <v>74</v>
      </c>
      <c r="BL4" s="1" t="s">
        <v>74</v>
      </c>
      <c r="BM4" s="1" t="s">
        <v>74</v>
      </c>
      <c r="BN4" s="1" t="s">
        <v>74</v>
      </c>
      <c r="BO4" s="1" t="s">
        <v>74</v>
      </c>
      <c r="BP4" s="1" t="s">
        <v>74</v>
      </c>
      <c r="BQ4" s="1" t="s">
        <v>74</v>
      </c>
      <c r="BR4" s="1" t="s">
        <v>74</v>
      </c>
      <c r="BS4" s="1" t="s">
        <v>110</v>
      </c>
      <c r="BT4" s="1" t="str">
        <f>HYPERLINK("https%3A%2F%2Fwww.webofscience.com%2Fwos%2Fwoscc%2Ffull-record%2FWOS:001225030500001","View Full Record in Web of Science")</f>
        <v>View Full Record in Web of Science</v>
      </c>
    </row>
    <row r="5" ht="12.75" customHeight="1">
      <c r="A5" s="1" t="s">
        <v>72</v>
      </c>
      <c r="B5" s="1" t="s">
        <v>111</v>
      </c>
      <c r="C5" s="1" t="s">
        <v>74</v>
      </c>
      <c r="D5" s="1" t="s">
        <v>74</v>
      </c>
      <c r="E5" s="1" t="s">
        <v>74</v>
      </c>
      <c r="F5" s="1" t="s">
        <v>112</v>
      </c>
      <c r="G5" s="1" t="s">
        <v>74</v>
      </c>
      <c r="H5" s="1" t="s">
        <v>74</v>
      </c>
      <c r="I5" s="1" t="s">
        <v>113</v>
      </c>
      <c r="J5" s="1" t="s">
        <v>114</v>
      </c>
      <c r="K5" s="1" t="s">
        <v>74</v>
      </c>
      <c r="L5" s="1" t="s">
        <v>74</v>
      </c>
      <c r="M5" s="1" t="s">
        <v>74</v>
      </c>
      <c r="N5" s="1" t="s">
        <v>74</v>
      </c>
      <c r="O5" s="1" t="s">
        <v>74</v>
      </c>
      <c r="P5" s="1" t="s">
        <v>74</v>
      </c>
      <c r="Q5" s="1" t="s">
        <v>74</v>
      </c>
      <c r="R5" s="1" t="s">
        <v>74</v>
      </c>
      <c r="S5" s="1" t="s">
        <v>74</v>
      </c>
      <c r="T5" s="1" t="s">
        <v>74</v>
      </c>
      <c r="U5" s="1" t="s">
        <v>74</v>
      </c>
      <c r="V5" s="1" t="s">
        <v>115</v>
      </c>
      <c r="W5" s="1" t="s">
        <v>74</v>
      </c>
      <c r="X5" s="1" t="s">
        <v>74</v>
      </c>
      <c r="Y5" s="1" t="s">
        <v>74</v>
      </c>
      <c r="Z5" s="1" t="s">
        <v>74</v>
      </c>
      <c r="AA5" s="1" t="s">
        <v>116</v>
      </c>
      <c r="AB5" s="1" t="s">
        <v>117</v>
      </c>
      <c r="AC5" s="1" t="s">
        <v>74</v>
      </c>
      <c r="AD5" s="1" t="s">
        <v>74</v>
      </c>
      <c r="AE5" s="1" t="s">
        <v>74</v>
      </c>
      <c r="AF5" s="1" t="s">
        <v>74</v>
      </c>
      <c r="AG5" s="1" t="s">
        <v>74</v>
      </c>
      <c r="AH5" s="1" t="s">
        <v>74</v>
      </c>
      <c r="AI5" s="1" t="s">
        <v>74</v>
      </c>
      <c r="AJ5" s="1" t="s">
        <v>74</v>
      </c>
      <c r="AK5" s="1" t="s">
        <v>74</v>
      </c>
      <c r="AL5" s="1" t="s">
        <v>74</v>
      </c>
      <c r="AM5" s="1" t="s">
        <v>74</v>
      </c>
      <c r="AN5" s="1" t="s">
        <v>74</v>
      </c>
      <c r="AO5" s="1" t="s">
        <v>118</v>
      </c>
      <c r="AP5" s="1" t="s">
        <v>119</v>
      </c>
      <c r="AQ5" s="1" t="s">
        <v>74</v>
      </c>
      <c r="AR5" s="1" t="s">
        <v>74</v>
      </c>
      <c r="AS5" s="1" t="s">
        <v>74</v>
      </c>
      <c r="AT5" s="1" t="s">
        <v>120</v>
      </c>
      <c r="AU5" s="1">
        <v>2024.0</v>
      </c>
      <c r="AV5" s="1">
        <v>33.0</v>
      </c>
      <c r="AW5" s="1">
        <v>2.0</v>
      </c>
      <c r="AX5" s="1" t="s">
        <v>74</v>
      </c>
      <c r="AY5" s="1" t="s">
        <v>74</v>
      </c>
      <c r="AZ5" s="1" t="s">
        <v>74</v>
      </c>
      <c r="BA5" s="1" t="s">
        <v>74</v>
      </c>
      <c r="BB5" s="1">
        <v>775.0</v>
      </c>
      <c r="BC5" s="1">
        <v>792.0</v>
      </c>
      <c r="BD5" s="1" t="s">
        <v>74</v>
      </c>
      <c r="BE5" s="1" t="s">
        <v>121</v>
      </c>
      <c r="BF5" s="2" t="str">
        <f>HYPERLINK("http://dx.doi.org/10.1007/s10531-023-02775-9","http://dx.doi.org/10.1007/s10531-023-02775-9")</f>
        <v>http://dx.doi.org/10.1007/s10531-023-02775-9</v>
      </c>
      <c r="BG5" s="1" t="s">
        <v>74</v>
      </c>
      <c r="BH5" s="1" t="s">
        <v>122</v>
      </c>
      <c r="BI5" s="1" t="s">
        <v>74</v>
      </c>
      <c r="BJ5" s="1" t="s">
        <v>74</v>
      </c>
      <c r="BK5" s="1" t="s">
        <v>74</v>
      </c>
      <c r="BL5" s="1" t="s">
        <v>74</v>
      </c>
      <c r="BM5" s="1" t="s">
        <v>74</v>
      </c>
      <c r="BN5" s="1" t="s">
        <v>74</v>
      </c>
      <c r="BO5" s="1" t="s">
        <v>74</v>
      </c>
      <c r="BP5" s="1" t="s">
        <v>74</v>
      </c>
      <c r="BQ5" s="1" t="s">
        <v>74</v>
      </c>
      <c r="BR5" s="1" t="s">
        <v>74</v>
      </c>
      <c r="BS5" s="1" t="s">
        <v>123</v>
      </c>
      <c r="BT5" s="1" t="str">
        <f>HYPERLINK("https%3A%2F%2Fwww.webofscience.com%2Fwos%2Fwoscc%2Ffull-record%2FWOS:001152239300002","View Full Record in Web of Science")</f>
        <v>View Full Record in Web of Science</v>
      </c>
    </row>
    <row r="6" ht="12.75" customHeight="1">
      <c r="A6" s="1" t="s">
        <v>72</v>
      </c>
      <c r="B6" s="1" t="s">
        <v>124</v>
      </c>
      <c r="C6" s="1" t="s">
        <v>74</v>
      </c>
      <c r="D6" s="1" t="s">
        <v>74</v>
      </c>
      <c r="E6" s="1" t="s">
        <v>74</v>
      </c>
      <c r="F6" s="1" t="s">
        <v>125</v>
      </c>
      <c r="G6" s="1" t="s">
        <v>74</v>
      </c>
      <c r="H6" s="1" t="s">
        <v>74</v>
      </c>
      <c r="I6" s="1" t="s">
        <v>126</v>
      </c>
      <c r="J6" s="1" t="s">
        <v>127</v>
      </c>
      <c r="K6" s="1" t="s">
        <v>74</v>
      </c>
      <c r="L6" s="1" t="s">
        <v>74</v>
      </c>
      <c r="M6" s="1" t="s">
        <v>74</v>
      </c>
      <c r="N6" s="1" t="s">
        <v>74</v>
      </c>
      <c r="O6" s="1" t="s">
        <v>74</v>
      </c>
      <c r="P6" s="1" t="s">
        <v>74</v>
      </c>
      <c r="Q6" s="1" t="s">
        <v>74</v>
      </c>
      <c r="R6" s="1" t="s">
        <v>74</v>
      </c>
      <c r="S6" s="1" t="s">
        <v>74</v>
      </c>
      <c r="T6" s="1" t="s">
        <v>74</v>
      </c>
      <c r="U6" s="1" t="s">
        <v>74</v>
      </c>
      <c r="V6" s="1" t="s">
        <v>128</v>
      </c>
      <c r="W6" s="1" t="s">
        <v>74</v>
      </c>
      <c r="X6" s="1" t="s">
        <v>74</v>
      </c>
      <c r="Y6" s="1" t="s">
        <v>74</v>
      </c>
      <c r="Z6" s="1" t="s">
        <v>74</v>
      </c>
      <c r="AA6" s="1" t="s">
        <v>129</v>
      </c>
      <c r="AB6" s="1" t="s">
        <v>130</v>
      </c>
      <c r="AC6" s="1" t="s">
        <v>74</v>
      </c>
      <c r="AD6" s="1" t="s">
        <v>74</v>
      </c>
      <c r="AE6" s="1" t="s">
        <v>74</v>
      </c>
      <c r="AF6" s="1" t="s">
        <v>74</v>
      </c>
      <c r="AG6" s="1" t="s">
        <v>74</v>
      </c>
      <c r="AH6" s="1" t="s">
        <v>74</v>
      </c>
      <c r="AI6" s="1" t="s">
        <v>74</v>
      </c>
      <c r="AJ6" s="1" t="s">
        <v>74</v>
      </c>
      <c r="AK6" s="1" t="s">
        <v>74</v>
      </c>
      <c r="AL6" s="1" t="s">
        <v>74</v>
      </c>
      <c r="AM6" s="1" t="s">
        <v>74</v>
      </c>
      <c r="AN6" s="1" t="s">
        <v>74</v>
      </c>
      <c r="AO6" s="1" t="s">
        <v>131</v>
      </c>
      <c r="AP6" s="1" t="s">
        <v>74</v>
      </c>
      <c r="AQ6" s="1" t="s">
        <v>74</v>
      </c>
      <c r="AR6" s="1" t="s">
        <v>74</v>
      </c>
      <c r="AS6" s="1" t="s">
        <v>74</v>
      </c>
      <c r="AT6" s="1" t="s">
        <v>132</v>
      </c>
      <c r="AU6" s="1">
        <v>2023.0</v>
      </c>
      <c r="AV6" s="1">
        <v>15.0</v>
      </c>
      <c r="AW6" s="1" t="s">
        <v>74</v>
      </c>
      <c r="AX6" s="1" t="s">
        <v>74</v>
      </c>
      <c r="AY6" s="1" t="s">
        <v>74</v>
      </c>
      <c r="AZ6" s="1" t="s">
        <v>74</v>
      </c>
      <c r="BA6" s="1" t="s">
        <v>74</v>
      </c>
      <c r="BB6" s="1" t="s">
        <v>74</v>
      </c>
      <c r="BC6" s="1" t="s">
        <v>74</v>
      </c>
      <c r="BD6" s="1">
        <v>1083189.0</v>
      </c>
      <c r="BE6" s="1" t="s">
        <v>133</v>
      </c>
      <c r="BF6" s="2" t="str">
        <f>HYPERLINK("http://dx.doi.org/10.3389/fnmol.2022.1083189","http://dx.doi.org/10.3389/fnmol.2022.1083189")</f>
        <v>http://dx.doi.org/10.3389/fnmol.2022.1083189</v>
      </c>
      <c r="BG6" s="1" t="s">
        <v>74</v>
      </c>
      <c r="BH6" s="1" t="s">
        <v>74</v>
      </c>
      <c r="BI6" s="1" t="s">
        <v>74</v>
      </c>
      <c r="BJ6" s="1" t="s">
        <v>74</v>
      </c>
      <c r="BK6" s="1" t="s">
        <v>74</v>
      </c>
      <c r="BL6" s="1" t="s">
        <v>74</v>
      </c>
      <c r="BM6" s="1" t="s">
        <v>74</v>
      </c>
      <c r="BN6" s="1">
        <v>3.6733271E7</v>
      </c>
      <c r="BO6" s="1" t="s">
        <v>74</v>
      </c>
      <c r="BP6" s="1" t="s">
        <v>74</v>
      </c>
      <c r="BQ6" s="1" t="s">
        <v>74</v>
      </c>
      <c r="BR6" s="1" t="s">
        <v>74</v>
      </c>
      <c r="BS6" s="1" t="s">
        <v>134</v>
      </c>
      <c r="BT6" s="1" t="str">
        <f>HYPERLINK("https%3A%2F%2Fwww.webofscience.com%2Fwos%2Fwoscc%2Ffull-record%2FWOS:000919466300001","View Full Record in Web of Science")</f>
        <v>View Full Record in Web of Science</v>
      </c>
    </row>
    <row r="7" ht="12.75" customHeight="1">
      <c r="A7" s="1" t="s">
        <v>72</v>
      </c>
      <c r="B7" s="1" t="s">
        <v>135</v>
      </c>
      <c r="C7" s="1" t="s">
        <v>74</v>
      </c>
      <c r="D7" s="1" t="s">
        <v>74</v>
      </c>
      <c r="E7" s="1" t="s">
        <v>74</v>
      </c>
      <c r="F7" s="1" t="s">
        <v>136</v>
      </c>
      <c r="G7" s="1" t="s">
        <v>74</v>
      </c>
      <c r="H7" s="1" t="s">
        <v>74</v>
      </c>
      <c r="I7" s="1" t="s">
        <v>137</v>
      </c>
      <c r="J7" s="1" t="s">
        <v>138</v>
      </c>
      <c r="K7" s="1" t="s">
        <v>74</v>
      </c>
      <c r="L7" s="1" t="s">
        <v>74</v>
      </c>
      <c r="M7" s="1" t="s">
        <v>74</v>
      </c>
      <c r="N7" s="1" t="s">
        <v>74</v>
      </c>
      <c r="O7" s="1" t="s">
        <v>74</v>
      </c>
      <c r="P7" s="1" t="s">
        <v>74</v>
      </c>
      <c r="Q7" s="1" t="s">
        <v>74</v>
      </c>
      <c r="R7" s="1" t="s">
        <v>74</v>
      </c>
      <c r="S7" s="1" t="s">
        <v>74</v>
      </c>
      <c r="T7" s="1" t="s">
        <v>74</v>
      </c>
      <c r="U7" s="1" t="s">
        <v>74</v>
      </c>
      <c r="V7" s="1" t="s">
        <v>139</v>
      </c>
      <c r="W7" s="1" t="s">
        <v>74</v>
      </c>
      <c r="X7" s="1" t="s">
        <v>74</v>
      </c>
      <c r="Y7" s="1" t="s">
        <v>74</v>
      </c>
      <c r="Z7" s="1" t="s">
        <v>74</v>
      </c>
      <c r="AA7" s="1" t="s">
        <v>140</v>
      </c>
      <c r="AB7" s="1" t="s">
        <v>141</v>
      </c>
      <c r="AC7" s="1" t="s">
        <v>74</v>
      </c>
      <c r="AD7" s="1" t="s">
        <v>74</v>
      </c>
      <c r="AE7" s="1" t="s">
        <v>74</v>
      </c>
      <c r="AF7" s="1" t="s">
        <v>74</v>
      </c>
      <c r="AG7" s="1" t="s">
        <v>74</v>
      </c>
      <c r="AH7" s="1" t="s">
        <v>74</v>
      </c>
      <c r="AI7" s="1" t="s">
        <v>74</v>
      </c>
      <c r="AJ7" s="1" t="s">
        <v>74</v>
      </c>
      <c r="AK7" s="1" t="s">
        <v>74</v>
      </c>
      <c r="AL7" s="1" t="s">
        <v>74</v>
      </c>
      <c r="AM7" s="1" t="s">
        <v>74</v>
      </c>
      <c r="AN7" s="1" t="s">
        <v>74</v>
      </c>
      <c r="AO7" s="1" t="s">
        <v>74</v>
      </c>
      <c r="AP7" s="1" t="s">
        <v>142</v>
      </c>
      <c r="AQ7" s="1" t="s">
        <v>74</v>
      </c>
      <c r="AR7" s="1" t="s">
        <v>74</v>
      </c>
      <c r="AS7" s="1" t="s">
        <v>74</v>
      </c>
      <c r="AT7" s="1" t="s">
        <v>95</v>
      </c>
      <c r="AU7" s="1">
        <v>2022.0</v>
      </c>
      <c r="AV7" s="1">
        <v>14.0</v>
      </c>
      <c r="AW7" s="1">
        <v>23.0</v>
      </c>
      <c r="AX7" s="1" t="s">
        <v>74</v>
      </c>
      <c r="AY7" s="1" t="s">
        <v>74</v>
      </c>
      <c r="AZ7" s="1" t="s">
        <v>74</v>
      </c>
      <c r="BA7" s="1" t="s">
        <v>74</v>
      </c>
      <c r="BB7" s="1" t="s">
        <v>74</v>
      </c>
      <c r="BC7" s="1" t="s">
        <v>74</v>
      </c>
      <c r="BD7" s="1">
        <v>16269.0</v>
      </c>
      <c r="BE7" s="1" t="s">
        <v>143</v>
      </c>
      <c r="BF7" s="2" t="str">
        <f>HYPERLINK("http://dx.doi.org/10.3390/su142316269","http://dx.doi.org/10.3390/su142316269")</f>
        <v>http://dx.doi.org/10.3390/su142316269</v>
      </c>
      <c r="BG7" s="1" t="s">
        <v>74</v>
      </c>
      <c r="BH7" s="1" t="s">
        <v>74</v>
      </c>
      <c r="BI7" s="1" t="s">
        <v>74</v>
      </c>
      <c r="BJ7" s="1" t="s">
        <v>74</v>
      </c>
      <c r="BK7" s="1" t="s">
        <v>74</v>
      </c>
      <c r="BL7" s="1" t="s">
        <v>74</v>
      </c>
      <c r="BM7" s="1" t="s">
        <v>74</v>
      </c>
      <c r="BN7" s="1" t="s">
        <v>74</v>
      </c>
      <c r="BO7" s="1" t="s">
        <v>74</v>
      </c>
      <c r="BP7" s="1" t="s">
        <v>74</v>
      </c>
      <c r="BQ7" s="1" t="s">
        <v>74</v>
      </c>
      <c r="BR7" s="1" t="s">
        <v>74</v>
      </c>
      <c r="BS7" s="1" t="s">
        <v>144</v>
      </c>
      <c r="BT7" s="1" t="str">
        <f>HYPERLINK("https%3A%2F%2Fwww.webofscience.com%2Fwos%2Fwoscc%2Ffull-record%2FWOS:000896389600001","View Full Record in Web of Science")</f>
        <v>View Full Record in Web of Science</v>
      </c>
    </row>
    <row r="8" ht="12.75" customHeight="1">
      <c r="A8" s="1" t="s">
        <v>72</v>
      </c>
      <c r="B8" s="1" t="s">
        <v>145</v>
      </c>
      <c r="C8" s="1" t="s">
        <v>74</v>
      </c>
      <c r="D8" s="1" t="s">
        <v>74</v>
      </c>
      <c r="E8" s="1" t="s">
        <v>74</v>
      </c>
      <c r="F8" s="1" t="s">
        <v>146</v>
      </c>
      <c r="G8" s="1" t="s">
        <v>74</v>
      </c>
      <c r="H8" s="1" t="s">
        <v>74</v>
      </c>
      <c r="I8" s="1" t="s">
        <v>147</v>
      </c>
      <c r="J8" s="1" t="s">
        <v>148</v>
      </c>
      <c r="K8" s="1" t="s">
        <v>74</v>
      </c>
      <c r="L8" s="1" t="s">
        <v>74</v>
      </c>
      <c r="M8" s="1" t="s">
        <v>74</v>
      </c>
      <c r="N8" s="1" t="s">
        <v>74</v>
      </c>
      <c r="O8" s="1" t="s">
        <v>74</v>
      </c>
      <c r="P8" s="1" t="s">
        <v>74</v>
      </c>
      <c r="Q8" s="1" t="s">
        <v>74</v>
      </c>
      <c r="R8" s="1" t="s">
        <v>74</v>
      </c>
      <c r="S8" s="1" t="s">
        <v>74</v>
      </c>
      <c r="T8" s="1" t="s">
        <v>74</v>
      </c>
      <c r="U8" s="1" t="s">
        <v>74</v>
      </c>
      <c r="V8" s="1" t="s">
        <v>74</v>
      </c>
      <c r="W8" s="1" t="s">
        <v>74</v>
      </c>
      <c r="X8" s="1" t="s">
        <v>74</v>
      </c>
      <c r="Y8" s="1" t="s">
        <v>74</v>
      </c>
      <c r="Z8" s="1" t="s">
        <v>74</v>
      </c>
      <c r="AA8" s="1" t="s">
        <v>149</v>
      </c>
      <c r="AB8" s="1" t="s">
        <v>150</v>
      </c>
      <c r="AC8" s="1" t="s">
        <v>74</v>
      </c>
      <c r="AD8" s="1" t="s">
        <v>74</v>
      </c>
      <c r="AE8" s="1" t="s">
        <v>74</v>
      </c>
      <c r="AF8" s="1" t="s">
        <v>74</v>
      </c>
      <c r="AG8" s="1" t="s">
        <v>74</v>
      </c>
      <c r="AH8" s="1" t="s">
        <v>74</v>
      </c>
      <c r="AI8" s="1" t="s">
        <v>74</v>
      </c>
      <c r="AJ8" s="1" t="s">
        <v>74</v>
      </c>
      <c r="AK8" s="1" t="s">
        <v>74</v>
      </c>
      <c r="AL8" s="1" t="s">
        <v>74</v>
      </c>
      <c r="AM8" s="1" t="s">
        <v>74</v>
      </c>
      <c r="AN8" s="1" t="s">
        <v>74</v>
      </c>
      <c r="AO8" s="1" t="s">
        <v>151</v>
      </c>
      <c r="AP8" s="1" t="s">
        <v>74</v>
      </c>
      <c r="AQ8" s="1" t="s">
        <v>74</v>
      </c>
      <c r="AR8" s="1" t="s">
        <v>74</v>
      </c>
      <c r="AS8" s="1" t="s">
        <v>74</v>
      </c>
      <c r="AT8" s="1" t="s">
        <v>152</v>
      </c>
      <c r="AU8" s="1">
        <v>2022.0</v>
      </c>
      <c r="AV8" s="1">
        <v>10.0</v>
      </c>
      <c r="AW8" s="1" t="s">
        <v>74</v>
      </c>
      <c r="AX8" s="1" t="s">
        <v>74</v>
      </c>
      <c r="AY8" s="1" t="s">
        <v>74</v>
      </c>
      <c r="AZ8" s="1" t="s">
        <v>74</v>
      </c>
      <c r="BA8" s="1" t="s">
        <v>74</v>
      </c>
      <c r="BB8" s="1" t="s">
        <v>74</v>
      </c>
      <c r="BC8" s="1" t="s">
        <v>74</v>
      </c>
      <c r="BD8" s="1">
        <v>1099546.0</v>
      </c>
      <c r="BE8" s="1" t="s">
        <v>153</v>
      </c>
      <c r="BF8" s="2" t="str">
        <f>HYPERLINK("http://dx.doi.org/10.3389/fchem.2022.1099546","http://dx.doi.org/10.3389/fchem.2022.1099546")</f>
        <v>http://dx.doi.org/10.3389/fchem.2022.1099546</v>
      </c>
      <c r="BG8" s="1" t="s">
        <v>74</v>
      </c>
      <c r="BH8" s="1" t="s">
        <v>74</v>
      </c>
      <c r="BI8" s="1" t="s">
        <v>74</v>
      </c>
      <c r="BJ8" s="1" t="s">
        <v>74</v>
      </c>
      <c r="BK8" s="1" t="s">
        <v>74</v>
      </c>
      <c r="BL8" s="1" t="s">
        <v>74</v>
      </c>
      <c r="BM8" s="1" t="s">
        <v>74</v>
      </c>
      <c r="BN8" s="1">
        <v>3.6531322E7</v>
      </c>
      <c r="BO8" s="1" t="s">
        <v>74</v>
      </c>
      <c r="BP8" s="1" t="s">
        <v>74</v>
      </c>
      <c r="BQ8" s="1" t="s">
        <v>74</v>
      </c>
      <c r="BR8" s="1" t="s">
        <v>74</v>
      </c>
      <c r="BS8" s="1" t="s">
        <v>154</v>
      </c>
      <c r="BT8" s="1" t="str">
        <f>HYPERLINK("https%3A%2F%2Fwww.webofscience.com%2Fwos%2Fwoscc%2Ffull-record%2FWOS:000898846700001","View Full Record in Web of Science")</f>
        <v>View Full Record in Web of Science</v>
      </c>
    </row>
    <row r="9" ht="12.75" customHeight="1">
      <c r="A9" s="1" t="s">
        <v>72</v>
      </c>
      <c r="B9" s="1" t="s">
        <v>155</v>
      </c>
      <c r="C9" s="1" t="s">
        <v>74</v>
      </c>
      <c r="D9" s="1" t="s">
        <v>74</v>
      </c>
      <c r="E9" s="1" t="s">
        <v>74</v>
      </c>
      <c r="F9" s="1" t="s">
        <v>156</v>
      </c>
      <c r="G9" s="1" t="s">
        <v>74</v>
      </c>
      <c r="H9" s="1" t="s">
        <v>74</v>
      </c>
      <c r="I9" s="1" t="s">
        <v>157</v>
      </c>
      <c r="J9" s="1" t="s">
        <v>158</v>
      </c>
      <c r="K9" s="1" t="s">
        <v>74</v>
      </c>
      <c r="L9" s="1" t="s">
        <v>74</v>
      </c>
      <c r="M9" s="1" t="s">
        <v>74</v>
      </c>
      <c r="N9" s="1" t="s">
        <v>74</v>
      </c>
      <c r="O9" s="1" t="s">
        <v>74</v>
      </c>
      <c r="P9" s="1" t="s">
        <v>74</v>
      </c>
      <c r="Q9" s="1" t="s">
        <v>74</v>
      </c>
      <c r="R9" s="1" t="s">
        <v>74</v>
      </c>
      <c r="S9" s="1" t="s">
        <v>74</v>
      </c>
      <c r="T9" s="1" t="s">
        <v>74</v>
      </c>
      <c r="U9" s="1" t="s">
        <v>74</v>
      </c>
      <c r="V9" s="1" t="s">
        <v>159</v>
      </c>
      <c r="W9" s="1" t="s">
        <v>74</v>
      </c>
      <c r="X9" s="1" t="s">
        <v>74</v>
      </c>
      <c r="Y9" s="1" t="s">
        <v>74</v>
      </c>
      <c r="Z9" s="1" t="s">
        <v>74</v>
      </c>
      <c r="AA9" s="1" t="s">
        <v>160</v>
      </c>
      <c r="AB9" s="1" t="s">
        <v>161</v>
      </c>
      <c r="AC9" s="1" t="s">
        <v>74</v>
      </c>
      <c r="AD9" s="1" t="s">
        <v>74</v>
      </c>
      <c r="AE9" s="1" t="s">
        <v>74</v>
      </c>
      <c r="AF9" s="1" t="s">
        <v>74</v>
      </c>
      <c r="AG9" s="1" t="s">
        <v>74</v>
      </c>
      <c r="AH9" s="1" t="s">
        <v>74</v>
      </c>
      <c r="AI9" s="1" t="s">
        <v>74</v>
      </c>
      <c r="AJ9" s="1" t="s">
        <v>74</v>
      </c>
      <c r="AK9" s="1" t="s">
        <v>74</v>
      </c>
      <c r="AL9" s="1" t="s">
        <v>74</v>
      </c>
      <c r="AM9" s="1" t="s">
        <v>74</v>
      </c>
      <c r="AN9" s="1" t="s">
        <v>74</v>
      </c>
      <c r="AO9" s="1" t="s">
        <v>162</v>
      </c>
      <c r="AP9" s="1" t="s">
        <v>163</v>
      </c>
      <c r="AQ9" s="1" t="s">
        <v>74</v>
      </c>
      <c r="AR9" s="1" t="s">
        <v>74</v>
      </c>
      <c r="AS9" s="1" t="s">
        <v>74</v>
      </c>
      <c r="AT9" s="1" t="s">
        <v>164</v>
      </c>
      <c r="AU9" s="1">
        <v>2022.0</v>
      </c>
      <c r="AV9" s="1">
        <v>32.0</v>
      </c>
      <c r="AW9" s="1">
        <v>3.0</v>
      </c>
      <c r="AX9" s="1" t="s">
        <v>74</v>
      </c>
      <c r="AY9" s="1" t="s">
        <v>74</v>
      </c>
      <c r="AZ9" s="1" t="s">
        <v>74</v>
      </c>
      <c r="BA9" s="1" t="s">
        <v>74</v>
      </c>
      <c r="BB9" s="1">
        <v>1941.0</v>
      </c>
      <c r="BC9" s="1">
        <v>1962.0</v>
      </c>
      <c r="BD9" s="1" t="s">
        <v>74</v>
      </c>
      <c r="BE9" s="1" t="s">
        <v>165</v>
      </c>
      <c r="BF9" s="2" t="str">
        <f>HYPERLINK("http://dx.doi.org/10.1007/s10798-021-09676-4","http://dx.doi.org/10.1007/s10798-021-09676-4")</f>
        <v>http://dx.doi.org/10.1007/s10798-021-09676-4</v>
      </c>
      <c r="BG9" s="1" t="s">
        <v>74</v>
      </c>
      <c r="BH9" s="1" t="s">
        <v>166</v>
      </c>
      <c r="BI9" s="1" t="s">
        <v>74</v>
      </c>
      <c r="BJ9" s="1" t="s">
        <v>74</v>
      </c>
      <c r="BK9" s="1" t="s">
        <v>74</v>
      </c>
      <c r="BL9" s="1" t="s">
        <v>74</v>
      </c>
      <c r="BM9" s="1" t="s">
        <v>74</v>
      </c>
      <c r="BN9" s="1">
        <v>3.4413577E7</v>
      </c>
      <c r="BO9" s="1" t="s">
        <v>74</v>
      </c>
      <c r="BP9" s="1" t="s">
        <v>74</v>
      </c>
      <c r="BQ9" s="1" t="s">
        <v>74</v>
      </c>
      <c r="BR9" s="1" t="s">
        <v>74</v>
      </c>
      <c r="BS9" s="1" t="s">
        <v>167</v>
      </c>
      <c r="BT9" s="1" t="str">
        <f>HYPERLINK("https%3A%2F%2Fwww.webofscience.com%2Fwos%2Fwoscc%2Ffull-record%2FWOS:000685143100001","View Full Record in Web of Science")</f>
        <v>View Full Record in Web of Science</v>
      </c>
    </row>
    <row r="10" ht="12.75" customHeight="1">
      <c r="A10" s="1" t="s">
        <v>72</v>
      </c>
      <c r="B10" s="1" t="s">
        <v>168</v>
      </c>
      <c r="C10" s="1" t="s">
        <v>74</v>
      </c>
      <c r="D10" s="1" t="s">
        <v>74</v>
      </c>
      <c r="E10" s="1" t="s">
        <v>74</v>
      </c>
      <c r="F10" s="1" t="s">
        <v>169</v>
      </c>
      <c r="G10" s="1" t="s">
        <v>74</v>
      </c>
      <c r="H10" s="1" t="s">
        <v>74</v>
      </c>
      <c r="I10" s="1" t="s">
        <v>170</v>
      </c>
      <c r="J10" s="1" t="s">
        <v>171</v>
      </c>
      <c r="K10" s="1" t="s">
        <v>74</v>
      </c>
      <c r="L10" s="1" t="s">
        <v>74</v>
      </c>
      <c r="M10" s="1" t="s">
        <v>74</v>
      </c>
      <c r="N10" s="1" t="s">
        <v>74</v>
      </c>
      <c r="O10" s="1" t="s">
        <v>74</v>
      </c>
      <c r="P10" s="1" t="s">
        <v>74</v>
      </c>
      <c r="Q10" s="1" t="s">
        <v>74</v>
      </c>
      <c r="R10" s="1" t="s">
        <v>74</v>
      </c>
      <c r="S10" s="1" t="s">
        <v>74</v>
      </c>
      <c r="T10" s="1" t="s">
        <v>74</v>
      </c>
      <c r="U10" s="1" t="s">
        <v>74</v>
      </c>
      <c r="V10" s="1" t="s">
        <v>172</v>
      </c>
      <c r="W10" s="1" t="s">
        <v>74</v>
      </c>
      <c r="X10" s="1" t="s">
        <v>74</v>
      </c>
      <c r="Y10" s="1" t="s">
        <v>74</v>
      </c>
      <c r="Z10" s="1" t="s">
        <v>74</v>
      </c>
      <c r="AA10" s="1" t="s">
        <v>173</v>
      </c>
      <c r="AB10" s="1" t="s">
        <v>174</v>
      </c>
      <c r="AC10" s="1" t="s">
        <v>74</v>
      </c>
      <c r="AD10" s="1" t="s">
        <v>74</v>
      </c>
      <c r="AE10" s="1" t="s">
        <v>74</v>
      </c>
      <c r="AF10" s="1" t="s">
        <v>74</v>
      </c>
      <c r="AG10" s="1" t="s">
        <v>74</v>
      </c>
      <c r="AH10" s="1" t="s">
        <v>74</v>
      </c>
      <c r="AI10" s="1" t="s">
        <v>74</v>
      </c>
      <c r="AJ10" s="1" t="s">
        <v>74</v>
      </c>
      <c r="AK10" s="1" t="s">
        <v>74</v>
      </c>
      <c r="AL10" s="1" t="s">
        <v>74</v>
      </c>
      <c r="AM10" s="1" t="s">
        <v>74</v>
      </c>
      <c r="AN10" s="1" t="s">
        <v>74</v>
      </c>
      <c r="AO10" s="1" t="s">
        <v>74</v>
      </c>
      <c r="AP10" s="1" t="s">
        <v>175</v>
      </c>
      <c r="AQ10" s="1" t="s">
        <v>74</v>
      </c>
      <c r="AR10" s="1" t="s">
        <v>74</v>
      </c>
      <c r="AS10" s="1" t="s">
        <v>74</v>
      </c>
      <c r="AT10" s="1" t="s">
        <v>83</v>
      </c>
      <c r="AU10" s="1">
        <v>2021.0</v>
      </c>
      <c r="AV10" s="1">
        <v>11.0</v>
      </c>
      <c r="AW10" s="1">
        <v>3.0</v>
      </c>
      <c r="AX10" s="1" t="s">
        <v>74</v>
      </c>
      <c r="AY10" s="1" t="s">
        <v>74</v>
      </c>
      <c r="AZ10" s="1" t="s">
        <v>74</v>
      </c>
      <c r="BA10" s="1" t="s">
        <v>74</v>
      </c>
      <c r="BB10" s="1" t="s">
        <v>74</v>
      </c>
      <c r="BC10" s="1" t="s">
        <v>74</v>
      </c>
      <c r="BD10" s="1">
        <v>180.0</v>
      </c>
      <c r="BE10" s="1" t="s">
        <v>176</v>
      </c>
      <c r="BF10" s="2" t="str">
        <f>HYPERLINK("http://dx.doi.org/10.3390/membranes11030180","http://dx.doi.org/10.3390/membranes11030180")</f>
        <v>http://dx.doi.org/10.3390/membranes11030180</v>
      </c>
      <c r="BG10" s="1" t="s">
        <v>74</v>
      </c>
      <c r="BH10" s="1" t="s">
        <v>74</v>
      </c>
      <c r="BI10" s="1" t="s">
        <v>74</v>
      </c>
      <c r="BJ10" s="1" t="s">
        <v>74</v>
      </c>
      <c r="BK10" s="1" t="s">
        <v>74</v>
      </c>
      <c r="BL10" s="1" t="s">
        <v>74</v>
      </c>
      <c r="BM10" s="1" t="s">
        <v>74</v>
      </c>
      <c r="BN10" s="1">
        <v>3.380787E7</v>
      </c>
      <c r="BO10" s="1" t="s">
        <v>74</v>
      </c>
      <c r="BP10" s="1" t="s">
        <v>74</v>
      </c>
      <c r="BQ10" s="1" t="s">
        <v>74</v>
      </c>
      <c r="BR10" s="1" t="s">
        <v>74</v>
      </c>
      <c r="BS10" s="1" t="s">
        <v>177</v>
      </c>
      <c r="BT10" s="1" t="str">
        <f>HYPERLINK("https%3A%2F%2Fwww.webofscience.com%2Fwos%2Fwoscc%2Ffull-record%2FWOS:000633859000001","View Full Record in Web of Science")</f>
        <v>View Full Record in Web of Science</v>
      </c>
    </row>
    <row r="11" ht="12.75" customHeight="1">
      <c r="A11" s="1" t="s">
        <v>72</v>
      </c>
      <c r="B11" s="1" t="s">
        <v>178</v>
      </c>
      <c r="C11" s="1" t="s">
        <v>74</v>
      </c>
      <c r="D11" s="1" t="s">
        <v>74</v>
      </c>
      <c r="E11" s="1" t="s">
        <v>74</v>
      </c>
      <c r="F11" s="1" t="s">
        <v>179</v>
      </c>
      <c r="G11" s="1" t="s">
        <v>74</v>
      </c>
      <c r="H11" s="1" t="s">
        <v>74</v>
      </c>
      <c r="I11" s="1" t="s">
        <v>180</v>
      </c>
      <c r="J11" s="1" t="s">
        <v>181</v>
      </c>
      <c r="K11" s="1" t="s">
        <v>74</v>
      </c>
      <c r="L11" s="1" t="s">
        <v>74</v>
      </c>
      <c r="M11" s="1" t="s">
        <v>74</v>
      </c>
      <c r="N11" s="1" t="s">
        <v>74</v>
      </c>
      <c r="O11" s="1" t="s">
        <v>74</v>
      </c>
      <c r="P11" s="1" t="s">
        <v>74</v>
      </c>
      <c r="Q11" s="1" t="s">
        <v>74</v>
      </c>
      <c r="R11" s="1" t="s">
        <v>74</v>
      </c>
      <c r="S11" s="1" t="s">
        <v>74</v>
      </c>
      <c r="T11" s="1" t="s">
        <v>74</v>
      </c>
      <c r="U11" s="1" t="s">
        <v>74</v>
      </c>
      <c r="V11" s="1" t="s">
        <v>182</v>
      </c>
      <c r="W11" s="1" t="s">
        <v>74</v>
      </c>
      <c r="X11" s="1" t="s">
        <v>74</v>
      </c>
      <c r="Y11" s="1" t="s">
        <v>74</v>
      </c>
      <c r="Z11" s="1" t="s">
        <v>74</v>
      </c>
      <c r="AA11" s="1" t="s">
        <v>183</v>
      </c>
      <c r="AB11" s="1" t="s">
        <v>184</v>
      </c>
      <c r="AC11" s="1" t="s">
        <v>74</v>
      </c>
      <c r="AD11" s="1" t="s">
        <v>74</v>
      </c>
      <c r="AE11" s="1" t="s">
        <v>74</v>
      </c>
      <c r="AF11" s="1" t="s">
        <v>74</v>
      </c>
      <c r="AG11" s="1" t="s">
        <v>74</v>
      </c>
      <c r="AH11" s="1" t="s">
        <v>74</v>
      </c>
      <c r="AI11" s="1" t="s">
        <v>74</v>
      </c>
      <c r="AJ11" s="1" t="s">
        <v>74</v>
      </c>
      <c r="AK11" s="1" t="s">
        <v>74</v>
      </c>
      <c r="AL11" s="1" t="s">
        <v>74</v>
      </c>
      <c r="AM11" s="1" t="s">
        <v>74</v>
      </c>
      <c r="AN11" s="1" t="s">
        <v>74</v>
      </c>
      <c r="AO11" s="1" t="s">
        <v>185</v>
      </c>
      <c r="AP11" s="1" t="s">
        <v>186</v>
      </c>
      <c r="AQ11" s="1" t="s">
        <v>74</v>
      </c>
      <c r="AR11" s="1" t="s">
        <v>74</v>
      </c>
      <c r="AS11" s="1" t="s">
        <v>74</v>
      </c>
      <c r="AT11" s="1" t="s">
        <v>187</v>
      </c>
      <c r="AU11" s="1">
        <v>2021.0</v>
      </c>
      <c r="AV11" s="1">
        <v>15.0</v>
      </c>
      <c r="AW11" s="1">
        <v>2.0</v>
      </c>
      <c r="AX11" s="1" t="s">
        <v>74</v>
      </c>
      <c r="AY11" s="1" t="s">
        <v>74</v>
      </c>
      <c r="AZ11" s="1" t="s">
        <v>74</v>
      </c>
      <c r="BA11" s="1" t="s">
        <v>74</v>
      </c>
      <c r="BB11" s="1">
        <v>1139.0</v>
      </c>
      <c r="BC11" s="1">
        <v>1160.0</v>
      </c>
      <c r="BD11" s="1" t="s">
        <v>74</v>
      </c>
      <c r="BE11" s="1" t="s">
        <v>188</v>
      </c>
      <c r="BF11" s="2" t="str">
        <f>HYPERLINK("http://dx.doi.org/10.1007/s11694-020-00699-4","http://dx.doi.org/10.1007/s11694-020-00699-4")</f>
        <v>http://dx.doi.org/10.1007/s11694-020-00699-4</v>
      </c>
      <c r="BG11" s="1" t="s">
        <v>74</v>
      </c>
      <c r="BH11" s="1" t="s">
        <v>189</v>
      </c>
      <c r="BI11" s="1" t="s">
        <v>74</v>
      </c>
      <c r="BJ11" s="1" t="s">
        <v>74</v>
      </c>
      <c r="BK11" s="1" t="s">
        <v>74</v>
      </c>
      <c r="BL11" s="1" t="s">
        <v>74</v>
      </c>
      <c r="BM11" s="1" t="s">
        <v>74</v>
      </c>
      <c r="BN11" s="1" t="s">
        <v>74</v>
      </c>
      <c r="BO11" s="1" t="s">
        <v>74</v>
      </c>
      <c r="BP11" s="1" t="s">
        <v>74</v>
      </c>
      <c r="BQ11" s="1" t="s">
        <v>74</v>
      </c>
      <c r="BR11" s="1" t="s">
        <v>74</v>
      </c>
      <c r="BS11" s="1" t="s">
        <v>190</v>
      </c>
      <c r="BT11" s="1" t="str">
        <f>HYPERLINK("https%3A%2F%2Fwww.webofscience.com%2Fwos%2Fwoscc%2Ffull-record%2FWOS:000583472400001","View Full Record in Web of Science")</f>
        <v>View Full Record in Web of Science</v>
      </c>
    </row>
    <row r="12" ht="12.75" customHeight="1">
      <c r="A12" s="1" t="s">
        <v>72</v>
      </c>
      <c r="B12" s="1" t="s">
        <v>191</v>
      </c>
      <c r="C12" s="1" t="s">
        <v>74</v>
      </c>
      <c r="D12" s="1" t="s">
        <v>74</v>
      </c>
      <c r="E12" s="1" t="s">
        <v>74</v>
      </c>
      <c r="F12" s="1" t="s">
        <v>192</v>
      </c>
      <c r="G12" s="1" t="s">
        <v>74</v>
      </c>
      <c r="H12" s="1" t="s">
        <v>74</v>
      </c>
      <c r="I12" s="1" t="s">
        <v>193</v>
      </c>
      <c r="J12" s="1" t="s">
        <v>194</v>
      </c>
      <c r="K12" s="1" t="s">
        <v>74</v>
      </c>
      <c r="L12" s="1" t="s">
        <v>74</v>
      </c>
      <c r="M12" s="1" t="s">
        <v>74</v>
      </c>
      <c r="N12" s="1" t="s">
        <v>74</v>
      </c>
      <c r="O12" s="1" t="s">
        <v>74</v>
      </c>
      <c r="P12" s="1" t="s">
        <v>74</v>
      </c>
      <c r="Q12" s="1" t="s">
        <v>74</v>
      </c>
      <c r="R12" s="1" t="s">
        <v>74</v>
      </c>
      <c r="S12" s="1" t="s">
        <v>74</v>
      </c>
      <c r="T12" s="1" t="s">
        <v>74</v>
      </c>
      <c r="U12" s="1" t="s">
        <v>74</v>
      </c>
      <c r="V12" s="1" t="s">
        <v>195</v>
      </c>
      <c r="W12" s="1" t="s">
        <v>74</v>
      </c>
      <c r="X12" s="1" t="s">
        <v>74</v>
      </c>
      <c r="Y12" s="1" t="s">
        <v>74</v>
      </c>
      <c r="Z12" s="1" t="s">
        <v>74</v>
      </c>
      <c r="AA12" s="1" t="s">
        <v>196</v>
      </c>
      <c r="AB12" s="1" t="s">
        <v>197</v>
      </c>
      <c r="AC12" s="1" t="s">
        <v>74</v>
      </c>
      <c r="AD12" s="1" t="s">
        <v>74</v>
      </c>
      <c r="AE12" s="1" t="s">
        <v>74</v>
      </c>
      <c r="AF12" s="1" t="s">
        <v>74</v>
      </c>
      <c r="AG12" s="1" t="s">
        <v>74</v>
      </c>
      <c r="AH12" s="1" t="s">
        <v>74</v>
      </c>
      <c r="AI12" s="1" t="s">
        <v>74</v>
      </c>
      <c r="AJ12" s="1" t="s">
        <v>74</v>
      </c>
      <c r="AK12" s="1" t="s">
        <v>74</v>
      </c>
      <c r="AL12" s="1" t="s">
        <v>74</v>
      </c>
      <c r="AM12" s="1" t="s">
        <v>74</v>
      </c>
      <c r="AN12" s="1" t="s">
        <v>74</v>
      </c>
      <c r="AO12" s="1" t="s">
        <v>198</v>
      </c>
      <c r="AP12" s="1" t="s">
        <v>199</v>
      </c>
      <c r="AQ12" s="1" t="s">
        <v>74</v>
      </c>
      <c r="AR12" s="1" t="s">
        <v>74</v>
      </c>
      <c r="AS12" s="1" t="s">
        <v>74</v>
      </c>
      <c r="AT12" s="1" t="s">
        <v>200</v>
      </c>
      <c r="AU12" s="1">
        <v>2020.0</v>
      </c>
      <c r="AV12" s="1">
        <v>59.0</v>
      </c>
      <c r="AW12" s="1">
        <v>20.0</v>
      </c>
      <c r="AX12" s="1" t="s">
        <v>74</v>
      </c>
      <c r="AY12" s="1" t="s">
        <v>74</v>
      </c>
      <c r="AZ12" s="1" t="s">
        <v>74</v>
      </c>
      <c r="BA12" s="1" t="s">
        <v>74</v>
      </c>
      <c r="BB12" s="1">
        <v>15061.0</v>
      </c>
      <c r="BC12" s="1">
        <v>15073.0</v>
      </c>
      <c r="BD12" s="1" t="s">
        <v>74</v>
      </c>
      <c r="BE12" s="1" t="s">
        <v>201</v>
      </c>
      <c r="BF12" s="2" t="str">
        <f>HYPERLINK("http://dx.doi.org/10.1021/acs.inorgchem.0c02037","http://dx.doi.org/10.1021/acs.inorgchem.0c02037")</f>
        <v>http://dx.doi.org/10.1021/acs.inorgchem.0c02037</v>
      </c>
      <c r="BG12" s="1" t="s">
        <v>74</v>
      </c>
      <c r="BH12" s="1" t="s">
        <v>74</v>
      </c>
      <c r="BI12" s="1" t="s">
        <v>74</v>
      </c>
      <c r="BJ12" s="1" t="s">
        <v>74</v>
      </c>
      <c r="BK12" s="1" t="s">
        <v>74</v>
      </c>
      <c r="BL12" s="1" t="s">
        <v>74</v>
      </c>
      <c r="BM12" s="1" t="s">
        <v>74</v>
      </c>
      <c r="BN12" s="1">
        <v>3.3021785E7</v>
      </c>
      <c r="BO12" s="1" t="s">
        <v>74</v>
      </c>
      <c r="BP12" s="1" t="s">
        <v>74</v>
      </c>
      <c r="BQ12" s="1" t="s">
        <v>74</v>
      </c>
      <c r="BR12" s="1" t="s">
        <v>74</v>
      </c>
      <c r="BS12" s="1" t="s">
        <v>202</v>
      </c>
      <c r="BT12" s="1" t="str">
        <f>HYPERLINK("https%3A%2F%2Fwww.webofscience.com%2Fwos%2Fwoscc%2Ffull-record%2FWOS:000584351700042","View Full Record in Web of Science")</f>
        <v>View Full Record in Web of Science</v>
      </c>
    </row>
    <row r="13" ht="12.75" customHeight="1">
      <c r="A13" s="1" t="s">
        <v>72</v>
      </c>
      <c r="B13" s="1" t="s">
        <v>203</v>
      </c>
      <c r="C13" s="1" t="s">
        <v>74</v>
      </c>
      <c r="D13" s="1" t="s">
        <v>74</v>
      </c>
      <c r="E13" s="1" t="s">
        <v>74</v>
      </c>
      <c r="F13" s="1" t="s">
        <v>204</v>
      </c>
      <c r="G13" s="1" t="s">
        <v>74</v>
      </c>
      <c r="H13" s="1" t="s">
        <v>74</v>
      </c>
      <c r="I13" s="1" t="s">
        <v>205</v>
      </c>
      <c r="J13" s="1" t="s">
        <v>206</v>
      </c>
      <c r="K13" s="1" t="s">
        <v>74</v>
      </c>
      <c r="L13" s="1" t="s">
        <v>74</v>
      </c>
      <c r="M13" s="1" t="s">
        <v>74</v>
      </c>
      <c r="N13" s="1" t="s">
        <v>74</v>
      </c>
      <c r="O13" s="1" t="s">
        <v>74</v>
      </c>
      <c r="P13" s="1" t="s">
        <v>74</v>
      </c>
      <c r="Q13" s="1" t="s">
        <v>74</v>
      </c>
      <c r="R13" s="1" t="s">
        <v>74</v>
      </c>
      <c r="S13" s="1" t="s">
        <v>74</v>
      </c>
      <c r="T13" s="1" t="s">
        <v>74</v>
      </c>
      <c r="U13" s="1" t="s">
        <v>74</v>
      </c>
      <c r="V13" s="1" t="s">
        <v>207</v>
      </c>
      <c r="W13" s="1" t="s">
        <v>74</v>
      </c>
      <c r="X13" s="1" t="s">
        <v>74</v>
      </c>
      <c r="Y13" s="1" t="s">
        <v>74</v>
      </c>
      <c r="Z13" s="1" t="s">
        <v>74</v>
      </c>
      <c r="AA13" s="1" t="s">
        <v>208</v>
      </c>
      <c r="AB13" s="1" t="s">
        <v>209</v>
      </c>
      <c r="AC13" s="1" t="s">
        <v>74</v>
      </c>
      <c r="AD13" s="1" t="s">
        <v>74</v>
      </c>
      <c r="AE13" s="1" t="s">
        <v>74</v>
      </c>
      <c r="AF13" s="1" t="s">
        <v>74</v>
      </c>
      <c r="AG13" s="1" t="s">
        <v>74</v>
      </c>
      <c r="AH13" s="1" t="s">
        <v>74</v>
      </c>
      <c r="AI13" s="1" t="s">
        <v>74</v>
      </c>
      <c r="AJ13" s="1" t="s">
        <v>74</v>
      </c>
      <c r="AK13" s="1" t="s">
        <v>74</v>
      </c>
      <c r="AL13" s="1" t="s">
        <v>74</v>
      </c>
      <c r="AM13" s="1" t="s">
        <v>74</v>
      </c>
      <c r="AN13" s="1" t="s">
        <v>74</v>
      </c>
      <c r="AO13" s="1" t="s">
        <v>210</v>
      </c>
      <c r="AP13" s="1" t="s">
        <v>211</v>
      </c>
      <c r="AQ13" s="1" t="s">
        <v>74</v>
      </c>
      <c r="AR13" s="1" t="s">
        <v>74</v>
      </c>
      <c r="AS13" s="1" t="s">
        <v>74</v>
      </c>
      <c r="AT13" s="1" t="s">
        <v>212</v>
      </c>
      <c r="AU13" s="1">
        <v>2020.0</v>
      </c>
      <c r="AV13" s="1">
        <v>512.0</v>
      </c>
      <c r="AW13" s="1" t="s">
        <v>74</v>
      </c>
      <c r="AX13" s="1" t="s">
        <v>74</v>
      </c>
      <c r="AY13" s="1" t="s">
        <v>74</v>
      </c>
      <c r="AZ13" s="1" t="s">
        <v>74</v>
      </c>
      <c r="BA13" s="1" t="s">
        <v>74</v>
      </c>
      <c r="BB13" s="1" t="s">
        <v>74</v>
      </c>
      <c r="BC13" s="1" t="s">
        <v>74</v>
      </c>
      <c r="BD13" s="1">
        <v>167045.0</v>
      </c>
      <c r="BE13" s="1" t="s">
        <v>213</v>
      </c>
      <c r="BF13" s="2" t="str">
        <f>HYPERLINK("http://dx.doi.org/10.1016/j.jmmm.2020.167045","http://dx.doi.org/10.1016/j.jmmm.2020.167045")</f>
        <v>http://dx.doi.org/10.1016/j.jmmm.2020.167045</v>
      </c>
      <c r="BG13" s="1" t="s">
        <v>74</v>
      </c>
      <c r="BH13" s="1" t="s">
        <v>74</v>
      </c>
      <c r="BI13" s="1" t="s">
        <v>74</v>
      </c>
      <c r="BJ13" s="1" t="s">
        <v>74</v>
      </c>
      <c r="BK13" s="1" t="s">
        <v>74</v>
      </c>
      <c r="BL13" s="1" t="s">
        <v>74</v>
      </c>
      <c r="BM13" s="1" t="s">
        <v>74</v>
      </c>
      <c r="BN13" s="1" t="s">
        <v>74</v>
      </c>
      <c r="BO13" s="1" t="s">
        <v>74</v>
      </c>
      <c r="BP13" s="1" t="s">
        <v>74</v>
      </c>
      <c r="BQ13" s="1" t="s">
        <v>74</v>
      </c>
      <c r="BR13" s="1" t="s">
        <v>74</v>
      </c>
      <c r="BS13" s="1" t="s">
        <v>214</v>
      </c>
      <c r="BT13" s="1" t="str">
        <f>HYPERLINK("https%3A%2F%2Fwww.webofscience.com%2Fwos%2Fwoscc%2Ffull-record%2FWOS:000539946400001","View Full Record in Web of Science")</f>
        <v>View Full Record in Web of Science</v>
      </c>
    </row>
    <row r="14" ht="12.75" customHeight="1">
      <c r="A14" s="1" t="s">
        <v>72</v>
      </c>
      <c r="B14" s="1" t="s">
        <v>215</v>
      </c>
      <c r="C14" s="1" t="s">
        <v>74</v>
      </c>
      <c r="D14" s="1" t="s">
        <v>74</v>
      </c>
      <c r="E14" s="1" t="s">
        <v>74</v>
      </c>
      <c r="F14" s="1" t="s">
        <v>216</v>
      </c>
      <c r="G14" s="1" t="s">
        <v>74</v>
      </c>
      <c r="H14" s="1" t="s">
        <v>74</v>
      </c>
      <c r="I14" s="1" t="s">
        <v>217</v>
      </c>
      <c r="J14" s="1" t="s">
        <v>218</v>
      </c>
      <c r="K14" s="1" t="s">
        <v>74</v>
      </c>
      <c r="L14" s="1" t="s">
        <v>74</v>
      </c>
      <c r="M14" s="1" t="s">
        <v>74</v>
      </c>
      <c r="N14" s="1" t="s">
        <v>74</v>
      </c>
      <c r="O14" s="1" t="s">
        <v>74</v>
      </c>
      <c r="P14" s="1" t="s">
        <v>74</v>
      </c>
      <c r="Q14" s="1" t="s">
        <v>74</v>
      </c>
      <c r="R14" s="1" t="s">
        <v>74</v>
      </c>
      <c r="S14" s="1" t="s">
        <v>74</v>
      </c>
      <c r="T14" s="1" t="s">
        <v>74</v>
      </c>
      <c r="U14" s="1" t="s">
        <v>74</v>
      </c>
      <c r="V14" s="1" t="s">
        <v>219</v>
      </c>
      <c r="W14" s="1" t="s">
        <v>74</v>
      </c>
      <c r="X14" s="1" t="s">
        <v>74</v>
      </c>
      <c r="Y14" s="1" t="s">
        <v>74</v>
      </c>
      <c r="Z14" s="1" t="s">
        <v>74</v>
      </c>
      <c r="AA14" s="1" t="s">
        <v>74</v>
      </c>
      <c r="AB14" s="1" t="s">
        <v>74</v>
      </c>
      <c r="AC14" s="1" t="s">
        <v>74</v>
      </c>
      <c r="AD14" s="1" t="s">
        <v>74</v>
      </c>
      <c r="AE14" s="1" t="s">
        <v>74</v>
      </c>
      <c r="AF14" s="1" t="s">
        <v>74</v>
      </c>
      <c r="AG14" s="1" t="s">
        <v>74</v>
      </c>
      <c r="AH14" s="1" t="s">
        <v>74</v>
      </c>
      <c r="AI14" s="1" t="s">
        <v>74</v>
      </c>
      <c r="AJ14" s="1" t="s">
        <v>74</v>
      </c>
      <c r="AK14" s="1" t="s">
        <v>74</v>
      </c>
      <c r="AL14" s="1" t="s">
        <v>74</v>
      </c>
      <c r="AM14" s="1" t="s">
        <v>74</v>
      </c>
      <c r="AN14" s="1" t="s">
        <v>74</v>
      </c>
      <c r="AO14" s="1" t="s">
        <v>220</v>
      </c>
      <c r="AP14" s="1" t="s">
        <v>221</v>
      </c>
      <c r="AQ14" s="1" t="s">
        <v>74</v>
      </c>
      <c r="AR14" s="1" t="s">
        <v>74</v>
      </c>
      <c r="AS14" s="1" t="s">
        <v>74</v>
      </c>
      <c r="AT14" s="1" t="s">
        <v>83</v>
      </c>
      <c r="AU14" s="1">
        <v>2020.0</v>
      </c>
      <c r="AV14" s="1">
        <v>70.0</v>
      </c>
      <c r="AW14" s="1">
        <v>3.0</v>
      </c>
      <c r="AX14" s="1" t="s">
        <v>74</v>
      </c>
      <c r="AY14" s="1" t="s">
        <v>74</v>
      </c>
      <c r="AZ14" s="1" t="s">
        <v>74</v>
      </c>
      <c r="BA14" s="1" t="s">
        <v>74</v>
      </c>
      <c r="BB14" s="1">
        <v>375.0</v>
      </c>
      <c r="BC14" s="1">
        <v>380.0</v>
      </c>
      <c r="BD14" s="1" t="s">
        <v>74</v>
      </c>
      <c r="BE14" s="1" t="s">
        <v>222</v>
      </c>
      <c r="BF14" s="2" t="str">
        <f>HYPERLINK("http://dx.doi.org/10.1097/MPG.0000000000002581","http://dx.doi.org/10.1097/MPG.0000000000002581")</f>
        <v>http://dx.doi.org/10.1097/MPG.0000000000002581</v>
      </c>
      <c r="BG14" s="1" t="s">
        <v>74</v>
      </c>
      <c r="BH14" s="1" t="s">
        <v>74</v>
      </c>
      <c r="BI14" s="1" t="s">
        <v>74</v>
      </c>
      <c r="BJ14" s="1" t="s">
        <v>74</v>
      </c>
      <c r="BK14" s="1" t="s">
        <v>74</v>
      </c>
      <c r="BL14" s="1" t="s">
        <v>74</v>
      </c>
      <c r="BM14" s="1" t="s">
        <v>74</v>
      </c>
      <c r="BN14" s="1">
        <v>3.1834112E7</v>
      </c>
      <c r="BO14" s="1" t="s">
        <v>74</v>
      </c>
      <c r="BP14" s="1" t="s">
        <v>74</v>
      </c>
      <c r="BQ14" s="1" t="s">
        <v>74</v>
      </c>
      <c r="BR14" s="1" t="s">
        <v>74</v>
      </c>
      <c r="BS14" s="1" t="s">
        <v>223</v>
      </c>
      <c r="BT14" s="1" t="str">
        <f>HYPERLINK("https%3A%2F%2Fwww.webofscience.com%2Fwos%2Fwoscc%2Ffull-record%2FWOS:000561365200025","View Full Record in Web of Science")</f>
        <v>View Full Record in Web of Science</v>
      </c>
    </row>
    <row r="15" ht="12.75" customHeight="1">
      <c r="A15" s="1" t="s">
        <v>72</v>
      </c>
      <c r="B15" s="1" t="s">
        <v>224</v>
      </c>
      <c r="C15" s="1" t="s">
        <v>74</v>
      </c>
      <c r="D15" s="1" t="s">
        <v>74</v>
      </c>
      <c r="E15" s="1" t="s">
        <v>74</v>
      </c>
      <c r="F15" s="1" t="s">
        <v>225</v>
      </c>
      <c r="G15" s="1" t="s">
        <v>74</v>
      </c>
      <c r="H15" s="1" t="s">
        <v>74</v>
      </c>
      <c r="I15" s="1" t="s">
        <v>226</v>
      </c>
      <c r="J15" s="1" t="s">
        <v>227</v>
      </c>
      <c r="K15" s="1" t="s">
        <v>74</v>
      </c>
      <c r="L15" s="1" t="s">
        <v>74</v>
      </c>
      <c r="M15" s="1" t="s">
        <v>74</v>
      </c>
      <c r="N15" s="1" t="s">
        <v>74</v>
      </c>
      <c r="O15" s="1" t="s">
        <v>74</v>
      </c>
      <c r="P15" s="1" t="s">
        <v>74</v>
      </c>
      <c r="Q15" s="1" t="s">
        <v>74</v>
      </c>
      <c r="R15" s="1" t="s">
        <v>74</v>
      </c>
      <c r="S15" s="1" t="s">
        <v>74</v>
      </c>
      <c r="T15" s="1" t="s">
        <v>74</v>
      </c>
      <c r="U15" s="1" t="s">
        <v>74</v>
      </c>
      <c r="V15" s="1" t="s">
        <v>228</v>
      </c>
      <c r="W15" s="1" t="s">
        <v>74</v>
      </c>
      <c r="X15" s="1" t="s">
        <v>74</v>
      </c>
      <c r="Y15" s="1" t="s">
        <v>74</v>
      </c>
      <c r="Z15" s="1" t="s">
        <v>74</v>
      </c>
      <c r="AA15" s="1" t="s">
        <v>74</v>
      </c>
      <c r="AB15" s="1" t="s">
        <v>229</v>
      </c>
      <c r="AC15" s="1" t="s">
        <v>74</v>
      </c>
      <c r="AD15" s="1" t="s">
        <v>74</v>
      </c>
      <c r="AE15" s="1" t="s">
        <v>74</v>
      </c>
      <c r="AF15" s="1" t="s">
        <v>74</v>
      </c>
      <c r="AG15" s="1" t="s">
        <v>74</v>
      </c>
      <c r="AH15" s="1" t="s">
        <v>74</v>
      </c>
      <c r="AI15" s="1" t="s">
        <v>74</v>
      </c>
      <c r="AJ15" s="1" t="s">
        <v>74</v>
      </c>
      <c r="AK15" s="1" t="s">
        <v>74</v>
      </c>
      <c r="AL15" s="1" t="s">
        <v>74</v>
      </c>
      <c r="AM15" s="1" t="s">
        <v>74</v>
      </c>
      <c r="AN15" s="1" t="s">
        <v>74</v>
      </c>
      <c r="AO15" s="1" t="s">
        <v>230</v>
      </c>
      <c r="AP15" s="1" t="s">
        <v>231</v>
      </c>
      <c r="AQ15" s="1" t="s">
        <v>74</v>
      </c>
      <c r="AR15" s="1" t="s">
        <v>74</v>
      </c>
      <c r="AS15" s="1" t="s">
        <v>74</v>
      </c>
      <c r="AT15" s="1" t="s">
        <v>232</v>
      </c>
      <c r="AU15" s="1">
        <v>2019.0</v>
      </c>
      <c r="AV15" s="1">
        <v>115.0</v>
      </c>
      <c r="AW15" s="1" t="s">
        <v>74</v>
      </c>
      <c r="AX15" s="1" t="s">
        <v>74</v>
      </c>
      <c r="AY15" s="1" t="s">
        <v>74</v>
      </c>
      <c r="AZ15" s="1" t="s">
        <v>74</v>
      </c>
      <c r="BA15" s="1" t="s">
        <v>74</v>
      </c>
      <c r="BB15" s="1">
        <v>53.0</v>
      </c>
      <c r="BC15" s="1">
        <v>60.0</v>
      </c>
      <c r="BD15" s="1" t="s">
        <v>74</v>
      </c>
      <c r="BE15" s="1" t="s">
        <v>233</v>
      </c>
      <c r="BF15" s="2" t="str">
        <f>HYPERLINK("http://dx.doi.org/10.1016/j.ijnonlinmec.2019.03.015","http://dx.doi.org/10.1016/j.ijnonlinmec.2019.03.015")</f>
        <v>http://dx.doi.org/10.1016/j.ijnonlinmec.2019.03.015</v>
      </c>
      <c r="BG15" s="1" t="s">
        <v>74</v>
      </c>
      <c r="BH15" s="1" t="s">
        <v>74</v>
      </c>
      <c r="BI15" s="1" t="s">
        <v>74</v>
      </c>
      <c r="BJ15" s="1" t="s">
        <v>74</v>
      </c>
      <c r="BK15" s="1" t="s">
        <v>74</v>
      </c>
      <c r="BL15" s="1" t="s">
        <v>74</v>
      </c>
      <c r="BM15" s="1" t="s">
        <v>74</v>
      </c>
      <c r="BN15" s="1" t="s">
        <v>74</v>
      </c>
      <c r="BO15" s="1" t="s">
        <v>74</v>
      </c>
      <c r="BP15" s="1" t="s">
        <v>74</v>
      </c>
      <c r="BQ15" s="1" t="s">
        <v>74</v>
      </c>
      <c r="BR15" s="1" t="s">
        <v>74</v>
      </c>
      <c r="BS15" s="1" t="s">
        <v>234</v>
      </c>
      <c r="BT15" s="1" t="str">
        <f>HYPERLINK("https%3A%2F%2Fwww.webofscience.com%2Fwos%2Fwoscc%2Ffull-record%2FWOS:000484876400006","View Full Record in Web of Science")</f>
        <v>View Full Record in Web of Science</v>
      </c>
    </row>
    <row r="16" ht="12.75" customHeight="1">
      <c r="A16" s="1" t="s">
        <v>72</v>
      </c>
      <c r="B16" s="1" t="s">
        <v>235</v>
      </c>
      <c r="C16" s="1" t="s">
        <v>74</v>
      </c>
      <c r="D16" s="1" t="s">
        <v>74</v>
      </c>
      <c r="E16" s="1" t="s">
        <v>74</v>
      </c>
      <c r="F16" s="1" t="s">
        <v>236</v>
      </c>
      <c r="G16" s="1" t="s">
        <v>74</v>
      </c>
      <c r="H16" s="1" t="s">
        <v>74</v>
      </c>
      <c r="I16" s="1" t="s">
        <v>237</v>
      </c>
      <c r="J16" s="1" t="s">
        <v>238</v>
      </c>
      <c r="K16" s="1" t="s">
        <v>74</v>
      </c>
      <c r="L16" s="1" t="s">
        <v>74</v>
      </c>
      <c r="M16" s="1" t="s">
        <v>74</v>
      </c>
      <c r="N16" s="1" t="s">
        <v>74</v>
      </c>
      <c r="O16" s="1" t="s">
        <v>74</v>
      </c>
      <c r="P16" s="1" t="s">
        <v>74</v>
      </c>
      <c r="Q16" s="1" t="s">
        <v>74</v>
      </c>
      <c r="R16" s="1" t="s">
        <v>74</v>
      </c>
      <c r="S16" s="1" t="s">
        <v>74</v>
      </c>
      <c r="T16" s="1" t="s">
        <v>74</v>
      </c>
      <c r="U16" s="1" t="s">
        <v>74</v>
      </c>
      <c r="V16" s="1" t="s">
        <v>239</v>
      </c>
      <c r="W16" s="1" t="s">
        <v>74</v>
      </c>
      <c r="X16" s="1" t="s">
        <v>74</v>
      </c>
      <c r="Y16" s="1" t="s">
        <v>74</v>
      </c>
      <c r="Z16" s="1" t="s">
        <v>74</v>
      </c>
      <c r="AA16" s="1" t="s">
        <v>240</v>
      </c>
      <c r="AB16" s="1" t="s">
        <v>241</v>
      </c>
      <c r="AC16" s="1" t="s">
        <v>74</v>
      </c>
      <c r="AD16" s="1" t="s">
        <v>74</v>
      </c>
      <c r="AE16" s="1" t="s">
        <v>74</v>
      </c>
      <c r="AF16" s="1" t="s">
        <v>74</v>
      </c>
      <c r="AG16" s="1" t="s">
        <v>74</v>
      </c>
      <c r="AH16" s="1" t="s">
        <v>74</v>
      </c>
      <c r="AI16" s="1" t="s">
        <v>74</v>
      </c>
      <c r="AJ16" s="1" t="s">
        <v>74</v>
      </c>
      <c r="AK16" s="1" t="s">
        <v>74</v>
      </c>
      <c r="AL16" s="1" t="s">
        <v>74</v>
      </c>
      <c r="AM16" s="1" t="s">
        <v>74</v>
      </c>
      <c r="AN16" s="1" t="s">
        <v>74</v>
      </c>
      <c r="AO16" s="1" t="s">
        <v>242</v>
      </c>
      <c r="AP16" s="1" t="s">
        <v>243</v>
      </c>
      <c r="AQ16" s="1" t="s">
        <v>74</v>
      </c>
      <c r="AR16" s="1" t="s">
        <v>74</v>
      </c>
      <c r="AS16" s="1" t="s">
        <v>74</v>
      </c>
      <c r="AT16" s="1" t="s">
        <v>244</v>
      </c>
      <c r="AU16" s="1">
        <v>2018.0</v>
      </c>
      <c r="AV16" s="1">
        <v>738.0</v>
      </c>
      <c r="AW16" s="1" t="s">
        <v>74</v>
      </c>
      <c r="AX16" s="1" t="s">
        <v>74</v>
      </c>
      <c r="AY16" s="1" t="s">
        <v>74</v>
      </c>
      <c r="AZ16" s="1" t="s">
        <v>74</v>
      </c>
      <c r="BA16" s="1" t="s">
        <v>74</v>
      </c>
      <c r="BB16" s="1">
        <v>206.0</v>
      </c>
      <c r="BC16" s="1">
        <v>217.0</v>
      </c>
      <c r="BD16" s="1" t="s">
        <v>74</v>
      </c>
      <c r="BE16" s="1" t="s">
        <v>245</v>
      </c>
      <c r="BF16" s="2" t="str">
        <f>HYPERLINK("http://dx.doi.org/10.1016/j.jallcom.2017.12.088","http://dx.doi.org/10.1016/j.jallcom.2017.12.088")</f>
        <v>http://dx.doi.org/10.1016/j.jallcom.2017.12.088</v>
      </c>
      <c r="BG16" s="1" t="s">
        <v>74</v>
      </c>
      <c r="BH16" s="1" t="s">
        <v>74</v>
      </c>
      <c r="BI16" s="1" t="s">
        <v>74</v>
      </c>
      <c r="BJ16" s="1" t="s">
        <v>74</v>
      </c>
      <c r="BK16" s="1" t="s">
        <v>74</v>
      </c>
      <c r="BL16" s="1" t="s">
        <v>74</v>
      </c>
      <c r="BM16" s="1" t="s">
        <v>74</v>
      </c>
      <c r="BN16" s="1" t="s">
        <v>74</v>
      </c>
      <c r="BO16" s="1" t="s">
        <v>74</v>
      </c>
      <c r="BP16" s="1" t="s">
        <v>74</v>
      </c>
      <c r="BQ16" s="1" t="s">
        <v>74</v>
      </c>
      <c r="BR16" s="1" t="s">
        <v>74</v>
      </c>
      <c r="BS16" s="1" t="s">
        <v>246</v>
      </c>
      <c r="BT16" s="1" t="str">
        <f>HYPERLINK("https%3A%2F%2Fwww.webofscience.com%2Fwos%2Fwoscc%2Ffull-record%2FWOS:000419214800026","View Full Record in Web of Science")</f>
        <v>View Full Record in Web of Science</v>
      </c>
    </row>
    <row r="17" ht="12.75" customHeight="1">
      <c r="A17" s="1" t="s">
        <v>72</v>
      </c>
      <c r="B17" s="1" t="s">
        <v>247</v>
      </c>
      <c r="C17" s="1" t="s">
        <v>74</v>
      </c>
      <c r="D17" s="1" t="s">
        <v>74</v>
      </c>
      <c r="E17" s="1" t="s">
        <v>74</v>
      </c>
      <c r="F17" s="1" t="s">
        <v>248</v>
      </c>
      <c r="G17" s="1" t="s">
        <v>74</v>
      </c>
      <c r="H17" s="1" t="s">
        <v>74</v>
      </c>
      <c r="I17" s="1" t="s">
        <v>249</v>
      </c>
      <c r="J17" s="1" t="s">
        <v>250</v>
      </c>
      <c r="K17" s="1" t="s">
        <v>74</v>
      </c>
      <c r="L17" s="1" t="s">
        <v>74</v>
      </c>
      <c r="M17" s="1" t="s">
        <v>74</v>
      </c>
      <c r="N17" s="1" t="s">
        <v>74</v>
      </c>
      <c r="O17" s="1" t="s">
        <v>74</v>
      </c>
      <c r="P17" s="1" t="s">
        <v>74</v>
      </c>
      <c r="Q17" s="1" t="s">
        <v>74</v>
      </c>
      <c r="R17" s="1" t="s">
        <v>74</v>
      </c>
      <c r="S17" s="1" t="s">
        <v>74</v>
      </c>
      <c r="T17" s="1" t="s">
        <v>74</v>
      </c>
      <c r="U17" s="1" t="s">
        <v>74</v>
      </c>
      <c r="V17" s="1" t="s">
        <v>251</v>
      </c>
      <c r="W17" s="1" t="s">
        <v>74</v>
      </c>
      <c r="X17" s="1" t="s">
        <v>74</v>
      </c>
      <c r="Y17" s="1" t="s">
        <v>74</v>
      </c>
      <c r="Z17" s="1" t="s">
        <v>74</v>
      </c>
      <c r="AA17" s="1" t="s">
        <v>252</v>
      </c>
      <c r="AB17" s="1" t="s">
        <v>253</v>
      </c>
      <c r="AC17" s="1" t="s">
        <v>74</v>
      </c>
      <c r="AD17" s="1" t="s">
        <v>74</v>
      </c>
      <c r="AE17" s="1" t="s">
        <v>74</v>
      </c>
      <c r="AF17" s="1" t="s">
        <v>74</v>
      </c>
      <c r="AG17" s="1" t="s">
        <v>74</v>
      </c>
      <c r="AH17" s="1" t="s">
        <v>74</v>
      </c>
      <c r="AI17" s="1" t="s">
        <v>74</v>
      </c>
      <c r="AJ17" s="1" t="s">
        <v>74</v>
      </c>
      <c r="AK17" s="1" t="s">
        <v>74</v>
      </c>
      <c r="AL17" s="1" t="s">
        <v>74</v>
      </c>
      <c r="AM17" s="1" t="s">
        <v>74</v>
      </c>
      <c r="AN17" s="1" t="s">
        <v>74</v>
      </c>
      <c r="AO17" s="1" t="s">
        <v>254</v>
      </c>
      <c r="AP17" s="1" t="s">
        <v>255</v>
      </c>
      <c r="AQ17" s="1" t="s">
        <v>74</v>
      </c>
      <c r="AR17" s="1" t="s">
        <v>74</v>
      </c>
      <c r="AS17" s="1" t="s">
        <v>74</v>
      </c>
      <c r="AT17" s="1" t="s">
        <v>83</v>
      </c>
      <c r="AU17" s="1">
        <v>2018.0</v>
      </c>
      <c r="AV17" s="1">
        <v>15.0</v>
      </c>
      <c r="AW17" s="1">
        <v>3.0</v>
      </c>
      <c r="AX17" s="1" t="s">
        <v>74</v>
      </c>
      <c r="AY17" s="1" t="s">
        <v>74</v>
      </c>
      <c r="AZ17" s="1" t="s">
        <v>74</v>
      </c>
      <c r="BA17" s="1" t="s">
        <v>74</v>
      </c>
      <c r="BB17" s="1">
        <v>649.0</v>
      </c>
      <c r="BC17" s="1">
        <v>658.0</v>
      </c>
      <c r="BD17" s="1" t="s">
        <v>74</v>
      </c>
      <c r="BE17" s="1" t="s">
        <v>256</v>
      </c>
      <c r="BF17" s="2" t="str">
        <f>HYPERLINK("http://dx.doi.org/10.1007/s13762-017-1428-6","http://dx.doi.org/10.1007/s13762-017-1428-6")</f>
        <v>http://dx.doi.org/10.1007/s13762-017-1428-6</v>
      </c>
      <c r="BG17" s="1" t="s">
        <v>74</v>
      </c>
      <c r="BH17" s="1" t="s">
        <v>74</v>
      </c>
      <c r="BI17" s="1" t="s">
        <v>74</v>
      </c>
      <c r="BJ17" s="1" t="s">
        <v>74</v>
      </c>
      <c r="BK17" s="1" t="s">
        <v>74</v>
      </c>
      <c r="BL17" s="1" t="s">
        <v>74</v>
      </c>
      <c r="BM17" s="1" t="s">
        <v>74</v>
      </c>
      <c r="BN17" s="1" t="s">
        <v>74</v>
      </c>
      <c r="BO17" s="1" t="s">
        <v>74</v>
      </c>
      <c r="BP17" s="1" t="s">
        <v>74</v>
      </c>
      <c r="BQ17" s="1" t="s">
        <v>74</v>
      </c>
      <c r="BR17" s="1" t="s">
        <v>74</v>
      </c>
      <c r="BS17" s="1" t="s">
        <v>257</v>
      </c>
      <c r="BT17" s="1" t="str">
        <f>HYPERLINK("https%3A%2F%2Fwww.webofscience.com%2Fwos%2Fwoscc%2Ffull-record%2FWOS:000427115800018","View Full Record in Web of Science")</f>
        <v>View Full Record in Web of Science</v>
      </c>
    </row>
    <row r="18" ht="12.75" customHeight="1">
      <c r="A18" s="1" t="s">
        <v>72</v>
      </c>
      <c r="B18" s="1" t="s">
        <v>258</v>
      </c>
      <c r="C18" s="1" t="s">
        <v>74</v>
      </c>
      <c r="D18" s="1" t="s">
        <v>74</v>
      </c>
      <c r="E18" s="1" t="s">
        <v>74</v>
      </c>
      <c r="F18" s="1" t="s">
        <v>259</v>
      </c>
      <c r="G18" s="1" t="s">
        <v>74</v>
      </c>
      <c r="H18" s="1" t="s">
        <v>74</v>
      </c>
      <c r="I18" s="1" t="s">
        <v>260</v>
      </c>
      <c r="J18" s="1" t="s">
        <v>90</v>
      </c>
      <c r="K18" s="1" t="s">
        <v>74</v>
      </c>
      <c r="L18" s="1" t="s">
        <v>74</v>
      </c>
      <c r="M18" s="1" t="s">
        <v>74</v>
      </c>
      <c r="N18" s="1" t="s">
        <v>74</v>
      </c>
      <c r="O18" s="1" t="s">
        <v>74</v>
      </c>
      <c r="P18" s="1" t="s">
        <v>74</v>
      </c>
      <c r="Q18" s="1" t="s">
        <v>74</v>
      </c>
      <c r="R18" s="1" t="s">
        <v>74</v>
      </c>
      <c r="S18" s="1" t="s">
        <v>74</v>
      </c>
      <c r="T18" s="1" t="s">
        <v>74</v>
      </c>
      <c r="U18" s="1" t="s">
        <v>74</v>
      </c>
      <c r="V18" s="1" t="s">
        <v>261</v>
      </c>
      <c r="W18" s="1" t="s">
        <v>74</v>
      </c>
      <c r="X18" s="1" t="s">
        <v>74</v>
      </c>
      <c r="Y18" s="1" t="s">
        <v>74</v>
      </c>
      <c r="Z18" s="1" t="s">
        <v>74</v>
      </c>
      <c r="AA18" s="1" t="s">
        <v>74</v>
      </c>
      <c r="AB18" s="1" t="s">
        <v>262</v>
      </c>
      <c r="AC18" s="1" t="s">
        <v>74</v>
      </c>
      <c r="AD18" s="1" t="s">
        <v>74</v>
      </c>
      <c r="AE18" s="1" t="s">
        <v>74</v>
      </c>
      <c r="AF18" s="1" t="s">
        <v>74</v>
      </c>
      <c r="AG18" s="1" t="s">
        <v>74</v>
      </c>
      <c r="AH18" s="1" t="s">
        <v>74</v>
      </c>
      <c r="AI18" s="1" t="s">
        <v>74</v>
      </c>
      <c r="AJ18" s="1" t="s">
        <v>74</v>
      </c>
      <c r="AK18" s="1" t="s">
        <v>74</v>
      </c>
      <c r="AL18" s="1" t="s">
        <v>74</v>
      </c>
      <c r="AM18" s="1" t="s">
        <v>74</v>
      </c>
      <c r="AN18" s="1" t="s">
        <v>74</v>
      </c>
      <c r="AO18" s="1" t="s">
        <v>74</v>
      </c>
      <c r="AP18" s="1" t="s">
        <v>94</v>
      </c>
      <c r="AQ18" s="1" t="s">
        <v>74</v>
      </c>
      <c r="AR18" s="1" t="s">
        <v>74</v>
      </c>
      <c r="AS18" s="1" t="s">
        <v>74</v>
      </c>
      <c r="AT18" s="1" t="s">
        <v>120</v>
      </c>
      <c r="AU18" s="1">
        <v>2018.0</v>
      </c>
      <c r="AV18" s="1">
        <v>23.0</v>
      </c>
      <c r="AW18" s="1">
        <v>2.0</v>
      </c>
      <c r="AX18" s="1" t="s">
        <v>74</v>
      </c>
      <c r="AY18" s="1" t="s">
        <v>74</v>
      </c>
      <c r="AZ18" s="1" t="s">
        <v>74</v>
      </c>
      <c r="BA18" s="1" t="s">
        <v>74</v>
      </c>
      <c r="BB18" s="1" t="s">
        <v>74</v>
      </c>
      <c r="BC18" s="1" t="s">
        <v>74</v>
      </c>
      <c r="BD18" s="1">
        <v>439.0</v>
      </c>
      <c r="BE18" s="1" t="s">
        <v>263</v>
      </c>
      <c r="BF18" s="2" t="str">
        <f>HYPERLINK("http://dx.doi.org/10.3390/molecules23020439","http://dx.doi.org/10.3390/molecules23020439")</f>
        <v>http://dx.doi.org/10.3390/molecules23020439</v>
      </c>
      <c r="BG18" s="1" t="s">
        <v>74</v>
      </c>
      <c r="BH18" s="1" t="s">
        <v>74</v>
      </c>
      <c r="BI18" s="1" t="s">
        <v>74</v>
      </c>
      <c r="BJ18" s="1" t="s">
        <v>74</v>
      </c>
      <c r="BK18" s="1" t="s">
        <v>74</v>
      </c>
      <c r="BL18" s="1" t="s">
        <v>74</v>
      </c>
      <c r="BM18" s="1" t="s">
        <v>74</v>
      </c>
      <c r="BN18" s="1">
        <v>2.9462956E7</v>
      </c>
      <c r="BO18" s="1" t="s">
        <v>74</v>
      </c>
      <c r="BP18" s="1" t="s">
        <v>74</v>
      </c>
      <c r="BQ18" s="1" t="s">
        <v>74</v>
      </c>
      <c r="BR18" s="1" t="s">
        <v>74</v>
      </c>
      <c r="BS18" s="1" t="s">
        <v>264</v>
      </c>
      <c r="BT18" s="1" t="str">
        <f>HYPERLINK("https%3A%2F%2Fwww.webofscience.com%2Fwos%2Fwoscc%2Ffull-record%2FWOS:000426436300219","View Full Record in Web of Science")</f>
        <v>View Full Record in Web of Science</v>
      </c>
    </row>
    <row r="19" ht="12.75" customHeight="1">
      <c r="A19" s="1" t="s">
        <v>72</v>
      </c>
      <c r="B19" s="1" t="s">
        <v>265</v>
      </c>
      <c r="C19" s="1" t="s">
        <v>74</v>
      </c>
      <c r="D19" s="1" t="s">
        <v>74</v>
      </c>
      <c r="E19" s="1" t="s">
        <v>74</v>
      </c>
      <c r="F19" s="1" t="s">
        <v>266</v>
      </c>
      <c r="G19" s="1" t="s">
        <v>74</v>
      </c>
      <c r="H19" s="1" t="s">
        <v>74</v>
      </c>
      <c r="I19" s="1" t="s">
        <v>267</v>
      </c>
      <c r="J19" s="1" t="s">
        <v>268</v>
      </c>
      <c r="K19" s="1" t="s">
        <v>74</v>
      </c>
      <c r="L19" s="1" t="s">
        <v>74</v>
      </c>
      <c r="M19" s="1" t="s">
        <v>74</v>
      </c>
      <c r="N19" s="1" t="s">
        <v>74</v>
      </c>
      <c r="O19" s="1" t="s">
        <v>269</v>
      </c>
      <c r="P19" s="1" t="s">
        <v>270</v>
      </c>
      <c r="Q19" s="1" t="s">
        <v>271</v>
      </c>
      <c r="R19" s="1" t="s">
        <v>272</v>
      </c>
      <c r="S19" s="1" t="s">
        <v>74</v>
      </c>
      <c r="T19" s="1" t="s">
        <v>74</v>
      </c>
      <c r="U19" s="1" t="s">
        <v>74</v>
      </c>
      <c r="V19" s="1" t="s">
        <v>74</v>
      </c>
      <c r="W19" s="1" t="s">
        <v>74</v>
      </c>
      <c r="X19" s="1" t="s">
        <v>74</v>
      </c>
      <c r="Y19" s="1" t="s">
        <v>74</v>
      </c>
      <c r="Z19" s="1" t="s">
        <v>74</v>
      </c>
      <c r="AA19" s="1" t="s">
        <v>273</v>
      </c>
      <c r="AB19" s="1" t="s">
        <v>74</v>
      </c>
      <c r="AC19" s="1" t="s">
        <v>74</v>
      </c>
      <c r="AD19" s="1" t="s">
        <v>74</v>
      </c>
      <c r="AE19" s="1" t="s">
        <v>74</v>
      </c>
      <c r="AF19" s="1" t="s">
        <v>74</v>
      </c>
      <c r="AG19" s="1" t="s">
        <v>74</v>
      </c>
      <c r="AH19" s="1" t="s">
        <v>74</v>
      </c>
      <c r="AI19" s="1" t="s">
        <v>74</v>
      </c>
      <c r="AJ19" s="1" t="s">
        <v>74</v>
      </c>
      <c r="AK19" s="1" t="s">
        <v>74</v>
      </c>
      <c r="AL19" s="1" t="s">
        <v>74</v>
      </c>
      <c r="AM19" s="1" t="s">
        <v>74</v>
      </c>
      <c r="AN19" s="1" t="s">
        <v>74</v>
      </c>
      <c r="AO19" s="1" t="s">
        <v>274</v>
      </c>
      <c r="AP19" s="1" t="s">
        <v>275</v>
      </c>
      <c r="AQ19" s="1" t="s">
        <v>74</v>
      </c>
      <c r="AR19" s="1" t="s">
        <v>74</v>
      </c>
      <c r="AS19" s="1" t="s">
        <v>74</v>
      </c>
      <c r="AT19" s="1" t="s">
        <v>164</v>
      </c>
      <c r="AU19" s="1">
        <v>2017.0</v>
      </c>
      <c r="AV19" s="1">
        <v>22.0</v>
      </c>
      <c r="AW19" s="1" t="s">
        <v>74</v>
      </c>
      <c r="AX19" s="1" t="s">
        <v>74</v>
      </c>
      <c r="AY19" s="1">
        <v>1.0</v>
      </c>
      <c r="AZ19" s="1" t="s">
        <v>74</v>
      </c>
      <c r="BA19" s="1" t="s">
        <v>74</v>
      </c>
      <c r="BB19" s="1" t="s">
        <v>276</v>
      </c>
      <c r="BC19" s="1" t="s">
        <v>276</v>
      </c>
      <c r="BD19" s="1" t="s">
        <v>74</v>
      </c>
      <c r="BE19" s="1" t="s">
        <v>74</v>
      </c>
      <c r="BF19" s="1" t="s">
        <v>74</v>
      </c>
      <c r="BG19" s="1" t="s">
        <v>74</v>
      </c>
      <c r="BH19" s="1" t="s">
        <v>74</v>
      </c>
      <c r="BI19" s="1" t="s">
        <v>74</v>
      </c>
      <c r="BJ19" s="1" t="s">
        <v>74</v>
      </c>
      <c r="BK19" s="1" t="s">
        <v>74</v>
      </c>
      <c r="BL19" s="1" t="s">
        <v>74</v>
      </c>
      <c r="BM19" s="1" t="s">
        <v>74</v>
      </c>
      <c r="BN19" s="1" t="s">
        <v>74</v>
      </c>
      <c r="BO19" s="1" t="s">
        <v>74</v>
      </c>
      <c r="BP19" s="1" t="s">
        <v>74</v>
      </c>
      <c r="BQ19" s="1" t="s">
        <v>74</v>
      </c>
      <c r="BR19" s="1" t="s">
        <v>74</v>
      </c>
      <c r="BS19" s="1" t="s">
        <v>277</v>
      </c>
      <c r="BT19" s="1" t="str">
        <f>HYPERLINK("https%3A%2F%2Fwww.webofscience.com%2Fwos%2Fwoscc%2Ffull-record%2FWOS:000419606600108","View Full Record in Web of Science")</f>
        <v>View Full Record in Web of Science</v>
      </c>
    </row>
    <row r="20" ht="12.75" customHeight="1">
      <c r="A20" s="1" t="s">
        <v>72</v>
      </c>
      <c r="B20" s="1" t="s">
        <v>278</v>
      </c>
      <c r="C20" s="1" t="s">
        <v>74</v>
      </c>
      <c r="D20" s="1" t="s">
        <v>74</v>
      </c>
      <c r="E20" s="1" t="s">
        <v>74</v>
      </c>
      <c r="F20" s="1" t="s">
        <v>279</v>
      </c>
      <c r="G20" s="1" t="s">
        <v>74</v>
      </c>
      <c r="H20" s="1" t="s">
        <v>74</v>
      </c>
      <c r="I20" s="1" t="s">
        <v>280</v>
      </c>
      <c r="J20" s="1" t="s">
        <v>281</v>
      </c>
      <c r="K20" s="1" t="s">
        <v>74</v>
      </c>
      <c r="L20" s="1" t="s">
        <v>74</v>
      </c>
      <c r="M20" s="1" t="s">
        <v>74</v>
      </c>
      <c r="N20" s="1" t="s">
        <v>74</v>
      </c>
      <c r="O20" s="1" t="s">
        <v>74</v>
      </c>
      <c r="P20" s="1" t="s">
        <v>74</v>
      </c>
      <c r="Q20" s="1" t="s">
        <v>74</v>
      </c>
      <c r="R20" s="1" t="s">
        <v>74</v>
      </c>
      <c r="S20" s="1" t="s">
        <v>74</v>
      </c>
      <c r="T20" s="1" t="s">
        <v>74</v>
      </c>
      <c r="U20" s="1" t="s">
        <v>74</v>
      </c>
      <c r="V20" s="1" t="s">
        <v>282</v>
      </c>
      <c r="W20" s="1" t="s">
        <v>74</v>
      </c>
      <c r="X20" s="1" t="s">
        <v>74</v>
      </c>
      <c r="Y20" s="1" t="s">
        <v>74</v>
      </c>
      <c r="Z20" s="1" t="s">
        <v>74</v>
      </c>
      <c r="AA20" s="1" t="s">
        <v>283</v>
      </c>
      <c r="AB20" s="1" t="s">
        <v>284</v>
      </c>
      <c r="AC20" s="1" t="s">
        <v>74</v>
      </c>
      <c r="AD20" s="1" t="s">
        <v>74</v>
      </c>
      <c r="AE20" s="1" t="s">
        <v>74</v>
      </c>
      <c r="AF20" s="1" t="s">
        <v>74</v>
      </c>
      <c r="AG20" s="1" t="s">
        <v>74</v>
      </c>
      <c r="AH20" s="1" t="s">
        <v>74</v>
      </c>
      <c r="AI20" s="1" t="s">
        <v>74</v>
      </c>
      <c r="AJ20" s="1" t="s">
        <v>74</v>
      </c>
      <c r="AK20" s="1" t="s">
        <v>74</v>
      </c>
      <c r="AL20" s="1" t="s">
        <v>74</v>
      </c>
      <c r="AM20" s="1" t="s">
        <v>74</v>
      </c>
      <c r="AN20" s="1" t="s">
        <v>74</v>
      </c>
      <c r="AO20" s="1" t="s">
        <v>285</v>
      </c>
      <c r="AP20" s="1" t="s">
        <v>74</v>
      </c>
      <c r="AQ20" s="1" t="s">
        <v>74</v>
      </c>
      <c r="AR20" s="1" t="s">
        <v>74</v>
      </c>
      <c r="AS20" s="1" t="s">
        <v>74</v>
      </c>
      <c r="AT20" s="1" t="s">
        <v>83</v>
      </c>
      <c r="AU20" s="1">
        <v>2017.0</v>
      </c>
      <c r="AV20" s="1">
        <v>4.0</v>
      </c>
      <c r="AW20" s="1">
        <v>3.0</v>
      </c>
      <c r="AX20" s="1" t="s">
        <v>74</v>
      </c>
      <c r="AY20" s="1" t="s">
        <v>74</v>
      </c>
      <c r="AZ20" s="1" t="s">
        <v>74</v>
      </c>
      <c r="BA20" s="1" t="s">
        <v>74</v>
      </c>
      <c r="BB20" s="1">
        <v>692.0</v>
      </c>
      <c r="BC20" s="1">
        <v>700.0</v>
      </c>
      <c r="BD20" s="1" t="s">
        <v>74</v>
      </c>
      <c r="BE20" s="1" t="s">
        <v>286</v>
      </c>
      <c r="BF20" s="2" t="str">
        <f>HYPERLINK("http://dx.doi.org/10.1002/celc.201600775","http://dx.doi.org/10.1002/celc.201600775")</f>
        <v>http://dx.doi.org/10.1002/celc.201600775</v>
      </c>
      <c r="BG20" s="1" t="s">
        <v>74</v>
      </c>
      <c r="BH20" s="1" t="s">
        <v>74</v>
      </c>
      <c r="BI20" s="1" t="s">
        <v>74</v>
      </c>
      <c r="BJ20" s="1" t="s">
        <v>74</v>
      </c>
      <c r="BK20" s="1" t="s">
        <v>74</v>
      </c>
      <c r="BL20" s="1" t="s">
        <v>74</v>
      </c>
      <c r="BM20" s="1" t="s">
        <v>74</v>
      </c>
      <c r="BN20" s="1" t="s">
        <v>74</v>
      </c>
      <c r="BO20" s="1" t="s">
        <v>74</v>
      </c>
      <c r="BP20" s="1" t="s">
        <v>74</v>
      </c>
      <c r="BQ20" s="1" t="s">
        <v>74</v>
      </c>
      <c r="BR20" s="1" t="s">
        <v>74</v>
      </c>
      <c r="BS20" s="1" t="s">
        <v>287</v>
      </c>
      <c r="BT20" s="1" t="str">
        <f>HYPERLINK("https%3A%2F%2Fwww.webofscience.com%2Fwos%2Fwoscc%2Ffull-record%2FWOS:000397473700034","View Full Record in Web of Science")</f>
        <v>View Full Record in Web of Science</v>
      </c>
    </row>
    <row r="21" ht="12.75" customHeight="1">
      <c r="A21" s="1" t="s">
        <v>72</v>
      </c>
      <c r="B21" s="1" t="s">
        <v>288</v>
      </c>
      <c r="C21" s="1" t="s">
        <v>74</v>
      </c>
      <c r="D21" s="1" t="s">
        <v>74</v>
      </c>
      <c r="E21" s="1" t="s">
        <v>74</v>
      </c>
      <c r="F21" s="1" t="s">
        <v>289</v>
      </c>
      <c r="G21" s="1" t="s">
        <v>74</v>
      </c>
      <c r="H21" s="1" t="s">
        <v>74</v>
      </c>
      <c r="I21" s="1" t="s">
        <v>290</v>
      </c>
      <c r="J21" s="1" t="s">
        <v>291</v>
      </c>
      <c r="K21" s="1" t="s">
        <v>74</v>
      </c>
      <c r="L21" s="1" t="s">
        <v>74</v>
      </c>
      <c r="M21" s="1" t="s">
        <v>74</v>
      </c>
      <c r="N21" s="1" t="s">
        <v>74</v>
      </c>
      <c r="O21" s="1" t="s">
        <v>74</v>
      </c>
      <c r="P21" s="1" t="s">
        <v>74</v>
      </c>
      <c r="Q21" s="1" t="s">
        <v>74</v>
      </c>
      <c r="R21" s="1" t="s">
        <v>74</v>
      </c>
      <c r="S21" s="1" t="s">
        <v>74</v>
      </c>
      <c r="T21" s="1" t="s">
        <v>74</v>
      </c>
      <c r="U21" s="1" t="s">
        <v>74</v>
      </c>
      <c r="V21" s="1" t="s">
        <v>292</v>
      </c>
      <c r="W21" s="1" t="s">
        <v>74</v>
      </c>
      <c r="X21" s="1" t="s">
        <v>74</v>
      </c>
      <c r="Y21" s="1" t="s">
        <v>74</v>
      </c>
      <c r="Z21" s="1" t="s">
        <v>74</v>
      </c>
      <c r="AA21" s="1" t="s">
        <v>293</v>
      </c>
      <c r="AB21" s="1" t="s">
        <v>294</v>
      </c>
      <c r="AC21" s="1" t="s">
        <v>74</v>
      </c>
      <c r="AD21" s="1" t="s">
        <v>74</v>
      </c>
      <c r="AE21" s="1" t="s">
        <v>74</v>
      </c>
      <c r="AF21" s="1" t="s">
        <v>74</v>
      </c>
      <c r="AG21" s="1" t="s">
        <v>74</v>
      </c>
      <c r="AH21" s="1" t="s">
        <v>74</v>
      </c>
      <c r="AI21" s="1" t="s">
        <v>74</v>
      </c>
      <c r="AJ21" s="1" t="s">
        <v>74</v>
      </c>
      <c r="AK21" s="1" t="s">
        <v>74</v>
      </c>
      <c r="AL21" s="1" t="s">
        <v>74</v>
      </c>
      <c r="AM21" s="1" t="s">
        <v>74</v>
      </c>
      <c r="AN21" s="1" t="s">
        <v>74</v>
      </c>
      <c r="AO21" s="1" t="s">
        <v>295</v>
      </c>
      <c r="AP21" s="1" t="s">
        <v>296</v>
      </c>
      <c r="AQ21" s="1" t="s">
        <v>74</v>
      </c>
      <c r="AR21" s="1" t="s">
        <v>74</v>
      </c>
      <c r="AS21" s="1" t="s">
        <v>74</v>
      </c>
      <c r="AT21" s="1" t="s">
        <v>74</v>
      </c>
      <c r="AU21" s="1">
        <v>2017.0</v>
      </c>
      <c r="AV21" s="1">
        <v>24.0</v>
      </c>
      <c r="AW21" s="1" t="s">
        <v>74</v>
      </c>
      <c r="AX21" s="1" t="s">
        <v>74</v>
      </c>
      <c r="AY21" s="1">
        <v>1.0</v>
      </c>
      <c r="AZ21" s="1" t="s">
        <v>297</v>
      </c>
      <c r="BA21" s="1" t="s">
        <v>74</v>
      </c>
      <c r="BB21" s="1">
        <v>103.0</v>
      </c>
      <c r="BC21" s="1">
        <v>120.0</v>
      </c>
      <c r="BD21" s="1" t="s">
        <v>74</v>
      </c>
      <c r="BE21" s="1" t="s">
        <v>298</v>
      </c>
      <c r="BF21" s="2" t="str">
        <f>HYPERLINK("http://dx.doi.org/10.1080/14029251.2017.1418057","http://dx.doi.org/10.1080/14029251.2017.1418057")</f>
        <v>http://dx.doi.org/10.1080/14029251.2017.1418057</v>
      </c>
      <c r="BG21" s="1" t="s">
        <v>74</v>
      </c>
      <c r="BH21" s="1" t="s">
        <v>74</v>
      </c>
      <c r="BI21" s="1" t="s">
        <v>74</v>
      </c>
      <c r="BJ21" s="1" t="s">
        <v>74</v>
      </c>
      <c r="BK21" s="1" t="s">
        <v>74</v>
      </c>
      <c r="BL21" s="1" t="s">
        <v>74</v>
      </c>
      <c r="BM21" s="1" t="s">
        <v>74</v>
      </c>
      <c r="BN21" s="1" t="s">
        <v>74</v>
      </c>
      <c r="BO21" s="1" t="s">
        <v>74</v>
      </c>
      <c r="BP21" s="1" t="s">
        <v>74</v>
      </c>
      <c r="BQ21" s="1" t="s">
        <v>74</v>
      </c>
      <c r="BR21" s="1" t="s">
        <v>74</v>
      </c>
      <c r="BS21" s="1" t="s">
        <v>299</v>
      </c>
      <c r="BT21" s="1" t="str">
        <f>HYPERLINK("https%3A%2F%2Fwww.webofscience.com%2Fwos%2Fwoscc%2Ffull-record%2FWOS:000435599000009","View Full Record in Web of Science")</f>
        <v>View Full Record in Web of Science</v>
      </c>
    </row>
    <row r="22" ht="12.75" customHeight="1">
      <c r="A22" s="1" t="s">
        <v>72</v>
      </c>
      <c r="B22" s="1" t="s">
        <v>300</v>
      </c>
      <c r="C22" s="1" t="s">
        <v>74</v>
      </c>
      <c r="D22" s="1" t="s">
        <v>74</v>
      </c>
      <c r="E22" s="1" t="s">
        <v>74</v>
      </c>
      <c r="F22" s="1" t="s">
        <v>301</v>
      </c>
      <c r="G22" s="1" t="s">
        <v>74</v>
      </c>
      <c r="H22" s="1" t="s">
        <v>74</v>
      </c>
      <c r="I22" s="1" t="s">
        <v>302</v>
      </c>
      <c r="J22" s="1" t="s">
        <v>303</v>
      </c>
      <c r="K22" s="1" t="s">
        <v>74</v>
      </c>
      <c r="L22" s="1" t="s">
        <v>74</v>
      </c>
      <c r="M22" s="1" t="s">
        <v>74</v>
      </c>
      <c r="N22" s="1" t="s">
        <v>74</v>
      </c>
      <c r="O22" s="1" t="s">
        <v>74</v>
      </c>
      <c r="P22" s="1" t="s">
        <v>74</v>
      </c>
      <c r="Q22" s="1" t="s">
        <v>74</v>
      </c>
      <c r="R22" s="1" t="s">
        <v>74</v>
      </c>
      <c r="S22" s="1" t="s">
        <v>74</v>
      </c>
      <c r="T22" s="1" t="s">
        <v>74</v>
      </c>
      <c r="U22" s="1" t="s">
        <v>74</v>
      </c>
      <c r="V22" s="1" t="s">
        <v>304</v>
      </c>
      <c r="W22" s="1" t="s">
        <v>74</v>
      </c>
      <c r="X22" s="1" t="s">
        <v>74</v>
      </c>
      <c r="Y22" s="1" t="s">
        <v>74</v>
      </c>
      <c r="Z22" s="1" t="s">
        <v>74</v>
      </c>
      <c r="AA22" s="1" t="s">
        <v>305</v>
      </c>
      <c r="AB22" s="1" t="s">
        <v>306</v>
      </c>
      <c r="AC22" s="1" t="s">
        <v>74</v>
      </c>
      <c r="AD22" s="1" t="s">
        <v>74</v>
      </c>
      <c r="AE22" s="1" t="s">
        <v>74</v>
      </c>
      <c r="AF22" s="1" t="s">
        <v>74</v>
      </c>
      <c r="AG22" s="1" t="s">
        <v>74</v>
      </c>
      <c r="AH22" s="1" t="s">
        <v>74</v>
      </c>
      <c r="AI22" s="1" t="s">
        <v>74</v>
      </c>
      <c r="AJ22" s="1" t="s">
        <v>74</v>
      </c>
      <c r="AK22" s="1" t="s">
        <v>74</v>
      </c>
      <c r="AL22" s="1" t="s">
        <v>74</v>
      </c>
      <c r="AM22" s="1" t="s">
        <v>74</v>
      </c>
      <c r="AN22" s="1" t="s">
        <v>74</v>
      </c>
      <c r="AO22" s="1" t="s">
        <v>307</v>
      </c>
      <c r="AP22" s="1" t="s">
        <v>308</v>
      </c>
      <c r="AQ22" s="1" t="s">
        <v>74</v>
      </c>
      <c r="AR22" s="1" t="s">
        <v>74</v>
      </c>
      <c r="AS22" s="1" t="s">
        <v>74</v>
      </c>
      <c r="AT22" s="1" t="s">
        <v>309</v>
      </c>
      <c r="AU22" s="1">
        <v>2016.0</v>
      </c>
      <c r="AV22" s="1">
        <v>151.0</v>
      </c>
      <c r="AW22" s="1" t="s">
        <v>74</v>
      </c>
      <c r="AX22" s="1" t="s">
        <v>74</v>
      </c>
      <c r="AY22" s="1" t="s">
        <v>74</v>
      </c>
      <c r="AZ22" s="1" t="s">
        <v>74</v>
      </c>
      <c r="BA22" s="1" t="s">
        <v>74</v>
      </c>
      <c r="BB22" s="1">
        <v>760.0</v>
      </c>
      <c r="BC22" s="1">
        <v>769.0</v>
      </c>
      <c r="BD22" s="1" t="s">
        <v>74</v>
      </c>
      <c r="BE22" s="1" t="s">
        <v>310</v>
      </c>
      <c r="BF22" s="2" t="str">
        <f>HYPERLINK("http://dx.doi.org/10.1016/j.carbpol.2016.05.095","http://dx.doi.org/10.1016/j.carbpol.2016.05.095")</f>
        <v>http://dx.doi.org/10.1016/j.carbpol.2016.05.095</v>
      </c>
      <c r="BG22" s="1" t="s">
        <v>74</v>
      </c>
      <c r="BH22" s="1" t="s">
        <v>74</v>
      </c>
      <c r="BI22" s="1" t="s">
        <v>74</v>
      </c>
      <c r="BJ22" s="1" t="s">
        <v>74</v>
      </c>
      <c r="BK22" s="1" t="s">
        <v>74</v>
      </c>
      <c r="BL22" s="1" t="s">
        <v>74</v>
      </c>
      <c r="BM22" s="1" t="s">
        <v>74</v>
      </c>
      <c r="BN22" s="1">
        <v>2.7474623E7</v>
      </c>
      <c r="BO22" s="1" t="s">
        <v>74</v>
      </c>
      <c r="BP22" s="1" t="s">
        <v>74</v>
      </c>
      <c r="BQ22" s="1" t="s">
        <v>74</v>
      </c>
      <c r="BR22" s="1" t="s">
        <v>74</v>
      </c>
      <c r="BS22" s="1" t="s">
        <v>311</v>
      </c>
      <c r="BT22" s="1" t="str">
        <f>HYPERLINK("https%3A%2F%2Fwww.webofscience.com%2Fwos%2Fwoscc%2Ffull-record%2FWOS:000380943900087","View Full Record in Web of Science")</f>
        <v>View Full Record in Web of Science</v>
      </c>
    </row>
    <row r="23" ht="12.75" customHeight="1">
      <c r="A23" s="1" t="s">
        <v>72</v>
      </c>
      <c r="B23" s="1" t="s">
        <v>312</v>
      </c>
      <c r="C23" s="1" t="s">
        <v>74</v>
      </c>
      <c r="D23" s="1" t="s">
        <v>74</v>
      </c>
      <c r="E23" s="1" t="s">
        <v>74</v>
      </c>
      <c r="F23" s="1" t="s">
        <v>313</v>
      </c>
      <c r="G23" s="1" t="s">
        <v>74</v>
      </c>
      <c r="H23" s="1" t="s">
        <v>74</v>
      </c>
      <c r="I23" s="1" t="s">
        <v>314</v>
      </c>
      <c r="J23" s="1" t="s">
        <v>315</v>
      </c>
      <c r="K23" s="1" t="s">
        <v>74</v>
      </c>
      <c r="L23" s="1" t="s">
        <v>74</v>
      </c>
      <c r="M23" s="1" t="s">
        <v>74</v>
      </c>
      <c r="N23" s="1" t="s">
        <v>74</v>
      </c>
      <c r="O23" s="1" t="s">
        <v>74</v>
      </c>
      <c r="P23" s="1" t="s">
        <v>74</v>
      </c>
      <c r="Q23" s="1" t="s">
        <v>74</v>
      </c>
      <c r="R23" s="1" t="s">
        <v>74</v>
      </c>
      <c r="S23" s="1" t="s">
        <v>74</v>
      </c>
      <c r="T23" s="1" t="s">
        <v>74</v>
      </c>
      <c r="U23" s="1" t="s">
        <v>74</v>
      </c>
      <c r="V23" s="1" t="s">
        <v>316</v>
      </c>
      <c r="W23" s="1" t="s">
        <v>74</v>
      </c>
      <c r="X23" s="1" t="s">
        <v>74</v>
      </c>
      <c r="Y23" s="1" t="s">
        <v>74</v>
      </c>
      <c r="Z23" s="1" t="s">
        <v>74</v>
      </c>
      <c r="AA23" s="1" t="s">
        <v>317</v>
      </c>
      <c r="AB23" s="1" t="s">
        <v>318</v>
      </c>
      <c r="AC23" s="1" t="s">
        <v>74</v>
      </c>
      <c r="AD23" s="1" t="s">
        <v>74</v>
      </c>
      <c r="AE23" s="1" t="s">
        <v>74</v>
      </c>
      <c r="AF23" s="1" t="s">
        <v>74</v>
      </c>
      <c r="AG23" s="1" t="s">
        <v>74</v>
      </c>
      <c r="AH23" s="1" t="s">
        <v>74</v>
      </c>
      <c r="AI23" s="1" t="s">
        <v>74</v>
      </c>
      <c r="AJ23" s="1" t="s">
        <v>74</v>
      </c>
      <c r="AK23" s="1" t="s">
        <v>74</v>
      </c>
      <c r="AL23" s="1" t="s">
        <v>74</v>
      </c>
      <c r="AM23" s="1" t="s">
        <v>74</v>
      </c>
      <c r="AN23" s="1" t="s">
        <v>74</v>
      </c>
      <c r="AO23" s="1" t="s">
        <v>319</v>
      </c>
      <c r="AP23" s="1" t="s">
        <v>74</v>
      </c>
      <c r="AQ23" s="1" t="s">
        <v>74</v>
      </c>
      <c r="AR23" s="1" t="s">
        <v>74</v>
      </c>
      <c r="AS23" s="1" t="s">
        <v>74</v>
      </c>
      <c r="AT23" s="1" t="s">
        <v>320</v>
      </c>
      <c r="AU23" s="1">
        <v>2015.0</v>
      </c>
      <c r="AV23" s="1">
        <v>31.0</v>
      </c>
      <c r="AW23" s="1">
        <v>1.0</v>
      </c>
      <c r="AX23" s="1" t="s">
        <v>74</v>
      </c>
      <c r="AY23" s="1" t="s">
        <v>74</v>
      </c>
      <c r="AZ23" s="1" t="s">
        <v>74</v>
      </c>
      <c r="BA23" s="1" t="s">
        <v>74</v>
      </c>
      <c r="BB23" s="1">
        <v>299.0</v>
      </c>
      <c r="BC23" s="1">
        <v>306.0</v>
      </c>
      <c r="BD23" s="1" t="s">
        <v>74</v>
      </c>
      <c r="BE23" s="1" t="s">
        <v>321</v>
      </c>
      <c r="BF23" s="2" t="str">
        <f>HYPERLINK("http://dx.doi.org/10.1021/la502777h","http://dx.doi.org/10.1021/la502777h")</f>
        <v>http://dx.doi.org/10.1021/la502777h</v>
      </c>
      <c r="BG23" s="1" t="s">
        <v>74</v>
      </c>
      <c r="BH23" s="1" t="s">
        <v>74</v>
      </c>
      <c r="BI23" s="1" t="s">
        <v>74</v>
      </c>
      <c r="BJ23" s="1" t="s">
        <v>74</v>
      </c>
      <c r="BK23" s="1" t="s">
        <v>74</v>
      </c>
      <c r="BL23" s="1" t="s">
        <v>74</v>
      </c>
      <c r="BM23" s="1" t="s">
        <v>74</v>
      </c>
      <c r="BN23" s="1">
        <v>2.5486322E7</v>
      </c>
      <c r="BO23" s="1" t="s">
        <v>74</v>
      </c>
      <c r="BP23" s="1" t="s">
        <v>74</v>
      </c>
      <c r="BQ23" s="1" t="s">
        <v>74</v>
      </c>
      <c r="BR23" s="1" t="s">
        <v>74</v>
      </c>
      <c r="BS23" s="1" t="s">
        <v>322</v>
      </c>
      <c r="BT23" s="1" t="str">
        <f>HYPERLINK("https%3A%2F%2Fwww.webofscience.com%2Fwos%2Fwoscc%2Ffull-record%2FWOS:000348085900040","View Full Record in Web of Science")</f>
        <v>View Full Record in Web of Science</v>
      </c>
    </row>
    <row r="24" ht="12.75" customHeight="1">
      <c r="A24" s="1" t="s">
        <v>72</v>
      </c>
      <c r="B24" s="1" t="s">
        <v>323</v>
      </c>
      <c r="C24" s="1" t="s">
        <v>74</v>
      </c>
      <c r="D24" s="1" t="s">
        <v>74</v>
      </c>
      <c r="E24" s="1" t="s">
        <v>74</v>
      </c>
      <c r="F24" s="1" t="s">
        <v>324</v>
      </c>
      <c r="G24" s="1" t="s">
        <v>74</v>
      </c>
      <c r="H24" s="1" t="s">
        <v>74</v>
      </c>
      <c r="I24" s="1" t="s">
        <v>325</v>
      </c>
      <c r="J24" s="1" t="s">
        <v>326</v>
      </c>
      <c r="K24" s="1" t="s">
        <v>74</v>
      </c>
      <c r="L24" s="1" t="s">
        <v>74</v>
      </c>
      <c r="M24" s="1" t="s">
        <v>74</v>
      </c>
      <c r="N24" s="1" t="s">
        <v>74</v>
      </c>
      <c r="O24" s="1" t="s">
        <v>74</v>
      </c>
      <c r="P24" s="1" t="s">
        <v>74</v>
      </c>
      <c r="Q24" s="1" t="s">
        <v>74</v>
      </c>
      <c r="R24" s="1" t="s">
        <v>74</v>
      </c>
      <c r="S24" s="1" t="s">
        <v>74</v>
      </c>
      <c r="T24" s="1" t="s">
        <v>74</v>
      </c>
      <c r="U24" s="1" t="s">
        <v>74</v>
      </c>
      <c r="V24" s="1" t="s">
        <v>327</v>
      </c>
      <c r="W24" s="1" t="s">
        <v>74</v>
      </c>
      <c r="X24" s="1" t="s">
        <v>74</v>
      </c>
      <c r="Y24" s="1" t="s">
        <v>74</v>
      </c>
      <c r="Z24" s="1" t="s">
        <v>74</v>
      </c>
      <c r="AA24" s="1" t="s">
        <v>328</v>
      </c>
      <c r="AB24" s="1" t="s">
        <v>329</v>
      </c>
      <c r="AC24" s="1" t="s">
        <v>74</v>
      </c>
      <c r="AD24" s="1" t="s">
        <v>74</v>
      </c>
      <c r="AE24" s="1" t="s">
        <v>74</v>
      </c>
      <c r="AF24" s="1" t="s">
        <v>74</v>
      </c>
      <c r="AG24" s="1" t="s">
        <v>74</v>
      </c>
      <c r="AH24" s="1" t="s">
        <v>74</v>
      </c>
      <c r="AI24" s="1" t="s">
        <v>74</v>
      </c>
      <c r="AJ24" s="1" t="s">
        <v>74</v>
      </c>
      <c r="AK24" s="1" t="s">
        <v>74</v>
      </c>
      <c r="AL24" s="1" t="s">
        <v>74</v>
      </c>
      <c r="AM24" s="1" t="s">
        <v>74</v>
      </c>
      <c r="AN24" s="1" t="s">
        <v>74</v>
      </c>
      <c r="AO24" s="1" t="s">
        <v>330</v>
      </c>
      <c r="AP24" s="1" t="s">
        <v>331</v>
      </c>
      <c r="AQ24" s="1" t="s">
        <v>74</v>
      </c>
      <c r="AR24" s="1" t="s">
        <v>74</v>
      </c>
      <c r="AS24" s="1" t="s">
        <v>74</v>
      </c>
      <c r="AT24" s="1" t="s">
        <v>332</v>
      </c>
      <c r="AU24" s="1">
        <v>2014.0</v>
      </c>
      <c r="AV24" s="1">
        <v>140.0</v>
      </c>
      <c r="AW24" s="1" t="s">
        <v>74</v>
      </c>
      <c r="AX24" s="1" t="s">
        <v>74</v>
      </c>
      <c r="AY24" s="1" t="s">
        <v>74</v>
      </c>
      <c r="AZ24" s="1" t="s">
        <v>297</v>
      </c>
      <c r="BA24" s="1" t="s">
        <v>74</v>
      </c>
      <c r="BB24" s="1">
        <v>314.0</v>
      </c>
      <c r="BC24" s="1">
        <v>319.0</v>
      </c>
      <c r="BD24" s="1" t="s">
        <v>74</v>
      </c>
      <c r="BE24" s="1" t="s">
        <v>333</v>
      </c>
      <c r="BF24" s="2" t="str">
        <f>HYPERLINK("http://dx.doi.org/10.1016/j.electacta.2014.04.059","http://dx.doi.org/10.1016/j.electacta.2014.04.059")</f>
        <v>http://dx.doi.org/10.1016/j.electacta.2014.04.059</v>
      </c>
      <c r="BG24" s="1" t="s">
        <v>74</v>
      </c>
      <c r="BH24" s="1" t="s">
        <v>74</v>
      </c>
      <c r="BI24" s="1" t="s">
        <v>74</v>
      </c>
      <c r="BJ24" s="1" t="s">
        <v>74</v>
      </c>
      <c r="BK24" s="1" t="s">
        <v>74</v>
      </c>
      <c r="BL24" s="1" t="s">
        <v>74</v>
      </c>
      <c r="BM24" s="1" t="s">
        <v>74</v>
      </c>
      <c r="BN24" s="1" t="s">
        <v>74</v>
      </c>
      <c r="BO24" s="1" t="s">
        <v>74</v>
      </c>
      <c r="BP24" s="1" t="s">
        <v>74</v>
      </c>
      <c r="BQ24" s="1" t="s">
        <v>74</v>
      </c>
      <c r="BR24" s="1" t="s">
        <v>74</v>
      </c>
      <c r="BS24" s="1" t="s">
        <v>334</v>
      </c>
      <c r="BT24" s="1" t="str">
        <f>HYPERLINK("https%3A%2F%2Fwww.webofscience.com%2Fwos%2Fwoscc%2Ffull-record%2FWOS:000342528600041","View Full Record in Web of Science")</f>
        <v>View Full Record in Web of Science</v>
      </c>
    </row>
    <row r="25" ht="12.75" customHeight="1">
      <c r="A25" s="1" t="s">
        <v>72</v>
      </c>
      <c r="B25" s="1" t="s">
        <v>335</v>
      </c>
      <c r="C25" s="1" t="s">
        <v>74</v>
      </c>
      <c r="D25" s="1" t="s">
        <v>74</v>
      </c>
      <c r="E25" s="1" t="s">
        <v>74</v>
      </c>
      <c r="F25" s="1" t="s">
        <v>336</v>
      </c>
      <c r="G25" s="1" t="s">
        <v>74</v>
      </c>
      <c r="H25" s="1" t="s">
        <v>74</v>
      </c>
      <c r="I25" s="1" t="s">
        <v>337</v>
      </c>
      <c r="J25" s="1" t="s">
        <v>338</v>
      </c>
      <c r="K25" s="1" t="s">
        <v>74</v>
      </c>
      <c r="L25" s="1" t="s">
        <v>74</v>
      </c>
      <c r="M25" s="1" t="s">
        <v>74</v>
      </c>
      <c r="N25" s="1" t="s">
        <v>74</v>
      </c>
      <c r="O25" s="1" t="s">
        <v>74</v>
      </c>
      <c r="P25" s="1" t="s">
        <v>74</v>
      </c>
      <c r="Q25" s="1" t="s">
        <v>74</v>
      </c>
      <c r="R25" s="1" t="s">
        <v>74</v>
      </c>
      <c r="S25" s="1" t="s">
        <v>74</v>
      </c>
      <c r="T25" s="1" t="s">
        <v>74</v>
      </c>
      <c r="U25" s="1" t="s">
        <v>74</v>
      </c>
      <c r="V25" s="1" t="s">
        <v>339</v>
      </c>
      <c r="W25" s="1" t="s">
        <v>74</v>
      </c>
      <c r="X25" s="1" t="s">
        <v>74</v>
      </c>
      <c r="Y25" s="1" t="s">
        <v>74</v>
      </c>
      <c r="Z25" s="1" t="s">
        <v>74</v>
      </c>
      <c r="AA25" s="1" t="s">
        <v>340</v>
      </c>
      <c r="AB25" s="1" t="s">
        <v>341</v>
      </c>
      <c r="AC25" s="1" t="s">
        <v>74</v>
      </c>
      <c r="AD25" s="1" t="s">
        <v>74</v>
      </c>
      <c r="AE25" s="1" t="s">
        <v>74</v>
      </c>
      <c r="AF25" s="1" t="s">
        <v>74</v>
      </c>
      <c r="AG25" s="1" t="s">
        <v>74</v>
      </c>
      <c r="AH25" s="1" t="s">
        <v>74</v>
      </c>
      <c r="AI25" s="1" t="s">
        <v>74</v>
      </c>
      <c r="AJ25" s="1" t="s">
        <v>74</v>
      </c>
      <c r="AK25" s="1" t="s">
        <v>74</v>
      </c>
      <c r="AL25" s="1" t="s">
        <v>74</v>
      </c>
      <c r="AM25" s="1" t="s">
        <v>74</v>
      </c>
      <c r="AN25" s="1" t="s">
        <v>74</v>
      </c>
      <c r="AO25" s="1" t="s">
        <v>342</v>
      </c>
      <c r="AP25" s="1" t="s">
        <v>343</v>
      </c>
      <c r="AQ25" s="1" t="s">
        <v>74</v>
      </c>
      <c r="AR25" s="1" t="s">
        <v>74</v>
      </c>
      <c r="AS25" s="1" t="s">
        <v>74</v>
      </c>
      <c r="AT25" s="1" t="s">
        <v>74</v>
      </c>
      <c r="AU25" s="1">
        <v>2013.0</v>
      </c>
      <c r="AV25" s="1" t="s">
        <v>74</v>
      </c>
      <c r="AW25" s="1" t="s">
        <v>74</v>
      </c>
      <c r="AX25" s="1" t="s">
        <v>74</v>
      </c>
      <c r="AY25" s="1" t="s">
        <v>74</v>
      </c>
      <c r="AZ25" s="1" t="s">
        <v>74</v>
      </c>
      <c r="BA25" s="1" t="s">
        <v>74</v>
      </c>
      <c r="BB25" s="1" t="s">
        <v>74</v>
      </c>
      <c r="BC25" s="1" t="s">
        <v>74</v>
      </c>
      <c r="BD25" s="1">
        <v>614328.0</v>
      </c>
      <c r="BE25" s="1" t="s">
        <v>344</v>
      </c>
      <c r="BF25" s="2" t="str">
        <f>HYPERLINK("http://dx.doi.org/10.1155/2013/614328","http://dx.doi.org/10.1155/2013/614328")</f>
        <v>http://dx.doi.org/10.1155/2013/614328</v>
      </c>
      <c r="BG25" s="1" t="s">
        <v>74</v>
      </c>
      <c r="BH25" s="1" t="s">
        <v>74</v>
      </c>
      <c r="BI25" s="1" t="s">
        <v>74</v>
      </c>
      <c r="BJ25" s="1" t="s">
        <v>74</v>
      </c>
      <c r="BK25" s="1" t="s">
        <v>74</v>
      </c>
      <c r="BL25" s="1" t="s">
        <v>74</v>
      </c>
      <c r="BM25" s="1" t="s">
        <v>74</v>
      </c>
      <c r="BN25" s="1" t="s">
        <v>74</v>
      </c>
      <c r="BO25" s="1" t="s">
        <v>74</v>
      </c>
      <c r="BP25" s="1" t="s">
        <v>74</v>
      </c>
      <c r="BQ25" s="1" t="s">
        <v>74</v>
      </c>
      <c r="BR25" s="1" t="s">
        <v>74</v>
      </c>
      <c r="BS25" s="1" t="s">
        <v>345</v>
      </c>
      <c r="BT25" s="1" t="str">
        <f>HYPERLINK("https%3A%2F%2Fwww.webofscience.com%2Fwos%2Fwoscc%2Ffull-record%2FWOS:000327353900001","View Full Record in Web of Science")</f>
        <v>View Full Record in Web of Science</v>
      </c>
    </row>
    <row r="26" ht="12.75" customHeight="1">
      <c r="A26" s="1" t="s">
        <v>346</v>
      </c>
      <c r="B26" s="1" t="s">
        <v>347</v>
      </c>
      <c r="C26" s="1" t="s">
        <v>74</v>
      </c>
      <c r="D26" s="1" t="s">
        <v>74</v>
      </c>
      <c r="E26" s="1" t="s">
        <v>348</v>
      </c>
      <c r="F26" s="1" t="s">
        <v>349</v>
      </c>
      <c r="G26" s="1" t="s">
        <v>74</v>
      </c>
      <c r="H26" s="1" t="s">
        <v>74</v>
      </c>
      <c r="I26" s="1" t="s">
        <v>350</v>
      </c>
      <c r="J26" s="1" t="s">
        <v>351</v>
      </c>
      <c r="K26" s="1" t="s">
        <v>352</v>
      </c>
      <c r="L26" s="1" t="s">
        <v>74</v>
      </c>
      <c r="M26" s="1" t="s">
        <v>74</v>
      </c>
      <c r="N26" s="1" t="s">
        <v>74</v>
      </c>
      <c r="O26" s="1" t="s">
        <v>353</v>
      </c>
      <c r="P26" s="1" t="s">
        <v>354</v>
      </c>
      <c r="Q26" s="1" t="s">
        <v>355</v>
      </c>
      <c r="R26" s="1" t="s">
        <v>356</v>
      </c>
      <c r="S26" s="1" t="s">
        <v>357</v>
      </c>
      <c r="T26" s="1" t="s">
        <v>74</v>
      </c>
      <c r="U26" s="1" t="s">
        <v>74</v>
      </c>
      <c r="V26" s="1" t="s">
        <v>358</v>
      </c>
      <c r="W26" s="1" t="s">
        <v>74</v>
      </c>
      <c r="X26" s="1" t="s">
        <v>74</v>
      </c>
      <c r="Y26" s="1" t="s">
        <v>74</v>
      </c>
      <c r="Z26" s="1" t="s">
        <v>74</v>
      </c>
      <c r="AA26" s="1" t="s">
        <v>74</v>
      </c>
      <c r="AB26" s="1" t="s">
        <v>74</v>
      </c>
      <c r="AC26" s="1" t="s">
        <v>74</v>
      </c>
      <c r="AD26" s="1" t="s">
        <v>74</v>
      </c>
      <c r="AE26" s="1" t="s">
        <v>74</v>
      </c>
      <c r="AF26" s="1" t="s">
        <v>74</v>
      </c>
      <c r="AG26" s="1" t="s">
        <v>74</v>
      </c>
      <c r="AH26" s="1" t="s">
        <v>74</v>
      </c>
      <c r="AI26" s="1" t="s">
        <v>74</v>
      </c>
      <c r="AJ26" s="1" t="s">
        <v>74</v>
      </c>
      <c r="AK26" s="1" t="s">
        <v>74</v>
      </c>
      <c r="AL26" s="1" t="s">
        <v>74</v>
      </c>
      <c r="AM26" s="1" t="s">
        <v>74</v>
      </c>
      <c r="AN26" s="1" t="s">
        <v>74</v>
      </c>
      <c r="AO26" s="1" t="s">
        <v>359</v>
      </c>
      <c r="AP26" s="1" t="s">
        <v>74</v>
      </c>
      <c r="AQ26" s="1" t="s">
        <v>360</v>
      </c>
      <c r="AR26" s="1" t="s">
        <v>74</v>
      </c>
      <c r="AS26" s="1" t="s">
        <v>74</v>
      </c>
      <c r="AT26" s="1" t="s">
        <v>74</v>
      </c>
      <c r="AU26" s="1">
        <v>2013.0</v>
      </c>
      <c r="AV26" s="1" t="s">
        <v>74</v>
      </c>
      <c r="AW26" s="1" t="s">
        <v>74</v>
      </c>
      <c r="AX26" s="1" t="s">
        <v>74</v>
      </c>
      <c r="AY26" s="1" t="s">
        <v>74</v>
      </c>
      <c r="AZ26" s="1" t="s">
        <v>74</v>
      </c>
      <c r="BA26" s="1" t="s">
        <v>74</v>
      </c>
      <c r="BB26" s="1" t="s">
        <v>74</v>
      </c>
      <c r="BC26" s="1" t="s">
        <v>74</v>
      </c>
      <c r="BD26" s="1" t="s">
        <v>74</v>
      </c>
      <c r="BE26" s="1" t="s">
        <v>74</v>
      </c>
      <c r="BF26" s="1" t="s">
        <v>74</v>
      </c>
      <c r="BG26" s="1" t="s">
        <v>74</v>
      </c>
      <c r="BH26" s="1" t="s">
        <v>74</v>
      </c>
      <c r="BI26" s="1" t="s">
        <v>74</v>
      </c>
      <c r="BJ26" s="1" t="s">
        <v>74</v>
      </c>
      <c r="BK26" s="1" t="s">
        <v>74</v>
      </c>
      <c r="BL26" s="1" t="s">
        <v>74</v>
      </c>
      <c r="BM26" s="1" t="s">
        <v>74</v>
      </c>
      <c r="BN26" s="1" t="s">
        <v>74</v>
      </c>
      <c r="BO26" s="1" t="s">
        <v>74</v>
      </c>
      <c r="BP26" s="1" t="s">
        <v>74</v>
      </c>
      <c r="BQ26" s="1" t="s">
        <v>74</v>
      </c>
      <c r="BR26" s="1" t="s">
        <v>74</v>
      </c>
      <c r="BS26" s="1" t="s">
        <v>361</v>
      </c>
      <c r="BT26" s="1" t="str">
        <f>HYPERLINK("https%3A%2F%2Fwww.webofscience.com%2Fwos%2Fwoscc%2Ffull-record%2FWOS:000326283200037","View Full Record in Web of Science")</f>
        <v>View Full Record in Web of Science</v>
      </c>
    </row>
    <row r="27" ht="12.75" customHeight="1">
      <c r="A27" s="1" t="s">
        <v>72</v>
      </c>
      <c r="B27" s="1" t="s">
        <v>362</v>
      </c>
      <c r="C27" s="1" t="s">
        <v>74</v>
      </c>
      <c r="D27" s="1" t="s">
        <v>74</v>
      </c>
      <c r="E27" s="1" t="s">
        <v>74</v>
      </c>
      <c r="F27" s="1" t="s">
        <v>363</v>
      </c>
      <c r="G27" s="1" t="s">
        <v>74</v>
      </c>
      <c r="H27" s="1" t="s">
        <v>74</v>
      </c>
      <c r="I27" s="1" t="s">
        <v>364</v>
      </c>
      <c r="J27" s="1" t="s">
        <v>365</v>
      </c>
      <c r="K27" s="1" t="s">
        <v>74</v>
      </c>
      <c r="L27" s="1" t="s">
        <v>74</v>
      </c>
      <c r="M27" s="1" t="s">
        <v>74</v>
      </c>
      <c r="N27" s="1" t="s">
        <v>74</v>
      </c>
      <c r="O27" s="1" t="s">
        <v>74</v>
      </c>
      <c r="P27" s="1" t="s">
        <v>74</v>
      </c>
      <c r="Q27" s="1" t="s">
        <v>74</v>
      </c>
      <c r="R27" s="1" t="s">
        <v>74</v>
      </c>
      <c r="S27" s="1" t="s">
        <v>74</v>
      </c>
      <c r="T27" s="1" t="s">
        <v>74</v>
      </c>
      <c r="U27" s="1" t="s">
        <v>74</v>
      </c>
      <c r="V27" s="1" t="s">
        <v>366</v>
      </c>
      <c r="W27" s="1" t="s">
        <v>74</v>
      </c>
      <c r="X27" s="1" t="s">
        <v>74</v>
      </c>
      <c r="Y27" s="1" t="s">
        <v>74</v>
      </c>
      <c r="Z27" s="1" t="s">
        <v>74</v>
      </c>
      <c r="AA27" s="1" t="s">
        <v>367</v>
      </c>
      <c r="AB27" s="1" t="s">
        <v>368</v>
      </c>
      <c r="AC27" s="1" t="s">
        <v>74</v>
      </c>
      <c r="AD27" s="1" t="s">
        <v>74</v>
      </c>
      <c r="AE27" s="1" t="s">
        <v>74</v>
      </c>
      <c r="AF27" s="1" t="s">
        <v>74</v>
      </c>
      <c r="AG27" s="1" t="s">
        <v>74</v>
      </c>
      <c r="AH27" s="1" t="s">
        <v>74</v>
      </c>
      <c r="AI27" s="1" t="s">
        <v>74</v>
      </c>
      <c r="AJ27" s="1" t="s">
        <v>74</v>
      </c>
      <c r="AK27" s="1" t="s">
        <v>74</v>
      </c>
      <c r="AL27" s="1" t="s">
        <v>74</v>
      </c>
      <c r="AM27" s="1" t="s">
        <v>74</v>
      </c>
      <c r="AN27" s="1" t="s">
        <v>74</v>
      </c>
      <c r="AO27" s="1" t="s">
        <v>369</v>
      </c>
      <c r="AP27" s="1" t="s">
        <v>370</v>
      </c>
      <c r="AQ27" s="1" t="s">
        <v>74</v>
      </c>
      <c r="AR27" s="1" t="s">
        <v>74</v>
      </c>
      <c r="AS27" s="1" t="s">
        <v>74</v>
      </c>
      <c r="AT27" s="1" t="s">
        <v>74</v>
      </c>
      <c r="AU27" s="1">
        <v>2012.0</v>
      </c>
      <c r="AV27" s="1">
        <v>40.0</v>
      </c>
      <c r="AW27" s="1">
        <v>1.0</v>
      </c>
      <c r="AX27" s="1" t="s">
        <v>74</v>
      </c>
      <c r="AY27" s="1" t="s">
        <v>74</v>
      </c>
      <c r="AZ27" s="1" t="s">
        <v>74</v>
      </c>
      <c r="BA27" s="1" t="s">
        <v>74</v>
      </c>
      <c r="BB27" s="1">
        <v>113.0</v>
      </c>
      <c r="BC27" s="1">
        <v>123.0</v>
      </c>
      <c r="BD27" s="1" t="s">
        <v>74</v>
      </c>
      <c r="BE27" s="1" t="s">
        <v>371</v>
      </c>
      <c r="BF27" s="2" t="str">
        <f>HYPERLINK("http://dx.doi.org/10.3856/vol40-issue1-fulltext-11","http://dx.doi.org/10.3856/vol40-issue1-fulltext-11")</f>
        <v>http://dx.doi.org/10.3856/vol40-issue1-fulltext-11</v>
      </c>
      <c r="BG27" s="1" t="s">
        <v>74</v>
      </c>
      <c r="BH27" s="1" t="s">
        <v>74</v>
      </c>
      <c r="BI27" s="1" t="s">
        <v>74</v>
      </c>
      <c r="BJ27" s="1" t="s">
        <v>74</v>
      </c>
      <c r="BK27" s="1" t="s">
        <v>74</v>
      </c>
      <c r="BL27" s="1" t="s">
        <v>74</v>
      </c>
      <c r="BM27" s="1" t="s">
        <v>74</v>
      </c>
      <c r="BN27" s="1" t="s">
        <v>74</v>
      </c>
      <c r="BO27" s="1" t="s">
        <v>74</v>
      </c>
      <c r="BP27" s="1" t="s">
        <v>74</v>
      </c>
      <c r="BQ27" s="1" t="s">
        <v>74</v>
      </c>
      <c r="BR27" s="1" t="s">
        <v>74</v>
      </c>
      <c r="BS27" s="1" t="s">
        <v>372</v>
      </c>
      <c r="BT27" s="1" t="str">
        <f>HYPERLINK("https%3A%2F%2Fwww.webofscience.com%2Fwos%2Fwoscc%2Ffull-record%2FWOS:000306645800011","View Full Record in Web of Science")</f>
        <v>View Full Record in Web of Science</v>
      </c>
    </row>
    <row r="28" ht="12.75" customHeight="1">
      <c r="A28" s="1" t="s">
        <v>72</v>
      </c>
      <c r="B28" s="1" t="s">
        <v>373</v>
      </c>
      <c r="C28" s="1" t="s">
        <v>74</v>
      </c>
      <c r="D28" s="1" t="s">
        <v>74</v>
      </c>
      <c r="E28" s="1" t="s">
        <v>74</v>
      </c>
      <c r="F28" s="1" t="s">
        <v>374</v>
      </c>
      <c r="G28" s="1" t="s">
        <v>74</v>
      </c>
      <c r="H28" s="1" t="s">
        <v>74</v>
      </c>
      <c r="I28" s="1" t="s">
        <v>375</v>
      </c>
      <c r="J28" s="1" t="s">
        <v>376</v>
      </c>
      <c r="K28" s="1" t="s">
        <v>74</v>
      </c>
      <c r="L28" s="1" t="s">
        <v>74</v>
      </c>
      <c r="M28" s="1" t="s">
        <v>74</v>
      </c>
      <c r="N28" s="1" t="s">
        <v>74</v>
      </c>
      <c r="O28" s="1" t="s">
        <v>74</v>
      </c>
      <c r="P28" s="1" t="s">
        <v>74</v>
      </c>
      <c r="Q28" s="1" t="s">
        <v>74</v>
      </c>
      <c r="R28" s="1" t="s">
        <v>74</v>
      </c>
      <c r="S28" s="1" t="s">
        <v>74</v>
      </c>
      <c r="T28" s="1" t="s">
        <v>74</v>
      </c>
      <c r="U28" s="1" t="s">
        <v>74</v>
      </c>
      <c r="V28" s="1" t="s">
        <v>377</v>
      </c>
      <c r="W28" s="1" t="s">
        <v>74</v>
      </c>
      <c r="X28" s="1" t="s">
        <v>74</v>
      </c>
      <c r="Y28" s="1" t="s">
        <v>74</v>
      </c>
      <c r="Z28" s="1" t="s">
        <v>74</v>
      </c>
      <c r="AA28" s="1" t="s">
        <v>74</v>
      </c>
      <c r="AB28" s="1" t="s">
        <v>74</v>
      </c>
      <c r="AC28" s="1" t="s">
        <v>74</v>
      </c>
      <c r="AD28" s="1" t="s">
        <v>74</v>
      </c>
      <c r="AE28" s="1" t="s">
        <v>74</v>
      </c>
      <c r="AF28" s="1" t="s">
        <v>74</v>
      </c>
      <c r="AG28" s="1" t="s">
        <v>74</v>
      </c>
      <c r="AH28" s="1" t="s">
        <v>74</v>
      </c>
      <c r="AI28" s="1" t="s">
        <v>74</v>
      </c>
      <c r="AJ28" s="1" t="s">
        <v>74</v>
      </c>
      <c r="AK28" s="1" t="s">
        <v>74</v>
      </c>
      <c r="AL28" s="1" t="s">
        <v>74</v>
      </c>
      <c r="AM28" s="1" t="s">
        <v>74</v>
      </c>
      <c r="AN28" s="1" t="s">
        <v>74</v>
      </c>
      <c r="AO28" s="1" t="s">
        <v>378</v>
      </c>
      <c r="AP28" s="1" t="s">
        <v>74</v>
      </c>
      <c r="AQ28" s="1" t="s">
        <v>74</v>
      </c>
      <c r="AR28" s="1" t="s">
        <v>74</v>
      </c>
      <c r="AS28" s="1" t="s">
        <v>74</v>
      </c>
      <c r="AT28" s="1" t="s">
        <v>74</v>
      </c>
      <c r="AU28" s="1">
        <v>2012.0</v>
      </c>
      <c r="AV28" s="1" t="s">
        <v>74</v>
      </c>
      <c r="AW28" s="1">
        <v>506.0</v>
      </c>
      <c r="AX28" s="1" t="s">
        <v>74</v>
      </c>
      <c r="AY28" s="1" t="s">
        <v>74</v>
      </c>
      <c r="AZ28" s="1" t="s">
        <v>74</v>
      </c>
      <c r="BA28" s="1" t="s">
        <v>74</v>
      </c>
      <c r="BB28" s="1">
        <v>97.0</v>
      </c>
      <c r="BC28" s="1">
        <v>119.0</v>
      </c>
      <c r="BD28" s="1" t="s">
        <v>74</v>
      </c>
      <c r="BE28" s="1" t="s">
        <v>74</v>
      </c>
      <c r="BF28" s="1" t="s">
        <v>74</v>
      </c>
      <c r="BG28" s="1" t="s">
        <v>74</v>
      </c>
      <c r="BH28" s="1" t="s">
        <v>74</v>
      </c>
      <c r="BI28" s="1" t="s">
        <v>74</v>
      </c>
      <c r="BJ28" s="1" t="s">
        <v>74</v>
      </c>
      <c r="BK28" s="1" t="s">
        <v>74</v>
      </c>
      <c r="BL28" s="1" t="s">
        <v>74</v>
      </c>
      <c r="BM28" s="1" t="s">
        <v>74</v>
      </c>
      <c r="BN28" s="1" t="s">
        <v>74</v>
      </c>
      <c r="BO28" s="1" t="s">
        <v>74</v>
      </c>
      <c r="BP28" s="1" t="s">
        <v>74</v>
      </c>
      <c r="BQ28" s="1" t="s">
        <v>74</v>
      </c>
      <c r="BR28" s="1" t="s">
        <v>74</v>
      </c>
      <c r="BS28" s="1" t="s">
        <v>379</v>
      </c>
      <c r="BT28" s="1" t="str">
        <f>HYPERLINK("https%3A%2F%2Fwww.webofscience.com%2Fwos%2Fwoscc%2Ffull-record%2FWOS:000317251300007","View Full Record in Web of Science")</f>
        <v>View Full Record in Web of Science</v>
      </c>
    </row>
    <row r="29" ht="12.75" customHeight="1">
      <c r="A29" s="1" t="s">
        <v>380</v>
      </c>
      <c r="B29" s="1" t="s">
        <v>381</v>
      </c>
      <c r="C29" s="1" t="s">
        <v>74</v>
      </c>
      <c r="D29" s="1" t="s">
        <v>382</v>
      </c>
      <c r="E29" s="1" t="s">
        <v>74</v>
      </c>
      <c r="F29" s="1" t="s">
        <v>383</v>
      </c>
      <c r="G29" s="1" t="s">
        <v>74</v>
      </c>
      <c r="H29" s="1" t="s">
        <v>74</v>
      </c>
      <c r="I29" s="1" t="s">
        <v>384</v>
      </c>
      <c r="J29" s="1" t="s">
        <v>385</v>
      </c>
      <c r="K29" s="1" t="s">
        <v>74</v>
      </c>
      <c r="L29" s="1" t="s">
        <v>74</v>
      </c>
      <c r="M29" s="1" t="s">
        <v>74</v>
      </c>
      <c r="N29" s="1" t="s">
        <v>74</v>
      </c>
      <c r="O29" s="1" t="s">
        <v>74</v>
      </c>
      <c r="P29" s="1" t="s">
        <v>74</v>
      </c>
      <c r="Q29" s="1" t="s">
        <v>74</v>
      </c>
      <c r="R29" s="1" t="s">
        <v>74</v>
      </c>
      <c r="S29" s="1" t="s">
        <v>74</v>
      </c>
      <c r="T29" s="1" t="s">
        <v>74</v>
      </c>
      <c r="U29" s="1" t="s">
        <v>74</v>
      </c>
      <c r="V29" s="1" t="s">
        <v>74</v>
      </c>
      <c r="W29" s="1" t="s">
        <v>74</v>
      </c>
      <c r="X29" s="1" t="s">
        <v>74</v>
      </c>
      <c r="Y29" s="1" t="s">
        <v>74</v>
      </c>
      <c r="Z29" s="1" t="s">
        <v>74</v>
      </c>
      <c r="AA29" s="1" t="s">
        <v>74</v>
      </c>
      <c r="AB29" s="1" t="s">
        <v>74</v>
      </c>
      <c r="AC29" s="1" t="s">
        <v>74</v>
      </c>
      <c r="AD29" s="1" t="s">
        <v>74</v>
      </c>
      <c r="AE29" s="1" t="s">
        <v>74</v>
      </c>
      <c r="AF29" s="1" t="s">
        <v>74</v>
      </c>
      <c r="AG29" s="1" t="s">
        <v>74</v>
      </c>
      <c r="AH29" s="1" t="s">
        <v>74</v>
      </c>
      <c r="AI29" s="1" t="s">
        <v>74</v>
      </c>
      <c r="AJ29" s="1" t="s">
        <v>74</v>
      </c>
      <c r="AK29" s="1" t="s">
        <v>74</v>
      </c>
      <c r="AL29" s="1" t="s">
        <v>74</v>
      </c>
      <c r="AM29" s="1" t="s">
        <v>74</v>
      </c>
      <c r="AN29" s="1" t="s">
        <v>74</v>
      </c>
      <c r="AO29" s="1" t="s">
        <v>74</v>
      </c>
      <c r="AP29" s="1" t="s">
        <v>74</v>
      </c>
      <c r="AQ29" s="1" t="s">
        <v>386</v>
      </c>
      <c r="AR29" s="1" t="s">
        <v>74</v>
      </c>
      <c r="AS29" s="1" t="s">
        <v>74</v>
      </c>
      <c r="AT29" s="1" t="s">
        <v>74</v>
      </c>
      <c r="AU29" s="1">
        <v>2011.0</v>
      </c>
      <c r="AV29" s="1" t="s">
        <v>74</v>
      </c>
      <c r="AW29" s="1" t="s">
        <v>74</v>
      </c>
      <c r="AX29" s="1" t="s">
        <v>74</v>
      </c>
      <c r="AY29" s="1" t="s">
        <v>74</v>
      </c>
      <c r="AZ29" s="1" t="s">
        <v>74</v>
      </c>
      <c r="BA29" s="1" t="s">
        <v>74</v>
      </c>
      <c r="BB29" s="1">
        <v>170.0</v>
      </c>
      <c r="BC29" s="1">
        <v>186.0</v>
      </c>
      <c r="BD29" s="1" t="s">
        <v>74</v>
      </c>
      <c r="BE29" s="1" t="s">
        <v>74</v>
      </c>
      <c r="BF29" s="1" t="s">
        <v>74</v>
      </c>
      <c r="BG29" s="1" t="s">
        <v>74</v>
      </c>
      <c r="BH29" s="1" t="s">
        <v>74</v>
      </c>
      <c r="BI29" s="1" t="s">
        <v>74</v>
      </c>
      <c r="BJ29" s="1" t="s">
        <v>74</v>
      </c>
      <c r="BK29" s="1" t="s">
        <v>74</v>
      </c>
      <c r="BL29" s="1" t="s">
        <v>74</v>
      </c>
      <c r="BM29" s="1" t="s">
        <v>74</v>
      </c>
      <c r="BN29" s="1" t="s">
        <v>74</v>
      </c>
      <c r="BO29" s="1" t="s">
        <v>74</v>
      </c>
      <c r="BP29" s="1" t="s">
        <v>74</v>
      </c>
      <c r="BQ29" s="1" t="s">
        <v>74</v>
      </c>
      <c r="BR29" s="1" t="s">
        <v>74</v>
      </c>
      <c r="BS29" s="1" t="s">
        <v>387</v>
      </c>
      <c r="BT29" s="1" t="str">
        <f>HYPERLINK("https%3A%2F%2Fwww.webofscience.com%2Fwos%2Fwoscc%2Ffull-record%2FWOS:000383978700016","View Full Record in Web of Science")</f>
        <v>View Full Record in Web of Science</v>
      </c>
    </row>
    <row r="30" ht="12.75" customHeight="1">
      <c r="A30" s="1" t="s">
        <v>72</v>
      </c>
      <c r="B30" s="1" t="s">
        <v>388</v>
      </c>
      <c r="C30" s="1" t="s">
        <v>74</v>
      </c>
      <c r="D30" s="1" t="s">
        <v>74</v>
      </c>
      <c r="E30" s="1" t="s">
        <v>74</v>
      </c>
      <c r="F30" s="1" t="s">
        <v>389</v>
      </c>
      <c r="G30" s="1" t="s">
        <v>74</v>
      </c>
      <c r="H30" s="1" t="s">
        <v>74</v>
      </c>
      <c r="I30" s="1" t="s">
        <v>390</v>
      </c>
      <c r="J30" s="1" t="s">
        <v>391</v>
      </c>
      <c r="K30" s="1" t="s">
        <v>74</v>
      </c>
      <c r="L30" s="1" t="s">
        <v>74</v>
      </c>
      <c r="M30" s="1" t="s">
        <v>74</v>
      </c>
      <c r="N30" s="1" t="s">
        <v>74</v>
      </c>
      <c r="O30" s="1" t="s">
        <v>74</v>
      </c>
      <c r="P30" s="1" t="s">
        <v>74</v>
      </c>
      <c r="Q30" s="1" t="s">
        <v>74</v>
      </c>
      <c r="R30" s="1" t="s">
        <v>74</v>
      </c>
      <c r="S30" s="1" t="s">
        <v>74</v>
      </c>
      <c r="T30" s="1" t="s">
        <v>74</v>
      </c>
      <c r="U30" s="1" t="s">
        <v>74</v>
      </c>
      <c r="V30" s="1" t="s">
        <v>392</v>
      </c>
      <c r="W30" s="1" t="s">
        <v>74</v>
      </c>
      <c r="X30" s="1" t="s">
        <v>74</v>
      </c>
      <c r="Y30" s="1" t="s">
        <v>74</v>
      </c>
      <c r="Z30" s="1" t="s">
        <v>74</v>
      </c>
      <c r="AA30" s="1" t="s">
        <v>74</v>
      </c>
      <c r="AB30" s="1" t="s">
        <v>393</v>
      </c>
      <c r="AC30" s="1" t="s">
        <v>74</v>
      </c>
      <c r="AD30" s="1" t="s">
        <v>74</v>
      </c>
      <c r="AE30" s="1" t="s">
        <v>74</v>
      </c>
      <c r="AF30" s="1" t="s">
        <v>74</v>
      </c>
      <c r="AG30" s="1" t="s">
        <v>74</v>
      </c>
      <c r="AH30" s="1" t="s">
        <v>74</v>
      </c>
      <c r="AI30" s="1" t="s">
        <v>74</v>
      </c>
      <c r="AJ30" s="1" t="s">
        <v>74</v>
      </c>
      <c r="AK30" s="1" t="s">
        <v>74</v>
      </c>
      <c r="AL30" s="1" t="s">
        <v>74</v>
      </c>
      <c r="AM30" s="1" t="s">
        <v>74</v>
      </c>
      <c r="AN30" s="1" t="s">
        <v>74</v>
      </c>
      <c r="AO30" s="1" t="s">
        <v>394</v>
      </c>
      <c r="AP30" s="1" t="s">
        <v>74</v>
      </c>
      <c r="AQ30" s="1" t="s">
        <v>74</v>
      </c>
      <c r="AR30" s="1" t="s">
        <v>74</v>
      </c>
      <c r="AS30" s="1" t="s">
        <v>74</v>
      </c>
      <c r="AT30" s="1" t="s">
        <v>83</v>
      </c>
      <c r="AU30" s="1">
        <v>2010.0</v>
      </c>
      <c r="AV30" s="1">
        <v>138.0</v>
      </c>
      <c r="AW30" s="1">
        <v>3.0</v>
      </c>
      <c r="AX30" s="1" t="s">
        <v>74</v>
      </c>
      <c r="AY30" s="1" t="s">
        <v>74</v>
      </c>
      <c r="AZ30" s="1" t="s">
        <v>74</v>
      </c>
      <c r="BA30" s="1" t="s">
        <v>74</v>
      </c>
      <c r="BB30" s="1">
        <v>1033.0</v>
      </c>
      <c r="BC30" s="1">
        <v>1046.0</v>
      </c>
      <c r="BD30" s="1" t="s">
        <v>74</v>
      </c>
      <c r="BE30" s="1" t="s">
        <v>395</v>
      </c>
      <c r="BF30" s="2" t="str">
        <f>HYPERLINK("http://dx.doi.org/10.1090/S0002-9939-09-10139-9","http://dx.doi.org/10.1090/S0002-9939-09-10139-9")</f>
        <v>http://dx.doi.org/10.1090/S0002-9939-09-10139-9</v>
      </c>
      <c r="BG30" s="1" t="s">
        <v>74</v>
      </c>
      <c r="BH30" s="1" t="s">
        <v>74</v>
      </c>
      <c r="BI30" s="1" t="s">
        <v>74</v>
      </c>
      <c r="BJ30" s="1" t="s">
        <v>74</v>
      </c>
      <c r="BK30" s="1" t="s">
        <v>74</v>
      </c>
      <c r="BL30" s="1" t="s">
        <v>74</v>
      </c>
      <c r="BM30" s="1" t="s">
        <v>74</v>
      </c>
      <c r="BN30" s="1" t="s">
        <v>74</v>
      </c>
      <c r="BO30" s="1" t="s">
        <v>74</v>
      </c>
      <c r="BP30" s="1" t="s">
        <v>74</v>
      </c>
      <c r="BQ30" s="1" t="s">
        <v>74</v>
      </c>
      <c r="BR30" s="1" t="s">
        <v>74</v>
      </c>
      <c r="BS30" s="1" t="s">
        <v>396</v>
      </c>
      <c r="BT30" s="1" t="str">
        <f>HYPERLINK("https%3A%2F%2Fwww.webofscience.com%2Fwos%2Fwoscc%2Ffull-record%2FWOS:000275015700027","View Full Record in Web of Science")</f>
        <v>View Full Record in Web of Science</v>
      </c>
    </row>
    <row r="31" ht="12.75" customHeight="1">
      <c r="A31" s="1" t="s">
        <v>72</v>
      </c>
      <c r="B31" s="1" t="s">
        <v>397</v>
      </c>
      <c r="C31" s="1" t="s">
        <v>74</v>
      </c>
      <c r="D31" s="1" t="s">
        <v>74</v>
      </c>
      <c r="E31" s="1" t="s">
        <v>74</v>
      </c>
      <c r="F31" s="1" t="s">
        <v>398</v>
      </c>
      <c r="G31" s="1" t="s">
        <v>74</v>
      </c>
      <c r="H31" s="1" t="s">
        <v>74</v>
      </c>
      <c r="I31" s="1" t="s">
        <v>399</v>
      </c>
      <c r="J31" s="1" t="s">
        <v>400</v>
      </c>
      <c r="K31" s="1" t="s">
        <v>74</v>
      </c>
      <c r="L31" s="1" t="s">
        <v>74</v>
      </c>
      <c r="M31" s="1" t="s">
        <v>74</v>
      </c>
      <c r="N31" s="1" t="s">
        <v>74</v>
      </c>
      <c r="O31" s="1" t="s">
        <v>74</v>
      </c>
      <c r="P31" s="1" t="s">
        <v>74</v>
      </c>
      <c r="Q31" s="1" t="s">
        <v>74</v>
      </c>
      <c r="R31" s="1" t="s">
        <v>74</v>
      </c>
      <c r="S31" s="1" t="s">
        <v>74</v>
      </c>
      <c r="T31" s="1" t="s">
        <v>74</v>
      </c>
      <c r="U31" s="1" t="s">
        <v>74</v>
      </c>
      <c r="V31" s="1" t="s">
        <v>401</v>
      </c>
      <c r="W31" s="1" t="s">
        <v>74</v>
      </c>
      <c r="X31" s="1" t="s">
        <v>74</v>
      </c>
      <c r="Y31" s="1" t="s">
        <v>74</v>
      </c>
      <c r="Z31" s="1" t="s">
        <v>74</v>
      </c>
      <c r="AA31" s="1" t="s">
        <v>402</v>
      </c>
      <c r="AB31" s="1" t="s">
        <v>403</v>
      </c>
      <c r="AC31" s="1" t="s">
        <v>74</v>
      </c>
      <c r="AD31" s="1" t="s">
        <v>74</v>
      </c>
      <c r="AE31" s="1" t="s">
        <v>74</v>
      </c>
      <c r="AF31" s="1" t="s">
        <v>74</v>
      </c>
      <c r="AG31" s="1" t="s">
        <v>74</v>
      </c>
      <c r="AH31" s="1" t="s">
        <v>74</v>
      </c>
      <c r="AI31" s="1" t="s">
        <v>74</v>
      </c>
      <c r="AJ31" s="1" t="s">
        <v>74</v>
      </c>
      <c r="AK31" s="1" t="s">
        <v>74</v>
      </c>
      <c r="AL31" s="1" t="s">
        <v>74</v>
      </c>
      <c r="AM31" s="1" t="s">
        <v>74</v>
      </c>
      <c r="AN31" s="1" t="s">
        <v>74</v>
      </c>
      <c r="AO31" s="1" t="s">
        <v>404</v>
      </c>
      <c r="AP31" s="1" t="s">
        <v>405</v>
      </c>
      <c r="AQ31" s="1" t="s">
        <v>74</v>
      </c>
      <c r="AR31" s="1" t="s">
        <v>74</v>
      </c>
      <c r="AS31" s="1" t="s">
        <v>74</v>
      </c>
      <c r="AT31" s="1" t="s">
        <v>406</v>
      </c>
      <c r="AU31" s="1">
        <v>2010.0</v>
      </c>
      <c r="AV31" s="1">
        <v>86.0</v>
      </c>
      <c r="AW31" s="1">
        <v>1.0</v>
      </c>
      <c r="AX31" s="1" t="s">
        <v>74</v>
      </c>
      <c r="AY31" s="1" t="s">
        <v>74</v>
      </c>
      <c r="AZ31" s="1" t="s">
        <v>74</v>
      </c>
      <c r="BA31" s="1" t="s">
        <v>74</v>
      </c>
      <c r="BB31" s="1">
        <v>39.0</v>
      </c>
      <c r="BC31" s="1">
        <v>46.0</v>
      </c>
      <c r="BD31" s="1" t="s">
        <v>74</v>
      </c>
      <c r="BE31" s="1" t="s">
        <v>407</v>
      </c>
      <c r="BF31" s="2" t="str">
        <f>HYPERLINK("http://dx.doi.org/10.1111/j.1751-1097.2009.00643.x","http://dx.doi.org/10.1111/j.1751-1097.2009.00643.x")</f>
        <v>http://dx.doi.org/10.1111/j.1751-1097.2009.00643.x</v>
      </c>
      <c r="BG31" s="1" t="s">
        <v>74</v>
      </c>
      <c r="BH31" s="1" t="s">
        <v>74</v>
      </c>
      <c r="BI31" s="1" t="s">
        <v>74</v>
      </c>
      <c r="BJ31" s="1" t="s">
        <v>74</v>
      </c>
      <c r="BK31" s="1" t="s">
        <v>74</v>
      </c>
      <c r="BL31" s="1" t="s">
        <v>74</v>
      </c>
      <c r="BM31" s="1" t="s">
        <v>74</v>
      </c>
      <c r="BN31" s="1">
        <v>1.9930123E7</v>
      </c>
      <c r="BO31" s="1" t="s">
        <v>74</v>
      </c>
      <c r="BP31" s="1" t="s">
        <v>74</v>
      </c>
      <c r="BQ31" s="1" t="s">
        <v>74</v>
      </c>
      <c r="BR31" s="1" t="s">
        <v>74</v>
      </c>
      <c r="BS31" s="1" t="s">
        <v>408</v>
      </c>
      <c r="BT31" s="1" t="str">
        <f>HYPERLINK("https%3A%2F%2Fwww.webofscience.com%2Fwos%2Fwoscc%2Ffull-record%2FWOS:000273318800005","View Full Record in Web of Science")</f>
        <v>View Full Record in Web of Science</v>
      </c>
    </row>
    <row r="32" ht="12.75" customHeight="1">
      <c r="A32" s="1" t="s">
        <v>72</v>
      </c>
      <c r="B32" s="1" t="s">
        <v>409</v>
      </c>
      <c r="C32" s="1" t="s">
        <v>74</v>
      </c>
      <c r="D32" s="1" t="s">
        <v>74</v>
      </c>
      <c r="E32" s="1" t="s">
        <v>74</v>
      </c>
      <c r="F32" s="1" t="s">
        <v>410</v>
      </c>
      <c r="G32" s="1" t="s">
        <v>74</v>
      </c>
      <c r="H32" s="1" t="s">
        <v>74</v>
      </c>
      <c r="I32" s="1" t="s">
        <v>411</v>
      </c>
      <c r="J32" s="1" t="s">
        <v>412</v>
      </c>
      <c r="K32" s="1" t="s">
        <v>74</v>
      </c>
      <c r="L32" s="1" t="s">
        <v>74</v>
      </c>
      <c r="M32" s="1" t="s">
        <v>74</v>
      </c>
      <c r="N32" s="1" t="s">
        <v>74</v>
      </c>
      <c r="O32" s="1" t="s">
        <v>74</v>
      </c>
      <c r="P32" s="1" t="s">
        <v>74</v>
      </c>
      <c r="Q32" s="1" t="s">
        <v>74</v>
      </c>
      <c r="R32" s="1" t="s">
        <v>74</v>
      </c>
      <c r="S32" s="1" t="s">
        <v>74</v>
      </c>
      <c r="T32" s="1" t="s">
        <v>74</v>
      </c>
      <c r="U32" s="1" t="s">
        <v>74</v>
      </c>
      <c r="V32" s="1" t="s">
        <v>413</v>
      </c>
      <c r="W32" s="1" t="s">
        <v>74</v>
      </c>
      <c r="X32" s="1" t="s">
        <v>74</v>
      </c>
      <c r="Y32" s="1" t="s">
        <v>74</v>
      </c>
      <c r="Z32" s="1" t="s">
        <v>74</v>
      </c>
      <c r="AA32" s="1" t="s">
        <v>74</v>
      </c>
      <c r="AB32" s="1" t="s">
        <v>414</v>
      </c>
      <c r="AC32" s="1" t="s">
        <v>74</v>
      </c>
      <c r="AD32" s="1" t="s">
        <v>74</v>
      </c>
      <c r="AE32" s="1" t="s">
        <v>74</v>
      </c>
      <c r="AF32" s="1" t="s">
        <v>74</v>
      </c>
      <c r="AG32" s="1" t="s">
        <v>74</v>
      </c>
      <c r="AH32" s="1" t="s">
        <v>74</v>
      </c>
      <c r="AI32" s="1" t="s">
        <v>74</v>
      </c>
      <c r="AJ32" s="1" t="s">
        <v>74</v>
      </c>
      <c r="AK32" s="1" t="s">
        <v>74</v>
      </c>
      <c r="AL32" s="1" t="s">
        <v>74</v>
      </c>
      <c r="AM32" s="1" t="s">
        <v>74</v>
      </c>
      <c r="AN32" s="1" t="s">
        <v>74</v>
      </c>
      <c r="AO32" s="1" t="s">
        <v>415</v>
      </c>
      <c r="AP32" s="1" t="s">
        <v>416</v>
      </c>
      <c r="AQ32" s="1" t="s">
        <v>74</v>
      </c>
      <c r="AR32" s="1" t="s">
        <v>74</v>
      </c>
      <c r="AS32" s="1" t="s">
        <v>74</v>
      </c>
      <c r="AT32" s="1" t="s">
        <v>417</v>
      </c>
      <c r="AU32" s="1">
        <v>2006.0</v>
      </c>
      <c r="AV32" s="1">
        <v>42.0</v>
      </c>
      <c r="AW32" s="1">
        <v>3.0</v>
      </c>
      <c r="AX32" s="1" t="s">
        <v>74</v>
      </c>
      <c r="AY32" s="1" t="s">
        <v>74</v>
      </c>
      <c r="AZ32" s="1" t="s">
        <v>74</v>
      </c>
      <c r="BA32" s="1" t="s">
        <v>74</v>
      </c>
      <c r="BB32" s="1">
        <v>222.0</v>
      </c>
      <c r="BC32" s="1">
        <v>233.0</v>
      </c>
      <c r="BD32" s="1" t="s">
        <v>74</v>
      </c>
      <c r="BE32" s="1" t="s">
        <v>74</v>
      </c>
      <c r="BF32" s="1" t="s">
        <v>74</v>
      </c>
      <c r="BG32" s="1" t="s">
        <v>74</v>
      </c>
      <c r="BH32" s="1" t="s">
        <v>74</v>
      </c>
      <c r="BI32" s="1" t="s">
        <v>74</v>
      </c>
      <c r="BJ32" s="1" t="s">
        <v>74</v>
      </c>
      <c r="BK32" s="1" t="s">
        <v>74</v>
      </c>
      <c r="BL32" s="1" t="s">
        <v>74</v>
      </c>
      <c r="BM32" s="1" t="s">
        <v>74</v>
      </c>
      <c r="BN32" s="1" t="s">
        <v>74</v>
      </c>
      <c r="BO32" s="1" t="s">
        <v>74</v>
      </c>
      <c r="BP32" s="1" t="s">
        <v>74</v>
      </c>
      <c r="BQ32" s="1" t="s">
        <v>74</v>
      </c>
      <c r="BR32" s="1" t="s">
        <v>74</v>
      </c>
      <c r="BS32" s="1" t="s">
        <v>418</v>
      </c>
      <c r="BT32" s="1" t="str">
        <f>HYPERLINK("https%3A%2F%2Fwww.webofscience.com%2Fwos%2Fwoscc%2Ffull-record%2FWOS:000241465500008","View Full Record in Web of Science")</f>
        <v>View Full Record in Web of Science</v>
      </c>
    </row>
    <row r="33" ht="12.75" customHeight="1">
      <c r="A33" s="1" t="s">
        <v>72</v>
      </c>
      <c r="B33" s="1" t="s">
        <v>419</v>
      </c>
      <c r="C33" s="1" t="s">
        <v>74</v>
      </c>
      <c r="D33" s="1" t="s">
        <v>74</v>
      </c>
      <c r="E33" s="1" t="s">
        <v>74</v>
      </c>
      <c r="F33" s="1" t="s">
        <v>419</v>
      </c>
      <c r="G33" s="1" t="s">
        <v>74</v>
      </c>
      <c r="H33" s="1" t="s">
        <v>74</v>
      </c>
      <c r="I33" s="1" t="s">
        <v>420</v>
      </c>
      <c r="J33" s="1" t="s">
        <v>421</v>
      </c>
      <c r="K33" s="1" t="s">
        <v>74</v>
      </c>
      <c r="L33" s="1" t="s">
        <v>74</v>
      </c>
      <c r="M33" s="1" t="s">
        <v>74</v>
      </c>
      <c r="N33" s="1" t="s">
        <v>74</v>
      </c>
      <c r="O33" s="1" t="s">
        <v>74</v>
      </c>
      <c r="P33" s="1" t="s">
        <v>74</v>
      </c>
      <c r="Q33" s="1" t="s">
        <v>74</v>
      </c>
      <c r="R33" s="1" t="s">
        <v>74</v>
      </c>
      <c r="S33" s="1" t="s">
        <v>74</v>
      </c>
      <c r="T33" s="1" t="s">
        <v>74</v>
      </c>
      <c r="U33" s="1" t="s">
        <v>74</v>
      </c>
      <c r="V33" s="1" t="s">
        <v>422</v>
      </c>
      <c r="W33" s="1" t="s">
        <v>74</v>
      </c>
      <c r="X33" s="1" t="s">
        <v>74</v>
      </c>
      <c r="Y33" s="1" t="s">
        <v>74</v>
      </c>
      <c r="Z33" s="1" t="s">
        <v>74</v>
      </c>
      <c r="AA33" s="1" t="s">
        <v>423</v>
      </c>
      <c r="AB33" s="1" t="s">
        <v>424</v>
      </c>
      <c r="AC33" s="1" t="s">
        <v>74</v>
      </c>
      <c r="AD33" s="1" t="s">
        <v>74</v>
      </c>
      <c r="AE33" s="1" t="s">
        <v>74</v>
      </c>
      <c r="AF33" s="1" t="s">
        <v>74</v>
      </c>
      <c r="AG33" s="1" t="s">
        <v>74</v>
      </c>
      <c r="AH33" s="1" t="s">
        <v>74</v>
      </c>
      <c r="AI33" s="1" t="s">
        <v>74</v>
      </c>
      <c r="AJ33" s="1" t="s">
        <v>74</v>
      </c>
      <c r="AK33" s="1" t="s">
        <v>74</v>
      </c>
      <c r="AL33" s="1" t="s">
        <v>74</v>
      </c>
      <c r="AM33" s="1" t="s">
        <v>74</v>
      </c>
      <c r="AN33" s="1" t="s">
        <v>74</v>
      </c>
      <c r="AO33" s="1" t="s">
        <v>425</v>
      </c>
      <c r="AP33" s="1" t="s">
        <v>426</v>
      </c>
      <c r="AQ33" s="1" t="s">
        <v>74</v>
      </c>
      <c r="AR33" s="1" t="s">
        <v>74</v>
      </c>
      <c r="AS33" s="1" t="s">
        <v>74</v>
      </c>
      <c r="AT33" s="1" t="s">
        <v>427</v>
      </c>
      <c r="AU33" s="1">
        <v>2005.0</v>
      </c>
      <c r="AV33" s="1">
        <v>281.0</v>
      </c>
      <c r="AW33" s="1" t="s">
        <v>428</v>
      </c>
      <c r="AX33" s="1" t="s">
        <v>74</v>
      </c>
      <c r="AY33" s="1" t="s">
        <v>74</v>
      </c>
      <c r="AZ33" s="1" t="s">
        <v>74</v>
      </c>
      <c r="BA33" s="1" t="s">
        <v>74</v>
      </c>
      <c r="BB33" s="1">
        <v>25.0</v>
      </c>
      <c r="BC33" s="1">
        <v>30.0</v>
      </c>
      <c r="BD33" s="1" t="s">
        <v>74</v>
      </c>
      <c r="BE33" s="1" t="s">
        <v>429</v>
      </c>
      <c r="BF33" s="2" t="str">
        <f>HYPERLINK("http://dx.doi.org/10.1016/j.apcata.2004.11.008","http://dx.doi.org/10.1016/j.apcata.2004.11.008")</f>
        <v>http://dx.doi.org/10.1016/j.apcata.2004.11.008</v>
      </c>
      <c r="BG33" s="1" t="s">
        <v>74</v>
      </c>
      <c r="BH33" s="1" t="s">
        <v>74</v>
      </c>
      <c r="BI33" s="1" t="s">
        <v>74</v>
      </c>
      <c r="BJ33" s="1" t="s">
        <v>74</v>
      </c>
      <c r="BK33" s="1" t="s">
        <v>74</v>
      </c>
      <c r="BL33" s="1" t="s">
        <v>74</v>
      </c>
      <c r="BM33" s="1" t="s">
        <v>74</v>
      </c>
      <c r="BN33" s="1" t="s">
        <v>74</v>
      </c>
      <c r="BO33" s="1" t="s">
        <v>74</v>
      </c>
      <c r="BP33" s="1" t="s">
        <v>74</v>
      </c>
      <c r="BQ33" s="1" t="s">
        <v>74</v>
      </c>
      <c r="BR33" s="1" t="s">
        <v>74</v>
      </c>
      <c r="BS33" s="1" t="s">
        <v>430</v>
      </c>
      <c r="BT33" s="1" t="str">
        <f>HYPERLINK("https%3A%2F%2Fwww.webofscience.com%2Fwos%2Fwoscc%2Ffull-record%2FWOS:000227853700004","View Full Record in Web of Science")</f>
        <v>View Full Record in Web of Science</v>
      </c>
    </row>
    <row r="34" ht="12.75" customHeight="1">
      <c r="A34" s="1" t="s">
        <v>72</v>
      </c>
      <c r="B34" s="1" t="s">
        <v>431</v>
      </c>
      <c r="C34" s="1" t="s">
        <v>74</v>
      </c>
      <c r="D34" s="1" t="s">
        <v>74</v>
      </c>
      <c r="E34" s="1" t="s">
        <v>74</v>
      </c>
      <c r="F34" s="1" t="s">
        <v>431</v>
      </c>
      <c r="G34" s="1" t="s">
        <v>74</v>
      </c>
      <c r="H34" s="1" t="s">
        <v>74</v>
      </c>
      <c r="I34" s="1" t="s">
        <v>432</v>
      </c>
      <c r="J34" s="1" t="s">
        <v>433</v>
      </c>
      <c r="K34" s="1" t="s">
        <v>74</v>
      </c>
      <c r="L34" s="1" t="s">
        <v>74</v>
      </c>
      <c r="M34" s="1" t="s">
        <v>74</v>
      </c>
      <c r="N34" s="1" t="s">
        <v>74</v>
      </c>
      <c r="O34" s="1" t="s">
        <v>74</v>
      </c>
      <c r="P34" s="1" t="s">
        <v>74</v>
      </c>
      <c r="Q34" s="1" t="s">
        <v>74</v>
      </c>
      <c r="R34" s="1" t="s">
        <v>74</v>
      </c>
      <c r="S34" s="1" t="s">
        <v>74</v>
      </c>
      <c r="T34" s="1" t="s">
        <v>74</v>
      </c>
      <c r="U34" s="1" t="s">
        <v>74</v>
      </c>
      <c r="V34" s="1" t="s">
        <v>434</v>
      </c>
      <c r="W34" s="1" t="s">
        <v>74</v>
      </c>
      <c r="X34" s="1" t="s">
        <v>74</v>
      </c>
      <c r="Y34" s="1" t="s">
        <v>74</v>
      </c>
      <c r="Z34" s="1" t="s">
        <v>74</v>
      </c>
      <c r="AA34" s="1" t="s">
        <v>435</v>
      </c>
      <c r="AB34" s="1" t="s">
        <v>436</v>
      </c>
      <c r="AC34" s="1" t="s">
        <v>74</v>
      </c>
      <c r="AD34" s="1" t="s">
        <v>74</v>
      </c>
      <c r="AE34" s="1" t="s">
        <v>74</v>
      </c>
      <c r="AF34" s="1" t="s">
        <v>74</v>
      </c>
      <c r="AG34" s="1" t="s">
        <v>74</v>
      </c>
      <c r="AH34" s="1" t="s">
        <v>74</v>
      </c>
      <c r="AI34" s="1" t="s">
        <v>74</v>
      </c>
      <c r="AJ34" s="1" t="s">
        <v>74</v>
      </c>
      <c r="AK34" s="1" t="s">
        <v>74</v>
      </c>
      <c r="AL34" s="1" t="s">
        <v>74</v>
      </c>
      <c r="AM34" s="1" t="s">
        <v>74</v>
      </c>
      <c r="AN34" s="1" t="s">
        <v>74</v>
      </c>
      <c r="AO34" s="1" t="s">
        <v>437</v>
      </c>
      <c r="AP34" s="1" t="s">
        <v>438</v>
      </c>
      <c r="AQ34" s="1" t="s">
        <v>74</v>
      </c>
      <c r="AR34" s="1" t="s">
        <v>74</v>
      </c>
      <c r="AS34" s="1" t="s">
        <v>74</v>
      </c>
      <c r="AT34" s="1" t="s">
        <v>164</v>
      </c>
      <c r="AU34" s="1">
        <v>2002.0</v>
      </c>
      <c r="AV34" s="1">
        <v>118.0</v>
      </c>
      <c r="AW34" s="1">
        <v>1.0</v>
      </c>
      <c r="AX34" s="1" t="s">
        <v>74</v>
      </c>
      <c r="AY34" s="1" t="s">
        <v>74</v>
      </c>
      <c r="AZ34" s="1" t="s">
        <v>74</v>
      </c>
      <c r="BA34" s="1" t="s">
        <v>74</v>
      </c>
      <c r="BB34" s="1">
        <v>69.0</v>
      </c>
      <c r="BC34" s="1">
        <v>78.0</v>
      </c>
      <c r="BD34" s="1" t="s">
        <v>74</v>
      </c>
      <c r="BE34" s="1" t="s">
        <v>439</v>
      </c>
      <c r="BF34" s="2" t="str">
        <f>HYPERLINK("http://dx.doi.org/10.1007/s00418-002-0414-2","http://dx.doi.org/10.1007/s00418-002-0414-2")</f>
        <v>http://dx.doi.org/10.1007/s00418-002-0414-2</v>
      </c>
      <c r="BG34" s="1" t="s">
        <v>74</v>
      </c>
      <c r="BH34" s="1" t="s">
        <v>74</v>
      </c>
      <c r="BI34" s="1" t="s">
        <v>74</v>
      </c>
      <c r="BJ34" s="1" t="s">
        <v>74</v>
      </c>
      <c r="BK34" s="1" t="s">
        <v>74</v>
      </c>
      <c r="BL34" s="1" t="s">
        <v>74</v>
      </c>
      <c r="BM34" s="1" t="s">
        <v>74</v>
      </c>
      <c r="BN34" s="1">
        <v>1.2122449E7</v>
      </c>
      <c r="BO34" s="1" t="s">
        <v>74</v>
      </c>
      <c r="BP34" s="1" t="s">
        <v>74</v>
      </c>
      <c r="BQ34" s="1" t="s">
        <v>74</v>
      </c>
      <c r="BR34" s="1" t="s">
        <v>74</v>
      </c>
      <c r="BS34" s="1" t="s">
        <v>440</v>
      </c>
      <c r="BT34" s="1" t="str">
        <f>HYPERLINK("https%3A%2F%2Fwww.webofscience.com%2Fwos%2Fwoscc%2Ffull-record%2FWOS:000177218100009","View Full Record in Web of Science")</f>
        <v>View Full Record in Web of Science</v>
      </c>
    </row>
    <row r="35" ht="12.75" customHeight="1">
      <c r="A35" s="1" t="s">
        <v>72</v>
      </c>
      <c r="B35" s="1" t="s">
        <v>441</v>
      </c>
      <c r="C35" s="1" t="s">
        <v>74</v>
      </c>
      <c r="D35" s="1" t="s">
        <v>74</v>
      </c>
      <c r="E35" s="1" t="s">
        <v>74</v>
      </c>
      <c r="F35" s="1" t="s">
        <v>441</v>
      </c>
      <c r="G35" s="1" t="s">
        <v>74</v>
      </c>
      <c r="H35" s="1" t="s">
        <v>74</v>
      </c>
      <c r="I35" s="1" t="s">
        <v>442</v>
      </c>
      <c r="J35" s="1" t="s">
        <v>443</v>
      </c>
      <c r="K35" s="1" t="s">
        <v>74</v>
      </c>
      <c r="L35" s="1" t="s">
        <v>74</v>
      </c>
      <c r="M35" s="1" t="s">
        <v>74</v>
      </c>
      <c r="N35" s="1" t="s">
        <v>74</v>
      </c>
      <c r="O35" s="1" t="s">
        <v>74</v>
      </c>
      <c r="P35" s="1" t="s">
        <v>74</v>
      </c>
      <c r="Q35" s="1" t="s">
        <v>74</v>
      </c>
      <c r="R35" s="1" t="s">
        <v>74</v>
      </c>
      <c r="S35" s="1" t="s">
        <v>74</v>
      </c>
      <c r="T35" s="1" t="s">
        <v>74</v>
      </c>
      <c r="U35" s="1" t="s">
        <v>74</v>
      </c>
      <c r="V35" s="1" t="s">
        <v>444</v>
      </c>
      <c r="W35" s="1" t="s">
        <v>74</v>
      </c>
      <c r="X35" s="1" t="s">
        <v>74</v>
      </c>
      <c r="Y35" s="1" t="s">
        <v>74</v>
      </c>
      <c r="Z35" s="1" t="s">
        <v>74</v>
      </c>
      <c r="AA35" s="1" t="s">
        <v>445</v>
      </c>
      <c r="AB35" s="1" t="s">
        <v>446</v>
      </c>
      <c r="AC35" s="1" t="s">
        <v>74</v>
      </c>
      <c r="AD35" s="1" t="s">
        <v>74</v>
      </c>
      <c r="AE35" s="1" t="s">
        <v>74</v>
      </c>
      <c r="AF35" s="1" t="s">
        <v>74</v>
      </c>
      <c r="AG35" s="1" t="s">
        <v>74</v>
      </c>
      <c r="AH35" s="1" t="s">
        <v>74</v>
      </c>
      <c r="AI35" s="1" t="s">
        <v>74</v>
      </c>
      <c r="AJ35" s="1" t="s">
        <v>74</v>
      </c>
      <c r="AK35" s="1" t="s">
        <v>74</v>
      </c>
      <c r="AL35" s="1" t="s">
        <v>74</v>
      </c>
      <c r="AM35" s="1" t="s">
        <v>74</v>
      </c>
      <c r="AN35" s="1" t="s">
        <v>74</v>
      </c>
      <c r="AO35" s="1" t="s">
        <v>447</v>
      </c>
      <c r="AP35" s="1" t="s">
        <v>448</v>
      </c>
      <c r="AQ35" s="1" t="s">
        <v>74</v>
      </c>
      <c r="AR35" s="1" t="s">
        <v>74</v>
      </c>
      <c r="AS35" s="1" t="s">
        <v>74</v>
      </c>
      <c r="AT35" s="1" t="s">
        <v>83</v>
      </c>
      <c r="AU35" s="1">
        <v>2001.0</v>
      </c>
      <c r="AV35" s="1">
        <v>16.0</v>
      </c>
      <c r="AW35" s="1">
        <v>3.0</v>
      </c>
      <c r="AX35" s="1" t="s">
        <v>74</v>
      </c>
      <c r="AY35" s="1" t="s">
        <v>74</v>
      </c>
      <c r="AZ35" s="1" t="s">
        <v>74</v>
      </c>
      <c r="BA35" s="1" t="s">
        <v>74</v>
      </c>
      <c r="BB35" s="1">
        <v>463.0</v>
      </c>
      <c r="BC35" s="1">
        <v>468.0</v>
      </c>
      <c r="BD35" s="1" t="s">
        <v>74</v>
      </c>
      <c r="BE35" s="1" t="s">
        <v>449</v>
      </c>
      <c r="BF35" s="2" t="str">
        <f>HYPERLINK("http://dx.doi.org/10.1093/humrep/16.3.463","http://dx.doi.org/10.1093/humrep/16.3.463")</f>
        <v>http://dx.doi.org/10.1093/humrep/16.3.463</v>
      </c>
      <c r="BG35" s="1" t="s">
        <v>74</v>
      </c>
      <c r="BH35" s="1" t="s">
        <v>74</v>
      </c>
      <c r="BI35" s="1" t="s">
        <v>74</v>
      </c>
      <c r="BJ35" s="1" t="s">
        <v>74</v>
      </c>
      <c r="BK35" s="1" t="s">
        <v>74</v>
      </c>
      <c r="BL35" s="1" t="s">
        <v>74</v>
      </c>
      <c r="BM35" s="1" t="s">
        <v>74</v>
      </c>
      <c r="BN35" s="1">
        <v>1.1228212E7</v>
      </c>
      <c r="BO35" s="1" t="s">
        <v>74</v>
      </c>
      <c r="BP35" s="1" t="s">
        <v>74</v>
      </c>
      <c r="BQ35" s="1" t="s">
        <v>74</v>
      </c>
      <c r="BR35" s="1" t="s">
        <v>74</v>
      </c>
      <c r="BS35" s="1" t="s">
        <v>450</v>
      </c>
      <c r="BT35" s="1" t="str">
        <f>HYPERLINK("https%3A%2F%2Fwww.webofscience.com%2Fwos%2Fwoscc%2Ffull-record%2FWOS:000167497700011","View Full Record in Web of Science")</f>
        <v>View Full Record in Web of Science</v>
      </c>
    </row>
    <row r="36" ht="12.75" customHeight="1">
      <c r="A36" s="1" t="s">
        <v>72</v>
      </c>
      <c r="B36" s="1" t="s">
        <v>451</v>
      </c>
      <c r="C36" s="1" t="s">
        <v>74</v>
      </c>
      <c r="D36" s="1" t="s">
        <v>74</v>
      </c>
      <c r="E36" s="1" t="s">
        <v>74</v>
      </c>
      <c r="F36" s="1" t="s">
        <v>451</v>
      </c>
      <c r="G36" s="1" t="s">
        <v>74</v>
      </c>
      <c r="H36" s="1" t="s">
        <v>74</v>
      </c>
      <c r="I36" s="1" t="s">
        <v>452</v>
      </c>
      <c r="J36" s="1" t="s">
        <v>453</v>
      </c>
      <c r="K36" s="1" t="s">
        <v>74</v>
      </c>
      <c r="L36" s="1" t="s">
        <v>74</v>
      </c>
      <c r="M36" s="1" t="s">
        <v>74</v>
      </c>
      <c r="N36" s="1" t="s">
        <v>74</v>
      </c>
      <c r="O36" s="1" t="s">
        <v>454</v>
      </c>
      <c r="P36" s="1" t="s">
        <v>455</v>
      </c>
      <c r="Q36" s="1" t="s">
        <v>456</v>
      </c>
      <c r="R36" s="1" t="s">
        <v>457</v>
      </c>
      <c r="S36" s="1" t="s">
        <v>74</v>
      </c>
      <c r="T36" s="1" t="s">
        <v>74</v>
      </c>
      <c r="U36" s="1" t="s">
        <v>74</v>
      </c>
      <c r="V36" s="1" t="s">
        <v>458</v>
      </c>
      <c r="W36" s="1" t="s">
        <v>74</v>
      </c>
      <c r="X36" s="1" t="s">
        <v>74</v>
      </c>
      <c r="Y36" s="1" t="s">
        <v>74</v>
      </c>
      <c r="Z36" s="1" t="s">
        <v>74</v>
      </c>
      <c r="AA36" s="1" t="s">
        <v>459</v>
      </c>
      <c r="AB36" s="1" t="s">
        <v>74</v>
      </c>
      <c r="AC36" s="1" t="s">
        <v>74</v>
      </c>
      <c r="AD36" s="1" t="s">
        <v>74</v>
      </c>
      <c r="AE36" s="1" t="s">
        <v>74</v>
      </c>
      <c r="AF36" s="1" t="s">
        <v>74</v>
      </c>
      <c r="AG36" s="1" t="s">
        <v>74</v>
      </c>
      <c r="AH36" s="1" t="s">
        <v>74</v>
      </c>
      <c r="AI36" s="1" t="s">
        <v>74</v>
      </c>
      <c r="AJ36" s="1" t="s">
        <v>74</v>
      </c>
      <c r="AK36" s="1" t="s">
        <v>74</v>
      </c>
      <c r="AL36" s="1" t="s">
        <v>74</v>
      </c>
      <c r="AM36" s="1" t="s">
        <v>74</v>
      </c>
      <c r="AN36" s="1" t="s">
        <v>74</v>
      </c>
      <c r="AO36" s="1" t="s">
        <v>460</v>
      </c>
      <c r="AP36" s="1" t="s">
        <v>74</v>
      </c>
      <c r="AQ36" s="1" t="s">
        <v>74</v>
      </c>
      <c r="AR36" s="1" t="s">
        <v>74</v>
      </c>
      <c r="AS36" s="1" t="s">
        <v>74</v>
      </c>
      <c r="AT36" s="1" t="s">
        <v>461</v>
      </c>
      <c r="AU36" s="1">
        <v>2000.0</v>
      </c>
      <c r="AV36" s="1">
        <v>45.0</v>
      </c>
      <c r="AW36" s="1">
        <v>3.0</v>
      </c>
      <c r="AX36" s="1" t="s">
        <v>74</v>
      </c>
      <c r="AY36" s="1" t="s">
        <v>74</v>
      </c>
      <c r="AZ36" s="1" t="s">
        <v>74</v>
      </c>
      <c r="BA36" s="1" t="s">
        <v>74</v>
      </c>
      <c r="BB36" s="1">
        <v>385.0</v>
      </c>
      <c r="BC36" s="1">
        <v>389.0</v>
      </c>
      <c r="BD36" s="1" t="s">
        <v>74</v>
      </c>
      <c r="BE36" s="1" t="s">
        <v>74</v>
      </c>
      <c r="BF36" s="1" t="s">
        <v>74</v>
      </c>
      <c r="BG36" s="1" t="s">
        <v>74</v>
      </c>
      <c r="BH36" s="1" t="s">
        <v>74</v>
      </c>
      <c r="BI36" s="1" t="s">
        <v>74</v>
      </c>
      <c r="BJ36" s="1" t="s">
        <v>74</v>
      </c>
      <c r="BK36" s="1" t="s">
        <v>74</v>
      </c>
      <c r="BL36" s="1" t="s">
        <v>74</v>
      </c>
      <c r="BM36" s="1" t="s">
        <v>74</v>
      </c>
      <c r="BN36" s="1" t="s">
        <v>74</v>
      </c>
      <c r="BO36" s="1" t="s">
        <v>74</v>
      </c>
      <c r="BP36" s="1" t="s">
        <v>74</v>
      </c>
      <c r="BQ36" s="1" t="s">
        <v>74</v>
      </c>
      <c r="BR36" s="1" t="s">
        <v>74</v>
      </c>
      <c r="BS36" s="1" t="s">
        <v>462</v>
      </c>
      <c r="BT36" s="1" t="str">
        <f>HYPERLINK("https%3A%2F%2Fwww.webofscience.com%2Fwos%2Fwoscc%2Ffull-record%2FWOS:000089763300008","View Full Record in Web of Science")</f>
        <v>View Full Record in Web of Science</v>
      </c>
    </row>
    <row r="37" ht="12.75" customHeight="1">
      <c r="A37" s="1" t="s">
        <v>72</v>
      </c>
      <c r="B37" s="1" t="s">
        <v>463</v>
      </c>
      <c r="C37" s="1" t="s">
        <v>74</v>
      </c>
      <c r="D37" s="1" t="s">
        <v>74</v>
      </c>
      <c r="E37" s="1" t="s">
        <v>74</v>
      </c>
      <c r="F37" s="1" t="s">
        <v>463</v>
      </c>
      <c r="G37" s="1" t="s">
        <v>74</v>
      </c>
      <c r="H37" s="1" t="s">
        <v>74</v>
      </c>
      <c r="I37" s="1" t="s">
        <v>464</v>
      </c>
      <c r="J37" s="1" t="s">
        <v>465</v>
      </c>
      <c r="K37" s="1" t="s">
        <v>74</v>
      </c>
      <c r="L37" s="1" t="s">
        <v>74</v>
      </c>
      <c r="M37" s="1" t="s">
        <v>74</v>
      </c>
      <c r="N37" s="1" t="s">
        <v>74</v>
      </c>
      <c r="O37" s="1" t="s">
        <v>74</v>
      </c>
      <c r="P37" s="1" t="s">
        <v>74</v>
      </c>
      <c r="Q37" s="1" t="s">
        <v>74</v>
      </c>
      <c r="R37" s="1" t="s">
        <v>74</v>
      </c>
      <c r="S37" s="1" t="s">
        <v>74</v>
      </c>
      <c r="T37" s="1" t="s">
        <v>74</v>
      </c>
      <c r="U37" s="1" t="s">
        <v>74</v>
      </c>
      <c r="V37" s="1" t="s">
        <v>466</v>
      </c>
      <c r="W37" s="1" t="s">
        <v>74</v>
      </c>
      <c r="X37" s="1" t="s">
        <v>74</v>
      </c>
      <c r="Y37" s="1" t="s">
        <v>74</v>
      </c>
      <c r="Z37" s="1" t="s">
        <v>74</v>
      </c>
      <c r="AA37" s="1" t="s">
        <v>74</v>
      </c>
      <c r="AB37" s="1" t="s">
        <v>467</v>
      </c>
      <c r="AC37" s="1" t="s">
        <v>74</v>
      </c>
      <c r="AD37" s="1" t="s">
        <v>74</v>
      </c>
      <c r="AE37" s="1" t="s">
        <v>74</v>
      </c>
      <c r="AF37" s="1" t="s">
        <v>74</v>
      </c>
      <c r="AG37" s="1" t="s">
        <v>74</v>
      </c>
      <c r="AH37" s="1" t="s">
        <v>74</v>
      </c>
      <c r="AI37" s="1" t="s">
        <v>74</v>
      </c>
      <c r="AJ37" s="1" t="s">
        <v>74</v>
      </c>
      <c r="AK37" s="1" t="s">
        <v>74</v>
      </c>
      <c r="AL37" s="1" t="s">
        <v>74</v>
      </c>
      <c r="AM37" s="1" t="s">
        <v>74</v>
      </c>
      <c r="AN37" s="1" t="s">
        <v>74</v>
      </c>
      <c r="AO37" s="1" t="s">
        <v>468</v>
      </c>
      <c r="AP37" s="1" t="s">
        <v>74</v>
      </c>
      <c r="AQ37" s="1" t="s">
        <v>74</v>
      </c>
      <c r="AR37" s="1" t="s">
        <v>74</v>
      </c>
      <c r="AS37" s="1" t="s">
        <v>74</v>
      </c>
      <c r="AT37" s="1" t="s">
        <v>164</v>
      </c>
      <c r="AU37" s="1">
        <v>2000.0</v>
      </c>
      <c r="AV37" s="1">
        <v>3.0</v>
      </c>
      <c r="AW37" s="1">
        <v>7.0</v>
      </c>
      <c r="AX37" s="1" t="s">
        <v>74</v>
      </c>
      <c r="AY37" s="1" t="s">
        <v>74</v>
      </c>
      <c r="AZ37" s="1" t="s">
        <v>74</v>
      </c>
      <c r="BA37" s="1" t="s">
        <v>74</v>
      </c>
      <c r="BB37" s="1">
        <v>376.0</v>
      </c>
      <c r="BC37" s="1">
        <v>378.0</v>
      </c>
      <c r="BD37" s="1" t="s">
        <v>74</v>
      </c>
      <c r="BE37" s="1" t="s">
        <v>469</v>
      </c>
      <c r="BF37" s="2" t="str">
        <f>HYPERLINK("http://dx.doi.org/10.1016/S1387-7003(00)00095-2","http://dx.doi.org/10.1016/S1387-7003(00)00095-2")</f>
        <v>http://dx.doi.org/10.1016/S1387-7003(00)00095-2</v>
      </c>
      <c r="BG37" s="1" t="s">
        <v>74</v>
      </c>
      <c r="BH37" s="1" t="s">
        <v>74</v>
      </c>
      <c r="BI37" s="1" t="s">
        <v>74</v>
      </c>
      <c r="BJ37" s="1" t="s">
        <v>74</v>
      </c>
      <c r="BK37" s="1" t="s">
        <v>74</v>
      </c>
      <c r="BL37" s="1" t="s">
        <v>74</v>
      </c>
      <c r="BM37" s="1" t="s">
        <v>74</v>
      </c>
      <c r="BN37" s="1" t="s">
        <v>74</v>
      </c>
      <c r="BO37" s="1" t="s">
        <v>74</v>
      </c>
      <c r="BP37" s="1" t="s">
        <v>74</v>
      </c>
      <c r="BQ37" s="1" t="s">
        <v>74</v>
      </c>
      <c r="BR37" s="1" t="s">
        <v>74</v>
      </c>
      <c r="BS37" s="1" t="s">
        <v>470</v>
      </c>
      <c r="BT37" s="1" t="str">
        <f>HYPERLINK("https%3A%2F%2Fwww.webofscience.com%2Fwos%2Fwoscc%2Ffull-record%2FWOS:000088551400010","View Full Record in Web of Science")</f>
        <v>View Full Record in Web of Science</v>
      </c>
    </row>
    <row r="38" ht="12.75" customHeight="1">
      <c r="A38" s="1" t="s">
        <v>72</v>
      </c>
      <c r="B38" s="1" t="s">
        <v>471</v>
      </c>
      <c r="C38" s="1" t="s">
        <v>74</v>
      </c>
      <c r="D38" s="1" t="s">
        <v>74</v>
      </c>
      <c r="E38" s="1" t="s">
        <v>74</v>
      </c>
      <c r="F38" s="1" t="s">
        <v>471</v>
      </c>
      <c r="G38" s="1" t="s">
        <v>74</v>
      </c>
      <c r="H38" s="1" t="s">
        <v>74</v>
      </c>
      <c r="I38" s="1" t="s">
        <v>472</v>
      </c>
      <c r="J38" s="1" t="s">
        <v>473</v>
      </c>
      <c r="K38" s="1" t="s">
        <v>74</v>
      </c>
      <c r="L38" s="1" t="s">
        <v>74</v>
      </c>
      <c r="M38" s="1" t="s">
        <v>74</v>
      </c>
      <c r="N38" s="1" t="s">
        <v>74</v>
      </c>
      <c r="O38" s="1" t="s">
        <v>74</v>
      </c>
      <c r="P38" s="1" t="s">
        <v>74</v>
      </c>
      <c r="Q38" s="1" t="s">
        <v>74</v>
      </c>
      <c r="R38" s="1" t="s">
        <v>74</v>
      </c>
      <c r="S38" s="1" t="s">
        <v>74</v>
      </c>
      <c r="T38" s="1" t="s">
        <v>74</v>
      </c>
      <c r="U38" s="1" t="s">
        <v>74</v>
      </c>
      <c r="V38" s="1" t="s">
        <v>74</v>
      </c>
      <c r="W38" s="1" t="s">
        <v>74</v>
      </c>
      <c r="X38" s="1" t="s">
        <v>74</v>
      </c>
      <c r="Y38" s="1" t="s">
        <v>74</v>
      </c>
      <c r="Z38" s="1" t="s">
        <v>74</v>
      </c>
      <c r="AA38" s="1" t="s">
        <v>74</v>
      </c>
      <c r="AB38" s="1" t="s">
        <v>74</v>
      </c>
      <c r="AC38" s="1" t="s">
        <v>74</v>
      </c>
      <c r="AD38" s="1" t="s">
        <v>74</v>
      </c>
      <c r="AE38" s="1" t="s">
        <v>74</v>
      </c>
      <c r="AF38" s="1" t="s">
        <v>74</v>
      </c>
      <c r="AG38" s="1" t="s">
        <v>74</v>
      </c>
      <c r="AH38" s="1" t="s">
        <v>74</v>
      </c>
      <c r="AI38" s="1" t="s">
        <v>74</v>
      </c>
      <c r="AJ38" s="1" t="s">
        <v>74</v>
      </c>
      <c r="AK38" s="1" t="s">
        <v>74</v>
      </c>
      <c r="AL38" s="1" t="s">
        <v>74</v>
      </c>
      <c r="AM38" s="1" t="s">
        <v>74</v>
      </c>
      <c r="AN38" s="1" t="s">
        <v>74</v>
      </c>
      <c r="AO38" s="1" t="s">
        <v>474</v>
      </c>
      <c r="AP38" s="1" t="s">
        <v>74</v>
      </c>
      <c r="AQ38" s="1" t="s">
        <v>74</v>
      </c>
      <c r="AR38" s="1" t="s">
        <v>74</v>
      </c>
      <c r="AS38" s="1" t="s">
        <v>74</v>
      </c>
      <c r="AT38" s="1" t="s">
        <v>120</v>
      </c>
      <c r="AU38" s="1">
        <v>2000.0</v>
      </c>
      <c r="AV38" s="1">
        <v>523.0</v>
      </c>
      <c r="AW38" s="1" t="s">
        <v>74</v>
      </c>
      <c r="AX38" s="1" t="s">
        <v>74</v>
      </c>
      <c r="AY38" s="1" t="s">
        <v>475</v>
      </c>
      <c r="AZ38" s="1" t="s">
        <v>74</v>
      </c>
      <c r="BA38" s="1" t="s">
        <v>74</v>
      </c>
      <c r="BB38" s="1" t="s">
        <v>476</v>
      </c>
      <c r="BC38" s="1" t="s">
        <v>477</v>
      </c>
      <c r="BD38" s="1" t="s">
        <v>74</v>
      </c>
      <c r="BE38" s="1" t="s">
        <v>74</v>
      </c>
      <c r="BF38" s="1" t="s">
        <v>74</v>
      </c>
      <c r="BG38" s="1" t="s">
        <v>74</v>
      </c>
      <c r="BH38" s="1" t="s">
        <v>74</v>
      </c>
      <c r="BI38" s="1" t="s">
        <v>74</v>
      </c>
      <c r="BJ38" s="1" t="s">
        <v>74</v>
      </c>
      <c r="BK38" s="1" t="s">
        <v>74</v>
      </c>
      <c r="BL38" s="1" t="s">
        <v>74</v>
      </c>
      <c r="BM38" s="1" t="s">
        <v>74</v>
      </c>
      <c r="BN38" s="1" t="s">
        <v>74</v>
      </c>
      <c r="BO38" s="1" t="s">
        <v>74</v>
      </c>
      <c r="BP38" s="1" t="s">
        <v>74</v>
      </c>
      <c r="BQ38" s="1" t="s">
        <v>74</v>
      </c>
      <c r="BR38" s="1" t="s">
        <v>74</v>
      </c>
      <c r="BS38" s="1" t="s">
        <v>478</v>
      </c>
      <c r="BT38" s="1" t="str">
        <f>HYPERLINK("https%3A%2F%2Fwww.webofscience.com%2Fwos%2Fwoscc%2Ffull-record%2FWOS:000085937100025","View Full Record in Web of Science")</f>
        <v>View Full Record in Web of Science</v>
      </c>
    </row>
    <row r="39" ht="12.75" customHeight="1">
      <c r="A39" s="1" t="s">
        <v>72</v>
      </c>
      <c r="B39" s="1" t="s">
        <v>479</v>
      </c>
      <c r="C39" s="1" t="s">
        <v>74</v>
      </c>
      <c r="D39" s="1" t="s">
        <v>74</v>
      </c>
      <c r="E39" s="1" t="s">
        <v>74</v>
      </c>
      <c r="F39" s="1" t="s">
        <v>479</v>
      </c>
      <c r="G39" s="1" t="s">
        <v>74</v>
      </c>
      <c r="H39" s="1" t="s">
        <v>74</v>
      </c>
      <c r="I39" s="1" t="s">
        <v>480</v>
      </c>
      <c r="J39" s="1" t="s">
        <v>481</v>
      </c>
      <c r="K39" s="1" t="s">
        <v>74</v>
      </c>
      <c r="L39" s="1" t="s">
        <v>74</v>
      </c>
      <c r="M39" s="1" t="s">
        <v>74</v>
      </c>
      <c r="N39" s="1" t="s">
        <v>74</v>
      </c>
      <c r="O39" s="1" t="s">
        <v>74</v>
      </c>
      <c r="P39" s="1" t="s">
        <v>74</v>
      </c>
      <c r="Q39" s="1" t="s">
        <v>74</v>
      </c>
      <c r="R39" s="1" t="s">
        <v>74</v>
      </c>
      <c r="S39" s="1" t="s">
        <v>74</v>
      </c>
      <c r="T39" s="1" t="s">
        <v>74</v>
      </c>
      <c r="U39" s="1" t="s">
        <v>74</v>
      </c>
      <c r="V39" s="1" t="s">
        <v>482</v>
      </c>
      <c r="W39" s="1" t="s">
        <v>74</v>
      </c>
      <c r="X39" s="1" t="s">
        <v>74</v>
      </c>
      <c r="Y39" s="1" t="s">
        <v>74</v>
      </c>
      <c r="Z39" s="1" t="s">
        <v>74</v>
      </c>
      <c r="AA39" s="1" t="s">
        <v>74</v>
      </c>
      <c r="AB39" s="1" t="s">
        <v>483</v>
      </c>
      <c r="AC39" s="1" t="s">
        <v>74</v>
      </c>
      <c r="AD39" s="1" t="s">
        <v>74</v>
      </c>
      <c r="AE39" s="1" t="s">
        <v>74</v>
      </c>
      <c r="AF39" s="1" t="s">
        <v>74</v>
      </c>
      <c r="AG39" s="1" t="s">
        <v>74</v>
      </c>
      <c r="AH39" s="1" t="s">
        <v>74</v>
      </c>
      <c r="AI39" s="1" t="s">
        <v>74</v>
      </c>
      <c r="AJ39" s="1" t="s">
        <v>74</v>
      </c>
      <c r="AK39" s="1" t="s">
        <v>74</v>
      </c>
      <c r="AL39" s="1" t="s">
        <v>74</v>
      </c>
      <c r="AM39" s="1" t="s">
        <v>74</v>
      </c>
      <c r="AN39" s="1" t="s">
        <v>74</v>
      </c>
      <c r="AO39" s="1" t="s">
        <v>484</v>
      </c>
      <c r="AP39" s="1" t="s">
        <v>74</v>
      </c>
      <c r="AQ39" s="1" t="s">
        <v>74</v>
      </c>
      <c r="AR39" s="1" t="s">
        <v>74</v>
      </c>
      <c r="AS39" s="1" t="s">
        <v>74</v>
      </c>
      <c r="AT39" s="1" t="s">
        <v>485</v>
      </c>
      <c r="AU39" s="1">
        <v>1998.0</v>
      </c>
      <c r="AV39" s="1">
        <v>13.0</v>
      </c>
      <c r="AW39" s="1">
        <v>2.0</v>
      </c>
      <c r="AX39" s="1" t="s">
        <v>74</v>
      </c>
      <c r="AY39" s="1" t="s">
        <v>74</v>
      </c>
      <c r="AZ39" s="1" t="s">
        <v>74</v>
      </c>
      <c r="BA39" s="1" t="s">
        <v>74</v>
      </c>
      <c r="BB39" s="1">
        <v>63.0</v>
      </c>
      <c r="BC39" s="1">
        <v>68.0</v>
      </c>
      <c r="BD39" s="1" t="s">
        <v>74</v>
      </c>
      <c r="BE39" s="1" t="s">
        <v>74</v>
      </c>
      <c r="BF39" s="1" t="s">
        <v>74</v>
      </c>
      <c r="BG39" s="1" t="s">
        <v>74</v>
      </c>
      <c r="BH39" s="1" t="s">
        <v>74</v>
      </c>
      <c r="BI39" s="1" t="s">
        <v>74</v>
      </c>
      <c r="BJ39" s="1" t="s">
        <v>74</v>
      </c>
      <c r="BK39" s="1" t="s">
        <v>74</v>
      </c>
      <c r="BL39" s="1" t="s">
        <v>74</v>
      </c>
      <c r="BM39" s="1" t="s">
        <v>74</v>
      </c>
      <c r="BN39" s="1">
        <v>9633008.0</v>
      </c>
      <c r="BO39" s="1" t="s">
        <v>74</v>
      </c>
      <c r="BP39" s="1" t="s">
        <v>74</v>
      </c>
      <c r="BQ39" s="1" t="s">
        <v>74</v>
      </c>
      <c r="BR39" s="1" t="s">
        <v>74</v>
      </c>
      <c r="BS39" s="1" t="s">
        <v>486</v>
      </c>
      <c r="BT39" s="1" t="str">
        <f>HYPERLINK("https%3A%2F%2Fwww.webofscience.com%2Fwos%2Fwoscc%2Ffull-record%2FWOS:000073860400001","View Full Record in Web of Science")</f>
        <v>View Full Record in Web of Science</v>
      </c>
    </row>
    <row r="40" ht="12.75" customHeight="1">
      <c r="A40" s="1" t="s">
        <v>72</v>
      </c>
      <c r="B40" s="1" t="s">
        <v>487</v>
      </c>
      <c r="C40" s="1" t="s">
        <v>74</v>
      </c>
      <c r="D40" s="1" t="s">
        <v>74</v>
      </c>
      <c r="E40" s="1" t="s">
        <v>74</v>
      </c>
      <c r="F40" s="1" t="s">
        <v>488</v>
      </c>
      <c r="G40" s="1" t="s">
        <v>74</v>
      </c>
      <c r="H40" s="1" t="s">
        <v>74</v>
      </c>
      <c r="I40" s="1" t="s">
        <v>489</v>
      </c>
      <c r="J40" s="1" t="s">
        <v>490</v>
      </c>
      <c r="K40" s="1" t="s">
        <v>74</v>
      </c>
      <c r="L40" s="1" t="s">
        <v>74</v>
      </c>
      <c r="M40" s="1" t="s">
        <v>74</v>
      </c>
      <c r="N40" s="1" t="s">
        <v>74</v>
      </c>
      <c r="O40" s="1" t="s">
        <v>74</v>
      </c>
      <c r="P40" s="1" t="s">
        <v>74</v>
      </c>
      <c r="Q40" s="1" t="s">
        <v>74</v>
      </c>
      <c r="R40" s="1" t="s">
        <v>74</v>
      </c>
      <c r="S40" s="1" t="s">
        <v>74</v>
      </c>
      <c r="T40" s="1" t="s">
        <v>74</v>
      </c>
      <c r="U40" s="1" t="s">
        <v>74</v>
      </c>
      <c r="V40" s="1" t="s">
        <v>491</v>
      </c>
      <c r="W40" s="1" t="s">
        <v>74</v>
      </c>
      <c r="X40" s="1" t="s">
        <v>74</v>
      </c>
      <c r="Y40" s="1" t="s">
        <v>74</v>
      </c>
      <c r="Z40" s="1" t="s">
        <v>74</v>
      </c>
      <c r="AA40" s="1" t="s">
        <v>492</v>
      </c>
      <c r="AB40" s="1" t="s">
        <v>493</v>
      </c>
      <c r="AC40" s="1" t="s">
        <v>74</v>
      </c>
      <c r="AD40" s="1" t="s">
        <v>74</v>
      </c>
      <c r="AE40" s="1" t="s">
        <v>74</v>
      </c>
      <c r="AF40" s="1" t="s">
        <v>74</v>
      </c>
      <c r="AG40" s="1" t="s">
        <v>74</v>
      </c>
      <c r="AH40" s="1" t="s">
        <v>74</v>
      </c>
      <c r="AI40" s="1" t="s">
        <v>74</v>
      </c>
      <c r="AJ40" s="1" t="s">
        <v>74</v>
      </c>
      <c r="AK40" s="1" t="s">
        <v>74</v>
      </c>
      <c r="AL40" s="1" t="s">
        <v>74</v>
      </c>
      <c r="AM40" s="1" t="s">
        <v>74</v>
      </c>
      <c r="AN40" s="1" t="s">
        <v>74</v>
      </c>
      <c r="AO40" s="1" t="s">
        <v>494</v>
      </c>
      <c r="AP40" s="1" t="s">
        <v>495</v>
      </c>
      <c r="AQ40" s="1" t="s">
        <v>74</v>
      </c>
      <c r="AR40" s="1" t="s">
        <v>74</v>
      </c>
      <c r="AS40" s="1" t="s">
        <v>74</v>
      </c>
      <c r="AT40" s="1" t="s">
        <v>496</v>
      </c>
      <c r="AU40" s="1">
        <v>2025.0</v>
      </c>
      <c r="AV40" s="1">
        <v>37.0</v>
      </c>
      <c r="AW40" s="1">
        <v>1.0</v>
      </c>
      <c r="AX40" s="1" t="s">
        <v>74</v>
      </c>
      <c r="AY40" s="1" t="s">
        <v>74</v>
      </c>
      <c r="AZ40" s="1" t="s">
        <v>74</v>
      </c>
      <c r="BA40" s="1" t="s">
        <v>74</v>
      </c>
      <c r="BB40" s="1" t="s">
        <v>74</v>
      </c>
      <c r="BC40" s="1" t="s">
        <v>74</v>
      </c>
      <c r="BD40" s="1">
        <v>14102.0</v>
      </c>
      <c r="BE40" s="1" t="s">
        <v>497</v>
      </c>
      <c r="BF40" s="2" t="str">
        <f>HYPERLINK("http://dx.doi.org/10.1063/5.0238628","http://dx.doi.org/10.1063/5.0238628")</f>
        <v>http://dx.doi.org/10.1063/5.0238628</v>
      </c>
      <c r="BG40" s="1" t="s">
        <v>74</v>
      </c>
      <c r="BH40" s="1" t="s">
        <v>74</v>
      </c>
      <c r="BI40" s="1" t="s">
        <v>74</v>
      </c>
      <c r="BJ40" s="1" t="s">
        <v>74</v>
      </c>
      <c r="BK40" s="1" t="s">
        <v>74</v>
      </c>
      <c r="BL40" s="1" t="s">
        <v>74</v>
      </c>
      <c r="BM40" s="1" t="s">
        <v>74</v>
      </c>
      <c r="BN40" s="1" t="s">
        <v>74</v>
      </c>
      <c r="BO40" s="1" t="s">
        <v>74</v>
      </c>
      <c r="BP40" s="1" t="s">
        <v>74</v>
      </c>
      <c r="BQ40" s="1" t="s">
        <v>74</v>
      </c>
      <c r="BR40" s="1" t="s">
        <v>74</v>
      </c>
      <c r="BS40" s="1" t="s">
        <v>498</v>
      </c>
      <c r="BT40" s="1" t="str">
        <f>HYPERLINK("https%3A%2F%2Fwww.webofscience.com%2Fwos%2Fwoscc%2Ffull-record%2FWOS:001390887800028","View Full Record in Web of Science")</f>
        <v>View Full Record in Web of Science</v>
      </c>
    </row>
    <row r="41" ht="12.75" customHeight="1">
      <c r="A41" s="1" t="s">
        <v>72</v>
      </c>
      <c r="B41" s="1" t="s">
        <v>499</v>
      </c>
      <c r="C41" s="1" t="s">
        <v>74</v>
      </c>
      <c r="D41" s="1" t="s">
        <v>74</v>
      </c>
      <c r="E41" s="1" t="s">
        <v>74</v>
      </c>
      <c r="F41" s="1" t="s">
        <v>500</v>
      </c>
      <c r="G41" s="1" t="s">
        <v>74</v>
      </c>
      <c r="H41" s="1" t="s">
        <v>74</v>
      </c>
      <c r="I41" s="1" t="s">
        <v>501</v>
      </c>
      <c r="J41" s="1" t="s">
        <v>502</v>
      </c>
      <c r="K41" s="1" t="s">
        <v>74</v>
      </c>
      <c r="L41" s="1" t="s">
        <v>74</v>
      </c>
      <c r="M41" s="1" t="s">
        <v>74</v>
      </c>
      <c r="N41" s="1" t="s">
        <v>74</v>
      </c>
      <c r="O41" s="1" t="s">
        <v>74</v>
      </c>
      <c r="P41" s="1" t="s">
        <v>74</v>
      </c>
      <c r="Q41" s="1" t="s">
        <v>74</v>
      </c>
      <c r="R41" s="1" t="s">
        <v>74</v>
      </c>
      <c r="S41" s="1" t="s">
        <v>74</v>
      </c>
      <c r="T41" s="1" t="s">
        <v>74</v>
      </c>
      <c r="U41" s="1" t="s">
        <v>74</v>
      </c>
      <c r="V41" s="1" t="s">
        <v>74</v>
      </c>
      <c r="W41" s="1" t="s">
        <v>74</v>
      </c>
      <c r="X41" s="1" t="s">
        <v>74</v>
      </c>
      <c r="Y41" s="1" t="s">
        <v>74</v>
      </c>
      <c r="Z41" s="1" t="s">
        <v>74</v>
      </c>
      <c r="AA41" s="1" t="s">
        <v>74</v>
      </c>
      <c r="AB41" s="1" t="s">
        <v>74</v>
      </c>
      <c r="AC41" s="1" t="s">
        <v>74</v>
      </c>
      <c r="AD41" s="1" t="s">
        <v>74</v>
      </c>
      <c r="AE41" s="1" t="s">
        <v>74</v>
      </c>
      <c r="AF41" s="1" t="s">
        <v>74</v>
      </c>
      <c r="AG41" s="1" t="s">
        <v>74</v>
      </c>
      <c r="AH41" s="1" t="s">
        <v>74</v>
      </c>
      <c r="AI41" s="1" t="s">
        <v>74</v>
      </c>
      <c r="AJ41" s="1" t="s">
        <v>74</v>
      </c>
      <c r="AK41" s="1" t="s">
        <v>74</v>
      </c>
      <c r="AL41" s="1" t="s">
        <v>74</v>
      </c>
      <c r="AM41" s="1" t="s">
        <v>74</v>
      </c>
      <c r="AN41" s="1" t="s">
        <v>74</v>
      </c>
      <c r="AO41" s="1" t="s">
        <v>503</v>
      </c>
      <c r="AP41" s="1" t="s">
        <v>504</v>
      </c>
      <c r="AQ41" s="1" t="s">
        <v>74</v>
      </c>
      <c r="AR41" s="1" t="s">
        <v>74</v>
      </c>
      <c r="AS41" s="1" t="s">
        <v>74</v>
      </c>
      <c r="AT41" s="1" t="s">
        <v>187</v>
      </c>
      <c r="AU41" s="1">
        <v>2024.0</v>
      </c>
      <c r="AV41" s="1">
        <v>81.0</v>
      </c>
      <c r="AW41" s="1">
        <v>2.0</v>
      </c>
      <c r="AX41" s="1" t="s">
        <v>74</v>
      </c>
      <c r="AY41" s="1" t="s">
        <v>74</v>
      </c>
      <c r="AZ41" s="1" t="s">
        <v>74</v>
      </c>
      <c r="BA41" s="1" t="s">
        <v>74</v>
      </c>
      <c r="BB41" s="1">
        <v>360.0</v>
      </c>
      <c r="BC41" s="1">
        <v>361.0</v>
      </c>
      <c r="BD41" s="1" t="s">
        <v>74</v>
      </c>
      <c r="BE41" s="1" t="s">
        <v>505</v>
      </c>
      <c r="BF41" s="2" t="str">
        <f>HYPERLINK("http://dx.doi.org/10.1017/tam.2024.10","http://dx.doi.org/10.1017/tam.2024.10")</f>
        <v>http://dx.doi.org/10.1017/tam.2024.10</v>
      </c>
      <c r="BG41" s="1" t="s">
        <v>74</v>
      </c>
      <c r="BH41" s="1" t="s">
        <v>74</v>
      </c>
      <c r="BI41" s="1" t="s">
        <v>74</v>
      </c>
      <c r="BJ41" s="1" t="s">
        <v>74</v>
      </c>
      <c r="BK41" s="1" t="s">
        <v>74</v>
      </c>
      <c r="BL41" s="1" t="s">
        <v>74</v>
      </c>
      <c r="BM41" s="1" t="s">
        <v>74</v>
      </c>
      <c r="BN41" s="1" t="s">
        <v>74</v>
      </c>
      <c r="BO41" s="1" t="s">
        <v>74</v>
      </c>
      <c r="BP41" s="1" t="s">
        <v>74</v>
      </c>
      <c r="BQ41" s="1" t="s">
        <v>74</v>
      </c>
      <c r="BR41" s="1" t="s">
        <v>74</v>
      </c>
      <c r="BS41" s="1" t="s">
        <v>506</v>
      </c>
      <c r="BT41" s="1" t="str">
        <f>HYPERLINK("https%3A%2F%2Fwww.webofscience.com%2Fwos%2Fwoscc%2Ffull-record%2FWOS:001328792700012","View Full Record in Web of Science")</f>
        <v>View Full Record in Web of Science</v>
      </c>
    </row>
    <row r="42" ht="12.75" customHeight="1">
      <c r="A42" s="1" t="s">
        <v>72</v>
      </c>
      <c r="B42" s="1" t="s">
        <v>507</v>
      </c>
      <c r="C42" s="1" t="s">
        <v>74</v>
      </c>
      <c r="D42" s="1" t="s">
        <v>74</v>
      </c>
      <c r="E42" s="1" t="s">
        <v>74</v>
      </c>
      <c r="F42" s="1" t="s">
        <v>508</v>
      </c>
      <c r="G42" s="1" t="s">
        <v>74</v>
      </c>
      <c r="H42" s="1" t="s">
        <v>74</v>
      </c>
      <c r="I42" s="1" t="s">
        <v>509</v>
      </c>
      <c r="J42" s="1" t="s">
        <v>510</v>
      </c>
      <c r="K42" s="1" t="s">
        <v>74</v>
      </c>
      <c r="L42" s="1" t="s">
        <v>74</v>
      </c>
      <c r="M42" s="1" t="s">
        <v>74</v>
      </c>
      <c r="N42" s="1" t="s">
        <v>74</v>
      </c>
      <c r="O42" s="1" t="s">
        <v>74</v>
      </c>
      <c r="P42" s="1" t="s">
        <v>74</v>
      </c>
      <c r="Q42" s="1" t="s">
        <v>74</v>
      </c>
      <c r="R42" s="1" t="s">
        <v>74</v>
      </c>
      <c r="S42" s="1" t="s">
        <v>74</v>
      </c>
      <c r="T42" s="1" t="s">
        <v>74</v>
      </c>
      <c r="U42" s="1" t="s">
        <v>74</v>
      </c>
      <c r="V42" s="1" t="s">
        <v>511</v>
      </c>
      <c r="W42" s="1" t="s">
        <v>74</v>
      </c>
      <c r="X42" s="1" t="s">
        <v>74</v>
      </c>
      <c r="Y42" s="1" t="s">
        <v>74</v>
      </c>
      <c r="Z42" s="1" t="s">
        <v>74</v>
      </c>
      <c r="AA42" s="1" t="s">
        <v>512</v>
      </c>
      <c r="AB42" s="1" t="s">
        <v>513</v>
      </c>
      <c r="AC42" s="1" t="s">
        <v>74</v>
      </c>
      <c r="AD42" s="1" t="s">
        <v>74</v>
      </c>
      <c r="AE42" s="1" t="s">
        <v>74</v>
      </c>
      <c r="AF42" s="1" t="s">
        <v>74</v>
      </c>
      <c r="AG42" s="1" t="s">
        <v>74</v>
      </c>
      <c r="AH42" s="1" t="s">
        <v>74</v>
      </c>
      <c r="AI42" s="1" t="s">
        <v>74</v>
      </c>
      <c r="AJ42" s="1" t="s">
        <v>74</v>
      </c>
      <c r="AK42" s="1" t="s">
        <v>74</v>
      </c>
      <c r="AL42" s="1" t="s">
        <v>74</v>
      </c>
      <c r="AM42" s="1" t="s">
        <v>74</v>
      </c>
      <c r="AN42" s="1" t="s">
        <v>74</v>
      </c>
      <c r="AO42" s="1" t="s">
        <v>514</v>
      </c>
      <c r="AP42" s="1" t="s">
        <v>74</v>
      </c>
      <c r="AQ42" s="1" t="s">
        <v>74</v>
      </c>
      <c r="AR42" s="1" t="s">
        <v>74</v>
      </c>
      <c r="AS42" s="1" t="s">
        <v>74</v>
      </c>
      <c r="AT42" s="1" t="s">
        <v>515</v>
      </c>
      <c r="AU42" s="1">
        <v>2023.0</v>
      </c>
      <c r="AV42" s="1">
        <v>18.0</v>
      </c>
      <c r="AW42" s="1">
        <v>12.0</v>
      </c>
      <c r="AX42" s="1" t="s">
        <v>74</v>
      </c>
      <c r="AY42" s="1" t="s">
        <v>74</v>
      </c>
      <c r="AZ42" s="1" t="s">
        <v>74</v>
      </c>
      <c r="BA42" s="1" t="s">
        <v>74</v>
      </c>
      <c r="BB42" s="1" t="s">
        <v>74</v>
      </c>
      <c r="BC42" s="1" t="s">
        <v>74</v>
      </c>
      <c r="BD42" s="1" t="s">
        <v>516</v>
      </c>
      <c r="BE42" s="1" t="s">
        <v>517</v>
      </c>
      <c r="BF42" s="2" t="str">
        <f>HYPERLINK("http://dx.doi.org/10.1371/journal.pone.0295743","http://dx.doi.org/10.1371/journal.pone.0295743")</f>
        <v>http://dx.doi.org/10.1371/journal.pone.0295743</v>
      </c>
      <c r="BG42" s="1" t="s">
        <v>74</v>
      </c>
      <c r="BH42" s="1" t="s">
        <v>74</v>
      </c>
      <c r="BI42" s="1" t="s">
        <v>74</v>
      </c>
      <c r="BJ42" s="1" t="s">
        <v>74</v>
      </c>
      <c r="BK42" s="1" t="s">
        <v>74</v>
      </c>
      <c r="BL42" s="1" t="s">
        <v>74</v>
      </c>
      <c r="BM42" s="1" t="s">
        <v>74</v>
      </c>
      <c r="BN42" s="1">
        <v>3.8079403E7</v>
      </c>
      <c r="BO42" s="1" t="s">
        <v>74</v>
      </c>
      <c r="BP42" s="1" t="s">
        <v>74</v>
      </c>
      <c r="BQ42" s="1" t="s">
        <v>74</v>
      </c>
      <c r="BR42" s="1" t="s">
        <v>74</v>
      </c>
      <c r="BS42" s="1" t="s">
        <v>518</v>
      </c>
      <c r="BT42" s="1" t="str">
        <f>HYPERLINK("https%3A%2F%2Fwww.webofscience.com%2Fwos%2Fwoscc%2Ffull-record%2FWOS:001126287700031","View Full Record in Web of Science")</f>
        <v>View Full Record in Web of Science</v>
      </c>
    </row>
    <row r="43" ht="12.75" customHeight="1">
      <c r="A43" s="1" t="s">
        <v>72</v>
      </c>
      <c r="B43" s="1" t="s">
        <v>519</v>
      </c>
      <c r="C43" s="1" t="s">
        <v>74</v>
      </c>
      <c r="D43" s="1" t="s">
        <v>74</v>
      </c>
      <c r="E43" s="1" t="s">
        <v>74</v>
      </c>
      <c r="F43" s="1" t="s">
        <v>520</v>
      </c>
      <c r="G43" s="1" t="s">
        <v>74</v>
      </c>
      <c r="H43" s="1" t="s">
        <v>74</v>
      </c>
      <c r="I43" s="1" t="s">
        <v>521</v>
      </c>
      <c r="J43" s="1" t="s">
        <v>522</v>
      </c>
      <c r="K43" s="1" t="s">
        <v>74</v>
      </c>
      <c r="L43" s="1" t="s">
        <v>74</v>
      </c>
      <c r="M43" s="1" t="s">
        <v>74</v>
      </c>
      <c r="N43" s="1" t="s">
        <v>74</v>
      </c>
      <c r="O43" s="1" t="s">
        <v>74</v>
      </c>
      <c r="P43" s="1" t="s">
        <v>74</v>
      </c>
      <c r="Q43" s="1" t="s">
        <v>74</v>
      </c>
      <c r="R43" s="1" t="s">
        <v>74</v>
      </c>
      <c r="S43" s="1" t="s">
        <v>74</v>
      </c>
      <c r="T43" s="1" t="s">
        <v>74</v>
      </c>
      <c r="U43" s="1" t="s">
        <v>74</v>
      </c>
      <c r="V43" s="1" t="s">
        <v>523</v>
      </c>
      <c r="W43" s="1" t="s">
        <v>74</v>
      </c>
      <c r="X43" s="1" t="s">
        <v>74</v>
      </c>
      <c r="Y43" s="1" t="s">
        <v>74</v>
      </c>
      <c r="Z43" s="1" t="s">
        <v>74</v>
      </c>
      <c r="AA43" s="1" t="s">
        <v>524</v>
      </c>
      <c r="AB43" s="1" t="s">
        <v>525</v>
      </c>
      <c r="AC43" s="1" t="s">
        <v>74</v>
      </c>
      <c r="AD43" s="1" t="s">
        <v>74</v>
      </c>
      <c r="AE43" s="1" t="s">
        <v>74</v>
      </c>
      <c r="AF43" s="1" t="s">
        <v>74</v>
      </c>
      <c r="AG43" s="1" t="s">
        <v>74</v>
      </c>
      <c r="AH43" s="1" t="s">
        <v>74</v>
      </c>
      <c r="AI43" s="1" t="s">
        <v>74</v>
      </c>
      <c r="AJ43" s="1" t="s">
        <v>74</v>
      </c>
      <c r="AK43" s="1" t="s">
        <v>74</v>
      </c>
      <c r="AL43" s="1" t="s">
        <v>74</v>
      </c>
      <c r="AM43" s="1" t="s">
        <v>74</v>
      </c>
      <c r="AN43" s="1" t="s">
        <v>74</v>
      </c>
      <c r="AO43" s="1" t="s">
        <v>526</v>
      </c>
      <c r="AP43" s="1" t="s">
        <v>527</v>
      </c>
      <c r="AQ43" s="1" t="s">
        <v>74</v>
      </c>
      <c r="AR43" s="1" t="s">
        <v>74</v>
      </c>
      <c r="AS43" s="1" t="s">
        <v>74</v>
      </c>
      <c r="AT43" s="1" t="s">
        <v>528</v>
      </c>
      <c r="AU43" s="1">
        <v>2023.0</v>
      </c>
      <c r="AV43" s="1">
        <v>23.0</v>
      </c>
      <c r="AW43" s="1">
        <v>1.0</v>
      </c>
      <c r="AX43" s="1" t="s">
        <v>74</v>
      </c>
      <c r="AY43" s="1" t="s">
        <v>74</v>
      </c>
      <c r="AZ43" s="1" t="s">
        <v>74</v>
      </c>
      <c r="BA43" s="1" t="s">
        <v>74</v>
      </c>
      <c r="BB43" s="1">
        <v>77.0</v>
      </c>
      <c r="BC43" s="1">
        <v>86.0</v>
      </c>
      <c r="BD43" s="1" t="s">
        <v>74</v>
      </c>
      <c r="BE43" s="1" t="s">
        <v>529</v>
      </c>
      <c r="BF43" s="2" t="str">
        <f>HYPERLINK("http://dx.doi.org/10.1021/acs.cgd.2c00728","http://dx.doi.org/10.1021/acs.cgd.2c00728")</f>
        <v>http://dx.doi.org/10.1021/acs.cgd.2c00728</v>
      </c>
      <c r="BG43" s="1" t="s">
        <v>74</v>
      </c>
      <c r="BH43" s="1" t="s">
        <v>530</v>
      </c>
      <c r="BI43" s="1" t="s">
        <v>74</v>
      </c>
      <c r="BJ43" s="1" t="s">
        <v>74</v>
      </c>
      <c r="BK43" s="1" t="s">
        <v>74</v>
      </c>
      <c r="BL43" s="1" t="s">
        <v>74</v>
      </c>
      <c r="BM43" s="1" t="s">
        <v>74</v>
      </c>
      <c r="BN43" s="1" t="s">
        <v>74</v>
      </c>
      <c r="BO43" s="1" t="s">
        <v>74</v>
      </c>
      <c r="BP43" s="1" t="s">
        <v>74</v>
      </c>
      <c r="BQ43" s="1" t="s">
        <v>74</v>
      </c>
      <c r="BR43" s="1" t="s">
        <v>74</v>
      </c>
      <c r="BS43" s="1" t="s">
        <v>531</v>
      </c>
      <c r="BT43" s="1" t="str">
        <f>HYPERLINK("https%3A%2F%2Fwww.webofscience.com%2Fwos%2Fwoscc%2Ffull-record%2FWOS:000892622700001","View Full Record in Web of Science")</f>
        <v>View Full Record in Web of Science</v>
      </c>
    </row>
    <row r="44" ht="12.75" customHeight="1">
      <c r="A44" s="1" t="s">
        <v>72</v>
      </c>
      <c r="B44" s="1" t="s">
        <v>532</v>
      </c>
      <c r="C44" s="1" t="s">
        <v>74</v>
      </c>
      <c r="D44" s="1" t="s">
        <v>74</v>
      </c>
      <c r="E44" s="1" t="s">
        <v>74</v>
      </c>
      <c r="F44" s="1" t="s">
        <v>533</v>
      </c>
      <c r="G44" s="1" t="s">
        <v>74</v>
      </c>
      <c r="H44" s="1" t="s">
        <v>74</v>
      </c>
      <c r="I44" s="1" t="s">
        <v>534</v>
      </c>
      <c r="J44" s="1" t="s">
        <v>535</v>
      </c>
      <c r="K44" s="1" t="s">
        <v>74</v>
      </c>
      <c r="L44" s="1" t="s">
        <v>74</v>
      </c>
      <c r="M44" s="1" t="s">
        <v>74</v>
      </c>
      <c r="N44" s="1" t="s">
        <v>74</v>
      </c>
      <c r="O44" s="1" t="s">
        <v>74</v>
      </c>
      <c r="P44" s="1" t="s">
        <v>74</v>
      </c>
      <c r="Q44" s="1" t="s">
        <v>74</v>
      </c>
      <c r="R44" s="1" t="s">
        <v>74</v>
      </c>
      <c r="S44" s="1" t="s">
        <v>74</v>
      </c>
      <c r="T44" s="1" t="s">
        <v>74</v>
      </c>
      <c r="U44" s="1" t="s">
        <v>74</v>
      </c>
      <c r="V44" s="1" t="s">
        <v>536</v>
      </c>
      <c r="W44" s="1" t="s">
        <v>74</v>
      </c>
      <c r="X44" s="1" t="s">
        <v>74</v>
      </c>
      <c r="Y44" s="1" t="s">
        <v>74</v>
      </c>
      <c r="Z44" s="1" t="s">
        <v>74</v>
      </c>
      <c r="AA44" s="1" t="s">
        <v>537</v>
      </c>
      <c r="AB44" s="1" t="s">
        <v>538</v>
      </c>
      <c r="AC44" s="1" t="s">
        <v>74</v>
      </c>
      <c r="AD44" s="1" t="s">
        <v>74</v>
      </c>
      <c r="AE44" s="1" t="s">
        <v>74</v>
      </c>
      <c r="AF44" s="1" t="s">
        <v>74</v>
      </c>
      <c r="AG44" s="1" t="s">
        <v>74</v>
      </c>
      <c r="AH44" s="1" t="s">
        <v>74</v>
      </c>
      <c r="AI44" s="1" t="s">
        <v>74</v>
      </c>
      <c r="AJ44" s="1" t="s">
        <v>74</v>
      </c>
      <c r="AK44" s="1" t="s">
        <v>74</v>
      </c>
      <c r="AL44" s="1" t="s">
        <v>74</v>
      </c>
      <c r="AM44" s="1" t="s">
        <v>74</v>
      </c>
      <c r="AN44" s="1" t="s">
        <v>74</v>
      </c>
      <c r="AO44" s="1" t="s">
        <v>539</v>
      </c>
      <c r="AP44" s="1" t="s">
        <v>540</v>
      </c>
      <c r="AQ44" s="1" t="s">
        <v>74</v>
      </c>
      <c r="AR44" s="1" t="s">
        <v>74</v>
      </c>
      <c r="AS44" s="1" t="s">
        <v>74</v>
      </c>
      <c r="AT44" s="1" t="s">
        <v>541</v>
      </c>
      <c r="AU44" s="1">
        <v>2022.0</v>
      </c>
      <c r="AV44" s="1">
        <v>77.0</v>
      </c>
      <c r="AW44" s="1">
        <v>7.0</v>
      </c>
      <c r="AX44" s="1" t="s">
        <v>74</v>
      </c>
      <c r="AY44" s="1" t="s">
        <v>74</v>
      </c>
      <c r="AZ44" s="1" t="s">
        <v>74</v>
      </c>
      <c r="BA44" s="1" t="s">
        <v>74</v>
      </c>
      <c r="BB44" s="1">
        <v>1280.0</v>
      </c>
      <c r="BC44" s="1">
        <v>1293.0</v>
      </c>
      <c r="BD44" s="1" t="s">
        <v>74</v>
      </c>
      <c r="BE44" s="1" t="s">
        <v>542</v>
      </c>
      <c r="BF44" s="2" t="str">
        <f>HYPERLINK("http://dx.doi.org/10.1093/geronb/gbab116","http://dx.doi.org/10.1093/geronb/gbab116")</f>
        <v>http://dx.doi.org/10.1093/geronb/gbab116</v>
      </c>
      <c r="BG44" s="1" t="s">
        <v>74</v>
      </c>
      <c r="BH44" s="1" t="s">
        <v>543</v>
      </c>
      <c r="BI44" s="1" t="s">
        <v>74</v>
      </c>
      <c r="BJ44" s="1" t="s">
        <v>74</v>
      </c>
      <c r="BK44" s="1" t="s">
        <v>74</v>
      </c>
      <c r="BL44" s="1" t="s">
        <v>74</v>
      </c>
      <c r="BM44" s="1" t="s">
        <v>74</v>
      </c>
      <c r="BN44" s="1">
        <v>3.4181007E7</v>
      </c>
      <c r="BO44" s="1" t="s">
        <v>74</v>
      </c>
      <c r="BP44" s="1" t="s">
        <v>74</v>
      </c>
      <c r="BQ44" s="1" t="s">
        <v>74</v>
      </c>
      <c r="BR44" s="1" t="s">
        <v>74</v>
      </c>
      <c r="BS44" s="1" t="s">
        <v>544</v>
      </c>
      <c r="BT44" s="1" t="str">
        <f>HYPERLINK("https%3A%2F%2Fwww.webofscience.com%2Fwos%2Fwoscc%2Ffull-record%2FWOS:000755887800001","View Full Record in Web of Science")</f>
        <v>View Full Record in Web of Science</v>
      </c>
    </row>
    <row r="45" ht="12.75" customHeight="1">
      <c r="A45" s="1" t="s">
        <v>72</v>
      </c>
      <c r="B45" s="1" t="s">
        <v>545</v>
      </c>
      <c r="C45" s="1" t="s">
        <v>74</v>
      </c>
      <c r="D45" s="1" t="s">
        <v>74</v>
      </c>
      <c r="E45" s="1" t="s">
        <v>74</v>
      </c>
      <c r="F45" s="1" t="s">
        <v>546</v>
      </c>
      <c r="G45" s="1" t="s">
        <v>74</v>
      </c>
      <c r="H45" s="1" t="s">
        <v>74</v>
      </c>
      <c r="I45" s="1" t="s">
        <v>547</v>
      </c>
      <c r="J45" s="1" t="s">
        <v>548</v>
      </c>
      <c r="K45" s="1" t="s">
        <v>74</v>
      </c>
      <c r="L45" s="1" t="s">
        <v>74</v>
      </c>
      <c r="M45" s="1" t="s">
        <v>74</v>
      </c>
      <c r="N45" s="1" t="s">
        <v>74</v>
      </c>
      <c r="O45" s="1" t="s">
        <v>74</v>
      </c>
      <c r="P45" s="1" t="s">
        <v>74</v>
      </c>
      <c r="Q45" s="1" t="s">
        <v>74</v>
      </c>
      <c r="R45" s="1" t="s">
        <v>74</v>
      </c>
      <c r="S45" s="1" t="s">
        <v>74</v>
      </c>
      <c r="T45" s="1" t="s">
        <v>74</v>
      </c>
      <c r="U45" s="1" t="s">
        <v>74</v>
      </c>
      <c r="V45" s="1" t="s">
        <v>549</v>
      </c>
      <c r="W45" s="1" t="s">
        <v>74</v>
      </c>
      <c r="X45" s="1" t="s">
        <v>74</v>
      </c>
      <c r="Y45" s="1" t="s">
        <v>74</v>
      </c>
      <c r="Z45" s="1" t="s">
        <v>74</v>
      </c>
      <c r="AA45" s="1" t="s">
        <v>550</v>
      </c>
      <c r="AB45" s="1" t="s">
        <v>551</v>
      </c>
      <c r="AC45" s="1" t="s">
        <v>74</v>
      </c>
      <c r="AD45" s="1" t="s">
        <v>74</v>
      </c>
      <c r="AE45" s="1" t="s">
        <v>74</v>
      </c>
      <c r="AF45" s="1" t="s">
        <v>74</v>
      </c>
      <c r="AG45" s="1" t="s">
        <v>74</v>
      </c>
      <c r="AH45" s="1" t="s">
        <v>74</v>
      </c>
      <c r="AI45" s="1" t="s">
        <v>74</v>
      </c>
      <c r="AJ45" s="1" t="s">
        <v>74</v>
      </c>
      <c r="AK45" s="1" t="s">
        <v>74</v>
      </c>
      <c r="AL45" s="1" t="s">
        <v>74</v>
      </c>
      <c r="AM45" s="1" t="s">
        <v>74</v>
      </c>
      <c r="AN45" s="1" t="s">
        <v>74</v>
      </c>
      <c r="AO45" s="1" t="s">
        <v>552</v>
      </c>
      <c r="AP45" s="1" t="s">
        <v>553</v>
      </c>
      <c r="AQ45" s="1" t="s">
        <v>74</v>
      </c>
      <c r="AR45" s="1" t="s">
        <v>74</v>
      </c>
      <c r="AS45" s="1" t="s">
        <v>74</v>
      </c>
      <c r="AT45" s="1" t="s">
        <v>554</v>
      </c>
      <c r="AU45" s="1">
        <v>2021.0</v>
      </c>
      <c r="AV45" s="1">
        <v>178.0</v>
      </c>
      <c r="AW45" s="1" t="s">
        <v>74</v>
      </c>
      <c r="AX45" s="1" t="s">
        <v>74</v>
      </c>
      <c r="AY45" s="1" t="s">
        <v>74</v>
      </c>
      <c r="AZ45" s="1" t="s">
        <v>74</v>
      </c>
      <c r="BA45" s="1" t="s">
        <v>74</v>
      </c>
      <c r="BB45" s="1" t="s">
        <v>74</v>
      </c>
      <c r="BC45" s="1" t="s">
        <v>74</v>
      </c>
      <c r="BD45" s="1">
        <v>109401.0</v>
      </c>
      <c r="BE45" s="1" t="s">
        <v>555</v>
      </c>
      <c r="BF45" s="2" t="str">
        <f>HYPERLINK("http://dx.doi.org/10.1016/j.measurement.2021.109401","http://dx.doi.org/10.1016/j.measurement.2021.109401")</f>
        <v>http://dx.doi.org/10.1016/j.measurement.2021.109401</v>
      </c>
      <c r="BG45" s="1" t="s">
        <v>74</v>
      </c>
      <c r="BH45" s="1" t="s">
        <v>556</v>
      </c>
      <c r="BI45" s="1" t="s">
        <v>74</v>
      </c>
      <c r="BJ45" s="1" t="s">
        <v>74</v>
      </c>
      <c r="BK45" s="1" t="s">
        <v>74</v>
      </c>
      <c r="BL45" s="1" t="s">
        <v>74</v>
      </c>
      <c r="BM45" s="1" t="s">
        <v>74</v>
      </c>
      <c r="BN45" s="1" t="s">
        <v>74</v>
      </c>
      <c r="BO45" s="1" t="s">
        <v>74</v>
      </c>
      <c r="BP45" s="1" t="s">
        <v>74</v>
      </c>
      <c r="BQ45" s="1" t="s">
        <v>74</v>
      </c>
      <c r="BR45" s="1" t="s">
        <v>74</v>
      </c>
      <c r="BS45" s="1" t="s">
        <v>557</v>
      </c>
      <c r="BT45" s="1" t="str">
        <f>HYPERLINK("https%3A%2F%2Fwww.webofscience.com%2Fwos%2Fwoscc%2Ffull-record%2FWOS:000655278600001","View Full Record in Web of Science")</f>
        <v>View Full Record in Web of Science</v>
      </c>
    </row>
    <row r="46" ht="12.75" customHeight="1">
      <c r="A46" s="1" t="s">
        <v>346</v>
      </c>
      <c r="B46" s="1" t="s">
        <v>558</v>
      </c>
      <c r="C46" s="1" t="s">
        <v>74</v>
      </c>
      <c r="D46" s="1" t="s">
        <v>559</v>
      </c>
      <c r="E46" s="1" t="s">
        <v>74</v>
      </c>
      <c r="F46" s="1" t="s">
        <v>560</v>
      </c>
      <c r="G46" s="1" t="s">
        <v>74</v>
      </c>
      <c r="H46" s="1" t="s">
        <v>74</v>
      </c>
      <c r="I46" s="1" t="s">
        <v>561</v>
      </c>
      <c r="J46" s="1" t="s">
        <v>562</v>
      </c>
      <c r="K46" s="1" t="s">
        <v>563</v>
      </c>
      <c r="L46" s="1" t="s">
        <v>74</v>
      </c>
      <c r="M46" s="1" t="s">
        <v>74</v>
      </c>
      <c r="N46" s="1" t="s">
        <v>74</v>
      </c>
      <c r="O46" s="1" t="s">
        <v>564</v>
      </c>
      <c r="P46" s="1" t="s">
        <v>565</v>
      </c>
      <c r="Q46" s="1" t="s">
        <v>566</v>
      </c>
      <c r="R46" s="1" t="s">
        <v>74</v>
      </c>
      <c r="S46" s="1" t="s">
        <v>74</v>
      </c>
      <c r="T46" s="1" t="s">
        <v>74</v>
      </c>
      <c r="U46" s="1" t="s">
        <v>74</v>
      </c>
      <c r="V46" s="1" t="s">
        <v>567</v>
      </c>
      <c r="W46" s="1" t="s">
        <v>74</v>
      </c>
      <c r="X46" s="1" t="s">
        <v>74</v>
      </c>
      <c r="Y46" s="1" t="s">
        <v>74</v>
      </c>
      <c r="Z46" s="1" t="s">
        <v>74</v>
      </c>
      <c r="AA46" s="1" t="s">
        <v>568</v>
      </c>
      <c r="AB46" s="1" t="s">
        <v>569</v>
      </c>
      <c r="AC46" s="1" t="s">
        <v>74</v>
      </c>
      <c r="AD46" s="1" t="s">
        <v>74</v>
      </c>
      <c r="AE46" s="1" t="s">
        <v>74</v>
      </c>
      <c r="AF46" s="1" t="s">
        <v>74</v>
      </c>
      <c r="AG46" s="1" t="s">
        <v>74</v>
      </c>
      <c r="AH46" s="1" t="s">
        <v>74</v>
      </c>
      <c r="AI46" s="1" t="s">
        <v>74</v>
      </c>
      <c r="AJ46" s="1" t="s">
        <v>74</v>
      </c>
      <c r="AK46" s="1" t="s">
        <v>74</v>
      </c>
      <c r="AL46" s="1" t="s">
        <v>74</v>
      </c>
      <c r="AM46" s="1" t="s">
        <v>74</v>
      </c>
      <c r="AN46" s="1" t="s">
        <v>74</v>
      </c>
      <c r="AO46" s="1" t="s">
        <v>570</v>
      </c>
      <c r="AP46" s="1" t="s">
        <v>571</v>
      </c>
      <c r="AQ46" s="1" t="s">
        <v>572</v>
      </c>
      <c r="AR46" s="1" t="s">
        <v>74</v>
      </c>
      <c r="AS46" s="1" t="s">
        <v>74</v>
      </c>
      <c r="AT46" s="1" t="s">
        <v>74</v>
      </c>
      <c r="AU46" s="1">
        <v>2021.0</v>
      </c>
      <c r="AV46" s="1">
        <v>1243.0</v>
      </c>
      <c r="AW46" s="1" t="s">
        <v>74</v>
      </c>
      <c r="AX46" s="1" t="s">
        <v>74</v>
      </c>
      <c r="AY46" s="1" t="s">
        <v>74</v>
      </c>
      <c r="AZ46" s="1" t="s">
        <v>74</v>
      </c>
      <c r="BA46" s="1" t="s">
        <v>74</v>
      </c>
      <c r="BB46" s="1">
        <v>145.0</v>
      </c>
      <c r="BC46" s="1">
        <v>157.0</v>
      </c>
      <c r="BD46" s="1" t="s">
        <v>74</v>
      </c>
      <c r="BE46" s="1" t="s">
        <v>573</v>
      </c>
      <c r="BF46" s="2" t="str">
        <f>HYPERLINK("http://dx.doi.org/10.1007/978-3-030-53651-0_12","http://dx.doi.org/10.1007/978-3-030-53651-0_12")</f>
        <v>http://dx.doi.org/10.1007/978-3-030-53651-0_12</v>
      </c>
      <c r="BG46" s="1" t="s">
        <v>74</v>
      </c>
      <c r="BH46" s="1" t="s">
        <v>74</v>
      </c>
      <c r="BI46" s="1" t="s">
        <v>74</v>
      </c>
      <c r="BJ46" s="1" t="s">
        <v>74</v>
      </c>
      <c r="BK46" s="1" t="s">
        <v>74</v>
      </c>
      <c r="BL46" s="1" t="s">
        <v>74</v>
      </c>
      <c r="BM46" s="1" t="s">
        <v>74</v>
      </c>
      <c r="BN46" s="1" t="s">
        <v>74</v>
      </c>
      <c r="BO46" s="1" t="s">
        <v>74</v>
      </c>
      <c r="BP46" s="1" t="s">
        <v>74</v>
      </c>
      <c r="BQ46" s="1" t="s">
        <v>74</v>
      </c>
      <c r="BR46" s="1" t="s">
        <v>74</v>
      </c>
      <c r="BS46" s="1" t="s">
        <v>574</v>
      </c>
      <c r="BT46" s="1" t="str">
        <f>HYPERLINK("https%3A%2F%2Fwww.webofscience.com%2Fwos%2Fwoscc%2Ffull-record%2FWOS:000621675100012","View Full Record in Web of Science")</f>
        <v>View Full Record in Web of Science</v>
      </c>
    </row>
    <row r="47" ht="12.75" customHeight="1">
      <c r="A47" s="1" t="s">
        <v>346</v>
      </c>
      <c r="B47" s="1" t="s">
        <v>575</v>
      </c>
      <c r="C47" s="1" t="s">
        <v>74</v>
      </c>
      <c r="D47" s="1" t="s">
        <v>74</v>
      </c>
      <c r="E47" s="1" t="s">
        <v>348</v>
      </c>
      <c r="F47" s="1" t="s">
        <v>576</v>
      </c>
      <c r="G47" s="1" t="s">
        <v>74</v>
      </c>
      <c r="H47" s="1" t="s">
        <v>74</v>
      </c>
      <c r="I47" s="1" t="s">
        <v>577</v>
      </c>
      <c r="J47" s="1" t="s">
        <v>578</v>
      </c>
      <c r="K47" s="1" t="s">
        <v>74</v>
      </c>
      <c r="L47" s="1" t="s">
        <v>74</v>
      </c>
      <c r="M47" s="1" t="s">
        <v>74</v>
      </c>
      <c r="N47" s="1" t="s">
        <v>74</v>
      </c>
      <c r="O47" s="1" t="s">
        <v>579</v>
      </c>
      <c r="P47" s="1" t="s">
        <v>580</v>
      </c>
      <c r="Q47" s="1" t="s">
        <v>566</v>
      </c>
      <c r="R47" s="1" t="s">
        <v>581</v>
      </c>
      <c r="S47" s="1" t="s">
        <v>74</v>
      </c>
      <c r="T47" s="1" t="s">
        <v>74</v>
      </c>
      <c r="U47" s="1" t="s">
        <v>74</v>
      </c>
      <c r="V47" s="1" t="s">
        <v>582</v>
      </c>
      <c r="W47" s="1" t="s">
        <v>74</v>
      </c>
      <c r="X47" s="1" t="s">
        <v>74</v>
      </c>
      <c r="Y47" s="1" t="s">
        <v>74</v>
      </c>
      <c r="Z47" s="1" t="s">
        <v>74</v>
      </c>
      <c r="AA47" s="1" t="s">
        <v>583</v>
      </c>
      <c r="AB47" s="1" t="s">
        <v>584</v>
      </c>
      <c r="AC47" s="1" t="s">
        <v>74</v>
      </c>
      <c r="AD47" s="1" t="s">
        <v>74</v>
      </c>
      <c r="AE47" s="1" t="s">
        <v>74</v>
      </c>
      <c r="AF47" s="1" t="s">
        <v>74</v>
      </c>
      <c r="AG47" s="1" t="s">
        <v>74</v>
      </c>
      <c r="AH47" s="1" t="s">
        <v>74</v>
      </c>
      <c r="AI47" s="1" t="s">
        <v>74</v>
      </c>
      <c r="AJ47" s="1" t="s">
        <v>74</v>
      </c>
      <c r="AK47" s="1" t="s">
        <v>74</v>
      </c>
      <c r="AL47" s="1" t="s">
        <v>74</v>
      </c>
      <c r="AM47" s="1" t="s">
        <v>74</v>
      </c>
      <c r="AN47" s="1" t="s">
        <v>74</v>
      </c>
      <c r="AO47" s="1" t="s">
        <v>74</v>
      </c>
      <c r="AP47" s="1" t="s">
        <v>74</v>
      </c>
      <c r="AQ47" s="1" t="s">
        <v>585</v>
      </c>
      <c r="AR47" s="1" t="s">
        <v>74</v>
      </c>
      <c r="AS47" s="1" t="s">
        <v>74</v>
      </c>
      <c r="AT47" s="1" t="s">
        <v>74</v>
      </c>
      <c r="AU47" s="1">
        <v>2021.0</v>
      </c>
      <c r="AV47" s="1" t="s">
        <v>74</v>
      </c>
      <c r="AW47" s="1" t="s">
        <v>74</v>
      </c>
      <c r="AX47" s="1" t="s">
        <v>74</v>
      </c>
      <c r="AY47" s="1" t="s">
        <v>74</v>
      </c>
      <c r="AZ47" s="1" t="s">
        <v>74</v>
      </c>
      <c r="BA47" s="1" t="s">
        <v>74</v>
      </c>
      <c r="BB47" s="1">
        <v>124.0</v>
      </c>
      <c r="BC47" s="1">
        <v>129.0</v>
      </c>
      <c r="BD47" s="1" t="s">
        <v>74</v>
      </c>
      <c r="BE47" s="1" t="s">
        <v>586</v>
      </c>
      <c r="BF47" s="2" t="str">
        <f>HYPERLINK("http://dx.doi.org/10.1109/CHILECON54041.2021.9702997","http://dx.doi.org/10.1109/CHILECON54041.2021.9702997")</f>
        <v>http://dx.doi.org/10.1109/CHILECON54041.2021.9702997</v>
      </c>
      <c r="BG47" s="1" t="s">
        <v>74</v>
      </c>
      <c r="BH47" s="1" t="s">
        <v>74</v>
      </c>
      <c r="BI47" s="1" t="s">
        <v>74</v>
      </c>
      <c r="BJ47" s="1" t="s">
        <v>74</v>
      </c>
      <c r="BK47" s="1" t="s">
        <v>74</v>
      </c>
      <c r="BL47" s="1" t="s">
        <v>74</v>
      </c>
      <c r="BM47" s="1" t="s">
        <v>74</v>
      </c>
      <c r="BN47" s="1" t="s">
        <v>74</v>
      </c>
      <c r="BO47" s="1" t="s">
        <v>74</v>
      </c>
      <c r="BP47" s="1" t="s">
        <v>74</v>
      </c>
      <c r="BQ47" s="1" t="s">
        <v>74</v>
      </c>
      <c r="BR47" s="1" t="s">
        <v>74</v>
      </c>
      <c r="BS47" s="1" t="s">
        <v>587</v>
      </c>
      <c r="BT47" s="1" t="str">
        <f>HYPERLINK("https%3A%2F%2Fwww.webofscience.com%2Fwos%2Fwoscc%2Ffull-record%2FWOS:000788072700021","View Full Record in Web of Science")</f>
        <v>View Full Record in Web of Science</v>
      </c>
    </row>
    <row r="48" ht="12.75" customHeight="1">
      <c r="A48" s="1" t="s">
        <v>72</v>
      </c>
      <c r="B48" s="1" t="s">
        <v>588</v>
      </c>
      <c r="C48" s="1" t="s">
        <v>74</v>
      </c>
      <c r="D48" s="1" t="s">
        <v>74</v>
      </c>
      <c r="E48" s="1" t="s">
        <v>74</v>
      </c>
      <c r="F48" s="1" t="s">
        <v>589</v>
      </c>
      <c r="G48" s="1" t="s">
        <v>74</v>
      </c>
      <c r="H48" s="1" t="s">
        <v>74</v>
      </c>
      <c r="I48" s="1" t="s">
        <v>590</v>
      </c>
      <c r="J48" s="1" t="s">
        <v>591</v>
      </c>
      <c r="K48" s="1" t="s">
        <v>74</v>
      </c>
      <c r="L48" s="1" t="s">
        <v>74</v>
      </c>
      <c r="M48" s="1" t="s">
        <v>74</v>
      </c>
      <c r="N48" s="1" t="s">
        <v>74</v>
      </c>
      <c r="O48" s="1" t="s">
        <v>74</v>
      </c>
      <c r="P48" s="1" t="s">
        <v>74</v>
      </c>
      <c r="Q48" s="1" t="s">
        <v>74</v>
      </c>
      <c r="R48" s="1" t="s">
        <v>74</v>
      </c>
      <c r="S48" s="1" t="s">
        <v>74</v>
      </c>
      <c r="T48" s="1" t="s">
        <v>74</v>
      </c>
      <c r="U48" s="1" t="s">
        <v>74</v>
      </c>
      <c r="V48" s="1" t="s">
        <v>592</v>
      </c>
      <c r="W48" s="1" t="s">
        <v>74</v>
      </c>
      <c r="X48" s="1" t="s">
        <v>74</v>
      </c>
      <c r="Y48" s="1" t="s">
        <v>74</v>
      </c>
      <c r="Z48" s="1" t="s">
        <v>74</v>
      </c>
      <c r="AA48" s="1" t="s">
        <v>593</v>
      </c>
      <c r="AB48" s="1" t="s">
        <v>594</v>
      </c>
      <c r="AC48" s="1" t="s">
        <v>74</v>
      </c>
      <c r="AD48" s="1" t="s">
        <v>74</v>
      </c>
      <c r="AE48" s="1" t="s">
        <v>74</v>
      </c>
      <c r="AF48" s="1" t="s">
        <v>74</v>
      </c>
      <c r="AG48" s="1" t="s">
        <v>74</v>
      </c>
      <c r="AH48" s="1" t="s">
        <v>74</v>
      </c>
      <c r="AI48" s="1" t="s">
        <v>74</v>
      </c>
      <c r="AJ48" s="1" t="s">
        <v>74</v>
      </c>
      <c r="AK48" s="1" t="s">
        <v>74</v>
      </c>
      <c r="AL48" s="1" t="s">
        <v>74</v>
      </c>
      <c r="AM48" s="1" t="s">
        <v>74</v>
      </c>
      <c r="AN48" s="1" t="s">
        <v>74</v>
      </c>
      <c r="AO48" s="1" t="s">
        <v>595</v>
      </c>
      <c r="AP48" s="1" t="s">
        <v>74</v>
      </c>
      <c r="AQ48" s="1" t="s">
        <v>74</v>
      </c>
      <c r="AR48" s="1" t="s">
        <v>74</v>
      </c>
      <c r="AS48" s="1" t="s">
        <v>74</v>
      </c>
      <c r="AT48" s="1" t="s">
        <v>596</v>
      </c>
      <c r="AU48" s="1">
        <v>2020.0</v>
      </c>
      <c r="AV48" s="1">
        <v>10.0</v>
      </c>
      <c r="AW48" s="1">
        <v>21.0</v>
      </c>
      <c r="AX48" s="1" t="s">
        <v>74</v>
      </c>
      <c r="AY48" s="1" t="s">
        <v>74</v>
      </c>
      <c r="AZ48" s="1" t="s">
        <v>74</v>
      </c>
      <c r="BA48" s="1" t="s">
        <v>74</v>
      </c>
      <c r="BB48" s="1">
        <v>11941.0</v>
      </c>
      <c r="BC48" s="1">
        <v>11953.0</v>
      </c>
      <c r="BD48" s="1" t="s">
        <v>74</v>
      </c>
      <c r="BE48" s="1" t="s">
        <v>597</v>
      </c>
      <c r="BF48" s="2" t="str">
        <f>HYPERLINK("http://dx.doi.org/10.1002/ece3.6695","http://dx.doi.org/10.1002/ece3.6695")</f>
        <v>http://dx.doi.org/10.1002/ece3.6695</v>
      </c>
      <c r="BG48" s="1" t="s">
        <v>74</v>
      </c>
      <c r="BH48" s="1" t="s">
        <v>189</v>
      </c>
      <c r="BI48" s="1" t="s">
        <v>74</v>
      </c>
      <c r="BJ48" s="1" t="s">
        <v>74</v>
      </c>
      <c r="BK48" s="1" t="s">
        <v>74</v>
      </c>
      <c r="BL48" s="1" t="s">
        <v>74</v>
      </c>
      <c r="BM48" s="1" t="s">
        <v>74</v>
      </c>
      <c r="BN48" s="1">
        <v>3.3209261E7</v>
      </c>
      <c r="BO48" s="1" t="s">
        <v>74</v>
      </c>
      <c r="BP48" s="1" t="s">
        <v>74</v>
      </c>
      <c r="BQ48" s="1" t="s">
        <v>74</v>
      </c>
      <c r="BR48" s="1" t="s">
        <v>74</v>
      </c>
      <c r="BS48" s="1" t="s">
        <v>598</v>
      </c>
      <c r="BT48" s="1" t="str">
        <f>HYPERLINK("https%3A%2F%2Fwww.webofscience.com%2Fwos%2Fwoscc%2Ffull-record%2FWOS:000585259500001","View Full Record in Web of Science")</f>
        <v>View Full Record in Web of Science</v>
      </c>
    </row>
    <row r="49" ht="12.75" customHeight="1">
      <c r="A49" s="1" t="s">
        <v>72</v>
      </c>
      <c r="B49" s="1" t="s">
        <v>599</v>
      </c>
      <c r="C49" s="1" t="s">
        <v>74</v>
      </c>
      <c r="D49" s="1" t="s">
        <v>74</v>
      </c>
      <c r="E49" s="1" t="s">
        <v>74</v>
      </c>
      <c r="F49" s="1" t="s">
        <v>600</v>
      </c>
      <c r="G49" s="1" t="s">
        <v>74</v>
      </c>
      <c r="H49" s="1" t="s">
        <v>74</v>
      </c>
      <c r="I49" s="1" t="s">
        <v>601</v>
      </c>
      <c r="J49" s="1" t="s">
        <v>602</v>
      </c>
      <c r="K49" s="1" t="s">
        <v>74</v>
      </c>
      <c r="L49" s="1" t="s">
        <v>74</v>
      </c>
      <c r="M49" s="1" t="s">
        <v>74</v>
      </c>
      <c r="N49" s="1" t="s">
        <v>74</v>
      </c>
      <c r="O49" s="1" t="s">
        <v>74</v>
      </c>
      <c r="P49" s="1" t="s">
        <v>74</v>
      </c>
      <c r="Q49" s="1" t="s">
        <v>74</v>
      </c>
      <c r="R49" s="1" t="s">
        <v>74</v>
      </c>
      <c r="S49" s="1" t="s">
        <v>74</v>
      </c>
      <c r="T49" s="1" t="s">
        <v>74</v>
      </c>
      <c r="U49" s="1" t="s">
        <v>74</v>
      </c>
      <c r="V49" s="1" t="s">
        <v>603</v>
      </c>
      <c r="W49" s="1" t="s">
        <v>74</v>
      </c>
      <c r="X49" s="1" t="s">
        <v>74</v>
      </c>
      <c r="Y49" s="1" t="s">
        <v>74</v>
      </c>
      <c r="Z49" s="1" t="s">
        <v>74</v>
      </c>
      <c r="AA49" s="1" t="s">
        <v>74</v>
      </c>
      <c r="AB49" s="1" t="s">
        <v>604</v>
      </c>
      <c r="AC49" s="1" t="s">
        <v>74</v>
      </c>
      <c r="AD49" s="1" t="s">
        <v>74</v>
      </c>
      <c r="AE49" s="1" t="s">
        <v>74</v>
      </c>
      <c r="AF49" s="1" t="s">
        <v>74</v>
      </c>
      <c r="AG49" s="1" t="s">
        <v>74</v>
      </c>
      <c r="AH49" s="1" t="s">
        <v>74</v>
      </c>
      <c r="AI49" s="1" t="s">
        <v>74</v>
      </c>
      <c r="AJ49" s="1" t="s">
        <v>74</v>
      </c>
      <c r="AK49" s="1" t="s">
        <v>74</v>
      </c>
      <c r="AL49" s="1" t="s">
        <v>74</v>
      </c>
      <c r="AM49" s="1" t="s">
        <v>74</v>
      </c>
      <c r="AN49" s="1" t="s">
        <v>74</v>
      </c>
      <c r="AO49" s="1" t="s">
        <v>605</v>
      </c>
      <c r="AP49" s="1" t="s">
        <v>74</v>
      </c>
      <c r="AQ49" s="1" t="s">
        <v>74</v>
      </c>
      <c r="AR49" s="1" t="s">
        <v>74</v>
      </c>
      <c r="AS49" s="1" t="s">
        <v>74</v>
      </c>
      <c r="AT49" s="1" t="s">
        <v>461</v>
      </c>
      <c r="AU49" s="1">
        <v>2020.0</v>
      </c>
      <c r="AV49" s="1">
        <v>19.0</v>
      </c>
      <c r="AW49" s="1">
        <v>5.0</v>
      </c>
      <c r="AX49" s="1" t="s">
        <v>74</v>
      </c>
      <c r="AY49" s="1" t="s">
        <v>74</v>
      </c>
      <c r="AZ49" s="1" t="s">
        <v>74</v>
      </c>
      <c r="BA49" s="1" t="s">
        <v>74</v>
      </c>
      <c r="BB49" s="1">
        <v>482.0</v>
      </c>
      <c r="BC49" s="1">
        <v>491.0</v>
      </c>
      <c r="BD49" s="1" t="s">
        <v>74</v>
      </c>
      <c r="BE49" s="1" t="s">
        <v>606</v>
      </c>
      <c r="BF49" s="2" t="str">
        <f>HYPERLINK("http://dx.doi.org/10.37360/blacpma.20.19.5.32","http://dx.doi.org/10.37360/blacpma.20.19.5.32")</f>
        <v>http://dx.doi.org/10.37360/blacpma.20.19.5.32</v>
      </c>
      <c r="BG49" s="1" t="s">
        <v>74</v>
      </c>
      <c r="BH49" s="1" t="s">
        <v>74</v>
      </c>
      <c r="BI49" s="1" t="s">
        <v>74</v>
      </c>
      <c r="BJ49" s="1" t="s">
        <v>74</v>
      </c>
      <c r="BK49" s="1" t="s">
        <v>74</v>
      </c>
      <c r="BL49" s="1" t="s">
        <v>74</v>
      </c>
      <c r="BM49" s="1" t="s">
        <v>74</v>
      </c>
      <c r="BN49" s="1" t="s">
        <v>74</v>
      </c>
      <c r="BO49" s="1" t="s">
        <v>74</v>
      </c>
      <c r="BP49" s="1" t="s">
        <v>74</v>
      </c>
      <c r="BQ49" s="1" t="s">
        <v>74</v>
      </c>
      <c r="BR49" s="1" t="s">
        <v>74</v>
      </c>
      <c r="BS49" s="1" t="s">
        <v>607</v>
      </c>
      <c r="BT49" s="1" t="str">
        <f>HYPERLINK("https%3A%2F%2Fwww.webofscience.com%2Fwos%2Fwoscc%2Ffull-record%2FWOS:000592118400003","View Full Record in Web of Science")</f>
        <v>View Full Record in Web of Science</v>
      </c>
    </row>
    <row r="50" ht="12.75" customHeight="1">
      <c r="A50" s="1" t="s">
        <v>72</v>
      </c>
      <c r="B50" s="1" t="s">
        <v>608</v>
      </c>
      <c r="C50" s="1" t="s">
        <v>74</v>
      </c>
      <c r="D50" s="1" t="s">
        <v>74</v>
      </c>
      <c r="E50" s="1" t="s">
        <v>74</v>
      </c>
      <c r="F50" s="1" t="s">
        <v>609</v>
      </c>
      <c r="G50" s="1" t="s">
        <v>74</v>
      </c>
      <c r="H50" s="1" t="s">
        <v>74</v>
      </c>
      <c r="I50" s="1" t="s">
        <v>610</v>
      </c>
      <c r="J50" s="1" t="s">
        <v>611</v>
      </c>
      <c r="K50" s="1" t="s">
        <v>74</v>
      </c>
      <c r="L50" s="1" t="s">
        <v>74</v>
      </c>
      <c r="M50" s="1" t="s">
        <v>74</v>
      </c>
      <c r="N50" s="1" t="s">
        <v>74</v>
      </c>
      <c r="O50" s="1" t="s">
        <v>74</v>
      </c>
      <c r="P50" s="1" t="s">
        <v>74</v>
      </c>
      <c r="Q50" s="1" t="s">
        <v>74</v>
      </c>
      <c r="R50" s="1" t="s">
        <v>74</v>
      </c>
      <c r="S50" s="1" t="s">
        <v>74</v>
      </c>
      <c r="T50" s="1" t="s">
        <v>74</v>
      </c>
      <c r="U50" s="1" t="s">
        <v>74</v>
      </c>
      <c r="V50" s="1" t="s">
        <v>612</v>
      </c>
      <c r="W50" s="1" t="s">
        <v>74</v>
      </c>
      <c r="X50" s="1" t="s">
        <v>74</v>
      </c>
      <c r="Y50" s="1" t="s">
        <v>74</v>
      </c>
      <c r="Z50" s="1" t="s">
        <v>74</v>
      </c>
      <c r="AA50" s="1" t="s">
        <v>613</v>
      </c>
      <c r="AB50" s="1" t="s">
        <v>614</v>
      </c>
      <c r="AC50" s="1" t="s">
        <v>74</v>
      </c>
      <c r="AD50" s="1" t="s">
        <v>74</v>
      </c>
      <c r="AE50" s="1" t="s">
        <v>74</v>
      </c>
      <c r="AF50" s="1" t="s">
        <v>74</v>
      </c>
      <c r="AG50" s="1" t="s">
        <v>74</v>
      </c>
      <c r="AH50" s="1" t="s">
        <v>74</v>
      </c>
      <c r="AI50" s="1" t="s">
        <v>74</v>
      </c>
      <c r="AJ50" s="1" t="s">
        <v>74</v>
      </c>
      <c r="AK50" s="1" t="s">
        <v>74</v>
      </c>
      <c r="AL50" s="1" t="s">
        <v>74</v>
      </c>
      <c r="AM50" s="1" t="s">
        <v>74</v>
      </c>
      <c r="AN50" s="1" t="s">
        <v>74</v>
      </c>
      <c r="AO50" s="1" t="s">
        <v>615</v>
      </c>
      <c r="AP50" s="1" t="s">
        <v>74</v>
      </c>
      <c r="AQ50" s="1" t="s">
        <v>74</v>
      </c>
      <c r="AR50" s="1" t="s">
        <v>74</v>
      </c>
      <c r="AS50" s="1" t="s">
        <v>74</v>
      </c>
      <c r="AT50" s="1" t="s">
        <v>332</v>
      </c>
      <c r="AU50" s="1">
        <v>2019.0</v>
      </c>
      <c r="AV50" s="1">
        <v>4.0</v>
      </c>
      <c r="AW50" s="1">
        <v>11.0</v>
      </c>
      <c r="AX50" s="1" t="s">
        <v>74</v>
      </c>
      <c r="AY50" s="1" t="s">
        <v>74</v>
      </c>
      <c r="AZ50" s="1" t="s">
        <v>74</v>
      </c>
      <c r="BA50" s="1" t="s">
        <v>74</v>
      </c>
      <c r="BB50" s="1">
        <v>14398.0</v>
      </c>
      <c r="BC50" s="1">
        <v>14403.0</v>
      </c>
      <c r="BD50" s="1" t="s">
        <v>74</v>
      </c>
      <c r="BE50" s="1" t="s">
        <v>616</v>
      </c>
      <c r="BF50" s="2" t="str">
        <f>HYPERLINK("http://dx.doi.org/10.1021/acsomega.9b01127","http://dx.doi.org/10.1021/acsomega.9b01127")</f>
        <v>http://dx.doi.org/10.1021/acsomega.9b01127</v>
      </c>
      <c r="BG50" s="1" t="s">
        <v>74</v>
      </c>
      <c r="BH50" s="1" t="s">
        <v>74</v>
      </c>
      <c r="BI50" s="1" t="s">
        <v>74</v>
      </c>
      <c r="BJ50" s="1" t="s">
        <v>74</v>
      </c>
      <c r="BK50" s="1" t="s">
        <v>74</v>
      </c>
      <c r="BL50" s="1" t="s">
        <v>74</v>
      </c>
      <c r="BM50" s="1" t="s">
        <v>74</v>
      </c>
      <c r="BN50" s="1">
        <v>3.1528792E7</v>
      </c>
      <c r="BO50" s="1" t="s">
        <v>74</v>
      </c>
      <c r="BP50" s="1" t="s">
        <v>74</v>
      </c>
      <c r="BQ50" s="1" t="s">
        <v>74</v>
      </c>
      <c r="BR50" s="1" t="s">
        <v>74</v>
      </c>
      <c r="BS50" s="1" t="s">
        <v>617</v>
      </c>
      <c r="BT50" s="1" t="str">
        <f>HYPERLINK("https%3A%2F%2Fwww.webofscience.com%2Fwos%2Fwoscc%2Ffull-record%2FWOS:000486396500005","View Full Record in Web of Science")</f>
        <v>View Full Record in Web of Science</v>
      </c>
    </row>
    <row r="51" ht="12.75" customHeight="1">
      <c r="A51" s="1" t="s">
        <v>72</v>
      </c>
      <c r="B51" s="1" t="s">
        <v>618</v>
      </c>
      <c r="C51" s="1" t="s">
        <v>74</v>
      </c>
      <c r="D51" s="1" t="s">
        <v>74</v>
      </c>
      <c r="E51" s="1" t="s">
        <v>74</v>
      </c>
      <c r="F51" s="1" t="s">
        <v>619</v>
      </c>
      <c r="G51" s="1" t="s">
        <v>74</v>
      </c>
      <c r="H51" s="1" t="s">
        <v>74</v>
      </c>
      <c r="I51" s="1" t="s">
        <v>620</v>
      </c>
      <c r="J51" s="1" t="s">
        <v>510</v>
      </c>
      <c r="K51" s="1" t="s">
        <v>74</v>
      </c>
      <c r="L51" s="1" t="s">
        <v>74</v>
      </c>
      <c r="M51" s="1" t="s">
        <v>74</v>
      </c>
      <c r="N51" s="1" t="s">
        <v>74</v>
      </c>
      <c r="O51" s="1" t="s">
        <v>74</v>
      </c>
      <c r="P51" s="1" t="s">
        <v>74</v>
      </c>
      <c r="Q51" s="1" t="s">
        <v>74</v>
      </c>
      <c r="R51" s="1" t="s">
        <v>74</v>
      </c>
      <c r="S51" s="1" t="s">
        <v>74</v>
      </c>
      <c r="T51" s="1" t="s">
        <v>74</v>
      </c>
      <c r="U51" s="1" t="s">
        <v>74</v>
      </c>
      <c r="V51" s="1" t="s">
        <v>621</v>
      </c>
      <c r="W51" s="1" t="s">
        <v>74</v>
      </c>
      <c r="X51" s="1" t="s">
        <v>74</v>
      </c>
      <c r="Y51" s="1" t="s">
        <v>74</v>
      </c>
      <c r="Z51" s="1" t="s">
        <v>74</v>
      </c>
      <c r="AA51" s="1" t="s">
        <v>622</v>
      </c>
      <c r="AB51" s="1" t="s">
        <v>623</v>
      </c>
      <c r="AC51" s="1" t="s">
        <v>74</v>
      </c>
      <c r="AD51" s="1" t="s">
        <v>74</v>
      </c>
      <c r="AE51" s="1" t="s">
        <v>74</v>
      </c>
      <c r="AF51" s="1" t="s">
        <v>74</v>
      </c>
      <c r="AG51" s="1" t="s">
        <v>74</v>
      </c>
      <c r="AH51" s="1" t="s">
        <v>74</v>
      </c>
      <c r="AI51" s="1" t="s">
        <v>74</v>
      </c>
      <c r="AJ51" s="1" t="s">
        <v>74</v>
      </c>
      <c r="AK51" s="1" t="s">
        <v>74</v>
      </c>
      <c r="AL51" s="1" t="s">
        <v>74</v>
      </c>
      <c r="AM51" s="1" t="s">
        <v>74</v>
      </c>
      <c r="AN51" s="1" t="s">
        <v>74</v>
      </c>
      <c r="AO51" s="1" t="s">
        <v>514</v>
      </c>
      <c r="AP51" s="1" t="s">
        <v>74</v>
      </c>
      <c r="AQ51" s="1" t="s">
        <v>74</v>
      </c>
      <c r="AR51" s="1" t="s">
        <v>74</v>
      </c>
      <c r="AS51" s="1" t="s">
        <v>74</v>
      </c>
      <c r="AT51" s="1" t="s">
        <v>624</v>
      </c>
      <c r="AU51" s="1">
        <v>2019.0</v>
      </c>
      <c r="AV51" s="1">
        <v>14.0</v>
      </c>
      <c r="AW51" s="1">
        <v>8.0</v>
      </c>
      <c r="AX51" s="1" t="s">
        <v>74</v>
      </c>
      <c r="AY51" s="1" t="s">
        <v>74</v>
      </c>
      <c r="AZ51" s="1" t="s">
        <v>74</v>
      </c>
      <c r="BA51" s="1" t="s">
        <v>74</v>
      </c>
      <c r="BB51" s="1" t="s">
        <v>74</v>
      </c>
      <c r="BC51" s="1" t="s">
        <v>74</v>
      </c>
      <c r="BD51" s="1" t="s">
        <v>625</v>
      </c>
      <c r="BE51" s="1" t="s">
        <v>626</v>
      </c>
      <c r="BF51" s="2" t="str">
        <f>HYPERLINK("http://dx.doi.org/10.1371/journal.pone.0219485","http://dx.doi.org/10.1371/journal.pone.0219485")</f>
        <v>http://dx.doi.org/10.1371/journal.pone.0219485</v>
      </c>
      <c r="BG51" s="1" t="s">
        <v>74</v>
      </c>
      <c r="BH51" s="1" t="s">
        <v>74</v>
      </c>
      <c r="BI51" s="1" t="s">
        <v>74</v>
      </c>
      <c r="BJ51" s="1" t="s">
        <v>74</v>
      </c>
      <c r="BK51" s="1" t="s">
        <v>74</v>
      </c>
      <c r="BL51" s="1" t="s">
        <v>74</v>
      </c>
      <c r="BM51" s="1" t="s">
        <v>74</v>
      </c>
      <c r="BN51" s="1">
        <v>3.1408469E7</v>
      </c>
      <c r="BO51" s="1" t="s">
        <v>74</v>
      </c>
      <c r="BP51" s="1" t="s">
        <v>74</v>
      </c>
      <c r="BQ51" s="1" t="s">
        <v>74</v>
      </c>
      <c r="BR51" s="1" t="s">
        <v>74</v>
      </c>
      <c r="BS51" s="1" t="s">
        <v>627</v>
      </c>
      <c r="BT51" s="1" t="str">
        <f>HYPERLINK("https%3A%2F%2Fwww.webofscience.com%2Fwos%2Fwoscc%2Ffull-record%2FWOS:000485009500004","View Full Record in Web of Science")</f>
        <v>View Full Record in Web of Science</v>
      </c>
    </row>
    <row r="52" ht="12.75" customHeight="1">
      <c r="A52" s="1" t="s">
        <v>72</v>
      </c>
      <c r="B52" s="1" t="s">
        <v>628</v>
      </c>
      <c r="C52" s="1" t="s">
        <v>74</v>
      </c>
      <c r="D52" s="1" t="s">
        <v>74</v>
      </c>
      <c r="E52" s="1" t="s">
        <v>74</v>
      </c>
      <c r="F52" s="1" t="s">
        <v>629</v>
      </c>
      <c r="G52" s="1" t="s">
        <v>74</v>
      </c>
      <c r="H52" s="1" t="s">
        <v>74</v>
      </c>
      <c r="I52" s="1" t="s">
        <v>630</v>
      </c>
      <c r="J52" s="1" t="s">
        <v>631</v>
      </c>
      <c r="K52" s="1" t="s">
        <v>74</v>
      </c>
      <c r="L52" s="1" t="s">
        <v>74</v>
      </c>
      <c r="M52" s="1" t="s">
        <v>74</v>
      </c>
      <c r="N52" s="1" t="s">
        <v>74</v>
      </c>
      <c r="O52" s="1" t="s">
        <v>74</v>
      </c>
      <c r="P52" s="1" t="s">
        <v>74</v>
      </c>
      <c r="Q52" s="1" t="s">
        <v>74</v>
      </c>
      <c r="R52" s="1" t="s">
        <v>74</v>
      </c>
      <c r="S52" s="1" t="s">
        <v>74</v>
      </c>
      <c r="T52" s="1" t="s">
        <v>74</v>
      </c>
      <c r="U52" s="1" t="s">
        <v>74</v>
      </c>
      <c r="V52" s="1" t="s">
        <v>632</v>
      </c>
      <c r="W52" s="1" t="s">
        <v>74</v>
      </c>
      <c r="X52" s="1" t="s">
        <v>74</v>
      </c>
      <c r="Y52" s="1" t="s">
        <v>74</v>
      </c>
      <c r="Z52" s="1" t="s">
        <v>74</v>
      </c>
      <c r="AA52" s="1" t="s">
        <v>633</v>
      </c>
      <c r="AB52" s="1" t="s">
        <v>74</v>
      </c>
      <c r="AC52" s="1" t="s">
        <v>74</v>
      </c>
      <c r="AD52" s="1" t="s">
        <v>74</v>
      </c>
      <c r="AE52" s="1" t="s">
        <v>74</v>
      </c>
      <c r="AF52" s="1" t="s">
        <v>74</v>
      </c>
      <c r="AG52" s="1" t="s">
        <v>74</v>
      </c>
      <c r="AH52" s="1" t="s">
        <v>74</v>
      </c>
      <c r="AI52" s="1" t="s">
        <v>74</v>
      </c>
      <c r="AJ52" s="1" t="s">
        <v>74</v>
      </c>
      <c r="AK52" s="1" t="s">
        <v>74</v>
      </c>
      <c r="AL52" s="1" t="s">
        <v>74</v>
      </c>
      <c r="AM52" s="1" t="s">
        <v>74</v>
      </c>
      <c r="AN52" s="1" t="s">
        <v>74</v>
      </c>
      <c r="AO52" s="1" t="s">
        <v>634</v>
      </c>
      <c r="AP52" s="1" t="s">
        <v>635</v>
      </c>
      <c r="AQ52" s="1" t="s">
        <v>74</v>
      </c>
      <c r="AR52" s="1" t="s">
        <v>74</v>
      </c>
      <c r="AS52" s="1" t="s">
        <v>74</v>
      </c>
      <c r="AT52" s="1" t="s">
        <v>83</v>
      </c>
      <c r="AU52" s="1">
        <v>2019.0</v>
      </c>
      <c r="AV52" s="1">
        <v>19.0</v>
      </c>
      <c r="AW52" s="1">
        <v>1.0</v>
      </c>
      <c r="AX52" s="1" t="s">
        <v>74</v>
      </c>
      <c r="AY52" s="1" t="s">
        <v>74</v>
      </c>
      <c r="AZ52" s="1" t="s">
        <v>74</v>
      </c>
      <c r="BA52" s="1" t="s">
        <v>74</v>
      </c>
      <c r="BB52" s="1">
        <v>12.0</v>
      </c>
      <c r="BC52" s="1">
        <v>28.0</v>
      </c>
      <c r="BD52" s="1" t="s">
        <v>74</v>
      </c>
      <c r="BE52" s="1" t="s">
        <v>636</v>
      </c>
      <c r="BF52" s="2" t="str">
        <f>HYPERLINK("http://dx.doi.org/10.1007/s42729-018-0002-8","http://dx.doi.org/10.1007/s42729-018-0002-8")</f>
        <v>http://dx.doi.org/10.1007/s42729-018-0002-8</v>
      </c>
      <c r="BG52" s="1" t="s">
        <v>74</v>
      </c>
      <c r="BH52" s="1" t="s">
        <v>74</v>
      </c>
      <c r="BI52" s="1" t="s">
        <v>74</v>
      </c>
      <c r="BJ52" s="1" t="s">
        <v>74</v>
      </c>
      <c r="BK52" s="1" t="s">
        <v>74</v>
      </c>
      <c r="BL52" s="1" t="s">
        <v>74</v>
      </c>
      <c r="BM52" s="1" t="s">
        <v>74</v>
      </c>
      <c r="BN52" s="1" t="s">
        <v>74</v>
      </c>
      <c r="BO52" s="1" t="s">
        <v>74</v>
      </c>
      <c r="BP52" s="1" t="s">
        <v>74</v>
      </c>
      <c r="BQ52" s="1" t="s">
        <v>74</v>
      </c>
      <c r="BR52" s="1" t="s">
        <v>74</v>
      </c>
      <c r="BS52" s="1" t="s">
        <v>637</v>
      </c>
      <c r="BT52" s="1" t="str">
        <f>HYPERLINK("https%3A%2F%2Fwww.webofscience.com%2Fwos%2Fwoscc%2Ffull-record%2FWOS:000471078200002","View Full Record in Web of Science")</f>
        <v>View Full Record in Web of Science</v>
      </c>
    </row>
    <row r="53" ht="12.75" customHeight="1">
      <c r="A53" s="1" t="s">
        <v>72</v>
      </c>
      <c r="B53" s="1" t="s">
        <v>638</v>
      </c>
      <c r="C53" s="1" t="s">
        <v>74</v>
      </c>
      <c r="D53" s="1" t="s">
        <v>74</v>
      </c>
      <c r="E53" s="1" t="s">
        <v>74</v>
      </c>
      <c r="F53" s="1" t="s">
        <v>639</v>
      </c>
      <c r="G53" s="1" t="s">
        <v>74</v>
      </c>
      <c r="H53" s="1" t="s">
        <v>74</v>
      </c>
      <c r="I53" s="1" t="s">
        <v>640</v>
      </c>
      <c r="J53" s="1" t="s">
        <v>641</v>
      </c>
      <c r="K53" s="1" t="s">
        <v>74</v>
      </c>
      <c r="L53" s="1" t="s">
        <v>74</v>
      </c>
      <c r="M53" s="1" t="s">
        <v>74</v>
      </c>
      <c r="N53" s="1" t="s">
        <v>74</v>
      </c>
      <c r="O53" s="1" t="s">
        <v>74</v>
      </c>
      <c r="P53" s="1" t="s">
        <v>74</v>
      </c>
      <c r="Q53" s="1" t="s">
        <v>74</v>
      </c>
      <c r="R53" s="1" t="s">
        <v>74</v>
      </c>
      <c r="S53" s="1" t="s">
        <v>74</v>
      </c>
      <c r="T53" s="1" t="s">
        <v>74</v>
      </c>
      <c r="U53" s="1" t="s">
        <v>74</v>
      </c>
      <c r="V53" s="1" t="s">
        <v>642</v>
      </c>
      <c r="W53" s="1" t="s">
        <v>74</v>
      </c>
      <c r="X53" s="1" t="s">
        <v>74</v>
      </c>
      <c r="Y53" s="1" t="s">
        <v>74</v>
      </c>
      <c r="Z53" s="1" t="s">
        <v>74</v>
      </c>
      <c r="AA53" s="1" t="s">
        <v>643</v>
      </c>
      <c r="AB53" s="1" t="s">
        <v>644</v>
      </c>
      <c r="AC53" s="1" t="s">
        <v>74</v>
      </c>
      <c r="AD53" s="1" t="s">
        <v>74</v>
      </c>
      <c r="AE53" s="1" t="s">
        <v>74</v>
      </c>
      <c r="AF53" s="1" t="s">
        <v>74</v>
      </c>
      <c r="AG53" s="1" t="s">
        <v>74</v>
      </c>
      <c r="AH53" s="1" t="s">
        <v>74</v>
      </c>
      <c r="AI53" s="1" t="s">
        <v>74</v>
      </c>
      <c r="AJ53" s="1" t="s">
        <v>74</v>
      </c>
      <c r="AK53" s="1" t="s">
        <v>74</v>
      </c>
      <c r="AL53" s="1" t="s">
        <v>74</v>
      </c>
      <c r="AM53" s="1" t="s">
        <v>74</v>
      </c>
      <c r="AN53" s="1" t="s">
        <v>74</v>
      </c>
      <c r="AO53" s="1" t="s">
        <v>645</v>
      </c>
      <c r="AP53" s="1" t="s">
        <v>646</v>
      </c>
      <c r="AQ53" s="1" t="s">
        <v>74</v>
      </c>
      <c r="AR53" s="1" t="s">
        <v>74</v>
      </c>
      <c r="AS53" s="1" t="s">
        <v>74</v>
      </c>
      <c r="AT53" s="1" t="s">
        <v>647</v>
      </c>
      <c r="AU53" s="1">
        <v>2018.0</v>
      </c>
      <c r="AV53" s="1">
        <v>30.0</v>
      </c>
      <c r="AW53" s="1">
        <v>8.0</v>
      </c>
      <c r="AX53" s="1" t="s">
        <v>74</v>
      </c>
      <c r="AY53" s="1" t="s">
        <v>74</v>
      </c>
      <c r="AZ53" s="1" t="s">
        <v>297</v>
      </c>
      <c r="BA53" s="1" t="s">
        <v>74</v>
      </c>
      <c r="BB53" s="1" t="s">
        <v>74</v>
      </c>
      <c r="BC53" s="1" t="s">
        <v>74</v>
      </c>
      <c r="BD53" s="1" t="s">
        <v>648</v>
      </c>
      <c r="BE53" s="1" t="s">
        <v>649</v>
      </c>
      <c r="BF53" s="2" t="str">
        <f>HYPERLINK("http://dx.doi.org/10.1111/jne.12611","http://dx.doi.org/10.1111/jne.12611")</f>
        <v>http://dx.doi.org/10.1111/jne.12611</v>
      </c>
      <c r="BG53" s="1" t="s">
        <v>74</v>
      </c>
      <c r="BH53" s="1" t="s">
        <v>74</v>
      </c>
      <c r="BI53" s="1" t="s">
        <v>74</v>
      </c>
      <c r="BJ53" s="1" t="s">
        <v>74</v>
      </c>
      <c r="BK53" s="1" t="s">
        <v>74</v>
      </c>
      <c r="BL53" s="1" t="s">
        <v>74</v>
      </c>
      <c r="BM53" s="1" t="s">
        <v>74</v>
      </c>
      <c r="BN53" s="1">
        <v>2.9802803E7</v>
      </c>
      <c r="BO53" s="1" t="s">
        <v>74</v>
      </c>
      <c r="BP53" s="1" t="s">
        <v>74</v>
      </c>
      <c r="BQ53" s="1" t="s">
        <v>74</v>
      </c>
      <c r="BR53" s="1" t="s">
        <v>74</v>
      </c>
      <c r="BS53" s="1" t="s">
        <v>650</v>
      </c>
      <c r="BT53" s="1" t="str">
        <f>HYPERLINK("https%3A%2F%2Fwww.webofscience.com%2Fwos%2Fwoscc%2Ffull-record%2FWOS:000441752000012","View Full Record in Web of Science")</f>
        <v>View Full Record in Web of Science</v>
      </c>
    </row>
    <row r="54" ht="12.75" customHeight="1">
      <c r="A54" s="1" t="s">
        <v>72</v>
      </c>
      <c r="B54" s="1" t="s">
        <v>651</v>
      </c>
      <c r="C54" s="1" t="s">
        <v>74</v>
      </c>
      <c r="D54" s="1" t="s">
        <v>74</v>
      </c>
      <c r="E54" s="1" t="s">
        <v>74</v>
      </c>
      <c r="F54" s="1" t="s">
        <v>652</v>
      </c>
      <c r="G54" s="1" t="s">
        <v>74</v>
      </c>
      <c r="H54" s="1" t="s">
        <v>74</v>
      </c>
      <c r="I54" s="1" t="s">
        <v>653</v>
      </c>
      <c r="J54" s="1" t="s">
        <v>654</v>
      </c>
      <c r="K54" s="1" t="s">
        <v>74</v>
      </c>
      <c r="L54" s="1" t="s">
        <v>74</v>
      </c>
      <c r="M54" s="1" t="s">
        <v>74</v>
      </c>
      <c r="N54" s="1" t="s">
        <v>74</v>
      </c>
      <c r="O54" s="1" t="s">
        <v>74</v>
      </c>
      <c r="P54" s="1" t="s">
        <v>74</v>
      </c>
      <c r="Q54" s="1" t="s">
        <v>74</v>
      </c>
      <c r="R54" s="1" t="s">
        <v>74</v>
      </c>
      <c r="S54" s="1" t="s">
        <v>74</v>
      </c>
      <c r="T54" s="1" t="s">
        <v>74</v>
      </c>
      <c r="U54" s="1" t="s">
        <v>74</v>
      </c>
      <c r="V54" s="1" t="s">
        <v>655</v>
      </c>
      <c r="W54" s="1" t="s">
        <v>74</v>
      </c>
      <c r="X54" s="1" t="s">
        <v>74</v>
      </c>
      <c r="Y54" s="1" t="s">
        <v>74</v>
      </c>
      <c r="Z54" s="1" t="s">
        <v>74</v>
      </c>
      <c r="AA54" s="1" t="s">
        <v>74</v>
      </c>
      <c r="AB54" s="1" t="s">
        <v>656</v>
      </c>
      <c r="AC54" s="1" t="s">
        <v>74</v>
      </c>
      <c r="AD54" s="1" t="s">
        <v>74</v>
      </c>
      <c r="AE54" s="1" t="s">
        <v>74</v>
      </c>
      <c r="AF54" s="1" t="s">
        <v>74</v>
      </c>
      <c r="AG54" s="1" t="s">
        <v>74</v>
      </c>
      <c r="AH54" s="1" t="s">
        <v>74</v>
      </c>
      <c r="AI54" s="1" t="s">
        <v>74</v>
      </c>
      <c r="AJ54" s="1" t="s">
        <v>74</v>
      </c>
      <c r="AK54" s="1" t="s">
        <v>74</v>
      </c>
      <c r="AL54" s="1" t="s">
        <v>74</v>
      </c>
      <c r="AM54" s="1" t="s">
        <v>74</v>
      </c>
      <c r="AN54" s="1" t="s">
        <v>74</v>
      </c>
      <c r="AO54" s="1" t="s">
        <v>657</v>
      </c>
      <c r="AP54" s="1" t="s">
        <v>658</v>
      </c>
      <c r="AQ54" s="1" t="s">
        <v>74</v>
      </c>
      <c r="AR54" s="1" t="s">
        <v>74</v>
      </c>
      <c r="AS54" s="1" t="s">
        <v>74</v>
      </c>
      <c r="AT54" s="1" t="s">
        <v>164</v>
      </c>
      <c r="AU54" s="1">
        <v>2017.0</v>
      </c>
      <c r="AV54" s="1">
        <v>104.0</v>
      </c>
      <c r="AW54" s="1" t="s">
        <v>74</v>
      </c>
      <c r="AX54" s="1" t="s">
        <v>74</v>
      </c>
      <c r="AY54" s="1" t="s">
        <v>74</v>
      </c>
      <c r="AZ54" s="1" t="s">
        <v>74</v>
      </c>
      <c r="BA54" s="1" t="s">
        <v>74</v>
      </c>
      <c r="BB54" s="1">
        <v>94.0</v>
      </c>
      <c r="BC54" s="1">
        <v>103.0</v>
      </c>
      <c r="BD54" s="1" t="s">
        <v>74</v>
      </c>
      <c r="BE54" s="1" t="s">
        <v>659</v>
      </c>
      <c r="BF54" s="2" t="str">
        <f>HYPERLINK("http://dx.doi.org/10.1016/j.fbp.2017.05.005","http://dx.doi.org/10.1016/j.fbp.2017.05.005")</f>
        <v>http://dx.doi.org/10.1016/j.fbp.2017.05.005</v>
      </c>
      <c r="BG54" s="1" t="s">
        <v>74</v>
      </c>
      <c r="BH54" s="1" t="s">
        <v>74</v>
      </c>
      <c r="BI54" s="1" t="s">
        <v>74</v>
      </c>
      <c r="BJ54" s="1" t="s">
        <v>74</v>
      </c>
      <c r="BK54" s="1" t="s">
        <v>74</v>
      </c>
      <c r="BL54" s="1" t="s">
        <v>74</v>
      </c>
      <c r="BM54" s="1" t="s">
        <v>74</v>
      </c>
      <c r="BN54" s="1" t="s">
        <v>74</v>
      </c>
      <c r="BO54" s="1" t="s">
        <v>74</v>
      </c>
      <c r="BP54" s="1" t="s">
        <v>74</v>
      </c>
      <c r="BQ54" s="1" t="s">
        <v>74</v>
      </c>
      <c r="BR54" s="1" t="s">
        <v>74</v>
      </c>
      <c r="BS54" s="1" t="s">
        <v>660</v>
      </c>
      <c r="BT54" s="1" t="str">
        <f>HYPERLINK("https%3A%2F%2Fwww.webofscience.com%2Fwos%2Fwoscc%2Ffull-record%2FWOS:000405765900010","View Full Record in Web of Science")</f>
        <v>View Full Record in Web of Science</v>
      </c>
    </row>
    <row r="55" ht="12.75" customHeight="1">
      <c r="A55" s="1" t="s">
        <v>72</v>
      </c>
      <c r="B55" s="1" t="s">
        <v>661</v>
      </c>
      <c r="C55" s="1" t="s">
        <v>74</v>
      </c>
      <c r="D55" s="1" t="s">
        <v>74</v>
      </c>
      <c r="E55" s="1" t="s">
        <v>74</v>
      </c>
      <c r="F55" s="1" t="s">
        <v>662</v>
      </c>
      <c r="G55" s="1" t="s">
        <v>74</v>
      </c>
      <c r="H55" s="1" t="s">
        <v>74</v>
      </c>
      <c r="I55" s="1" t="s">
        <v>663</v>
      </c>
      <c r="J55" s="1" t="s">
        <v>664</v>
      </c>
      <c r="K55" s="1" t="s">
        <v>74</v>
      </c>
      <c r="L55" s="1" t="s">
        <v>74</v>
      </c>
      <c r="M55" s="1" t="s">
        <v>74</v>
      </c>
      <c r="N55" s="1" t="s">
        <v>74</v>
      </c>
      <c r="O55" s="1" t="s">
        <v>74</v>
      </c>
      <c r="P55" s="1" t="s">
        <v>74</v>
      </c>
      <c r="Q55" s="1" t="s">
        <v>74</v>
      </c>
      <c r="R55" s="1" t="s">
        <v>74</v>
      </c>
      <c r="S55" s="1" t="s">
        <v>74</v>
      </c>
      <c r="T55" s="1" t="s">
        <v>74</v>
      </c>
      <c r="U55" s="1" t="s">
        <v>74</v>
      </c>
      <c r="V55" s="1" t="s">
        <v>665</v>
      </c>
      <c r="W55" s="1" t="s">
        <v>74</v>
      </c>
      <c r="X55" s="1" t="s">
        <v>74</v>
      </c>
      <c r="Y55" s="1" t="s">
        <v>74</v>
      </c>
      <c r="Z55" s="1" t="s">
        <v>74</v>
      </c>
      <c r="AA55" s="1" t="s">
        <v>666</v>
      </c>
      <c r="AB55" s="1" t="s">
        <v>74</v>
      </c>
      <c r="AC55" s="1" t="s">
        <v>74</v>
      </c>
      <c r="AD55" s="1" t="s">
        <v>74</v>
      </c>
      <c r="AE55" s="1" t="s">
        <v>74</v>
      </c>
      <c r="AF55" s="1" t="s">
        <v>74</v>
      </c>
      <c r="AG55" s="1" t="s">
        <v>74</v>
      </c>
      <c r="AH55" s="1" t="s">
        <v>74</v>
      </c>
      <c r="AI55" s="1" t="s">
        <v>74</v>
      </c>
      <c r="AJ55" s="1" t="s">
        <v>74</v>
      </c>
      <c r="AK55" s="1" t="s">
        <v>74</v>
      </c>
      <c r="AL55" s="1" t="s">
        <v>74</v>
      </c>
      <c r="AM55" s="1" t="s">
        <v>74</v>
      </c>
      <c r="AN55" s="1" t="s">
        <v>74</v>
      </c>
      <c r="AO55" s="1" t="s">
        <v>667</v>
      </c>
      <c r="AP55" s="1" t="s">
        <v>668</v>
      </c>
      <c r="AQ55" s="1" t="s">
        <v>74</v>
      </c>
      <c r="AR55" s="1" t="s">
        <v>74</v>
      </c>
      <c r="AS55" s="1" t="s">
        <v>74</v>
      </c>
      <c r="AT55" s="1" t="s">
        <v>669</v>
      </c>
      <c r="AU55" s="1">
        <v>2017.0</v>
      </c>
      <c r="AV55" s="1">
        <v>95.0</v>
      </c>
      <c r="AW55" s="1">
        <v>5.0</v>
      </c>
      <c r="AX55" s="1" t="s">
        <v>74</v>
      </c>
      <c r="AY55" s="1" t="s">
        <v>74</v>
      </c>
      <c r="AZ55" s="1" t="s">
        <v>74</v>
      </c>
      <c r="BA55" s="1" t="s">
        <v>74</v>
      </c>
      <c r="BB55" s="1" t="s">
        <v>74</v>
      </c>
      <c r="BC55" s="1" t="s">
        <v>74</v>
      </c>
      <c r="BD55" s="1" t="s">
        <v>74</v>
      </c>
      <c r="BE55" s="1" t="s">
        <v>74</v>
      </c>
      <c r="BF55" s="1" t="s">
        <v>74</v>
      </c>
      <c r="BG55" s="1" t="s">
        <v>74</v>
      </c>
      <c r="BH55" s="1" t="s">
        <v>74</v>
      </c>
      <c r="BI55" s="1" t="s">
        <v>74</v>
      </c>
      <c r="BJ55" s="1" t="s">
        <v>74</v>
      </c>
      <c r="BK55" s="1" t="s">
        <v>74</v>
      </c>
      <c r="BL55" s="1" t="s">
        <v>74</v>
      </c>
      <c r="BM55" s="1" t="s">
        <v>74</v>
      </c>
      <c r="BN55" s="1" t="s">
        <v>74</v>
      </c>
      <c r="BO55" s="1" t="s">
        <v>74</v>
      </c>
      <c r="BP55" s="1" t="s">
        <v>74</v>
      </c>
      <c r="BQ55" s="1" t="s">
        <v>74</v>
      </c>
      <c r="BR55" s="1" t="s">
        <v>74</v>
      </c>
      <c r="BS55" s="1" t="s">
        <v>670</v>
      </c>
      <c r="BT55" s="1" t="str">
        <f>HYPERLINK("https%3A%2F%2Fwww.webofscience.com%2Fwos%2Fwoscc%2Ffull-record%2FWOS:000402463200021","View Full Record in Web of Science")</f>
        <v>View Full Record in Web of Science</v>
      </c>
    </row>
    <row r="56" ht="12.75" customHeight="1">
      <c r="A56" s="1" t="s">
        <v>346</v>
      </c>
      <c r="B56" s="1" t="s">
        <v>671</v>
      </c>
      <c r="C56" s="1" t="s">
        <v>74</v>
      </c>
      <c r="D56" s="1" t="s">
        <v>672</v>
      </c>
      <c r="E56" s="1" t="s">
        <v>74</v>
      </c>
      <c r="F56" s="1" t="s">
        <v>673</v>
      </c>
      <c r="G56" s="1" t="s">
        <v>74</v>
      </c>
      <c r="H56" s="1" t="s">
        <v>74</v>
      </c>
      <c r="I56" s="1" t="s">
        <v>674</v>
      </c>
      <c r="J56" s="1" t="s">
        <v>675</v>
      </c>
      <c r="K56" s="1" t="s">
        <v>676</v>
      </c>
      <c r="L56" s="1" t="s">
        <v>74</v>
      </c>
      <c r="M56" s="1" t="s">
        <v>74</v>
      </c>
      <c r="N56" s="1" t="s">
        <v>74</v>
      </c>
      <c r="O56" s="1" t="s">
        <v>677</v>
      </c>
      <c r="P56" s="1" t="s">
        <v>678</v>
      </c>
      <c r="Q56" s="1" t="s">
        <v>679</v>
      </c>
      <c r="R56" s="1" t="s">
        <v>74</v>
      </c>
      <c r="S56" s="1" t="s">
        <v>680</v>
      </c>
      <c r="T56" s="1" t="s">
        <v>74</v>
      </c>
      <c r="U56" s="1" t="s">
        <v>74</v>
      </c>
      <c r="V56" s="1" t="s">
        <v>681</v>
      </c>
      <c r="W56" s="1" t="s">
        <v>74</v>
      </c>
      <c r="X56" s="1" t="s">
        <v>74</v>
      </c>
      <c r="Y56" s="1" t="s">
        <v>74</v>
      </c>
      <c r="Z56" s="1" t="s">
        <v>74</v>
      </c>
      <c r="AA56" s="1" t="s">
        <v>682</v>
      </c>
      <c r="AB56" s="1" t="s">
        <v>683</v>
      </c>
      <c r="AC56" s="1" t="s">
        <v>74</v>
      </c>
      <c r="AD56" s="1" t="s">
        <v>74</v>
      </c>
      <c r="AE56" s="1" t="s">
        <v>74</v>
      </c>
      <c r="AF56" s="1" t="s">
        <v>74</v>
      </c>
      <c r="AG56" s="1" t="s">
        <v>74</v>
      </c>
      <c r="AH56" s="1" t="s">
        <v>74</v>
      </c>
      <c r="AI56" s="1" t="s">
        <v>74</v>
      </c>
      <c r="AJ56" s="1" t="s">
        <v>74</v>
      </c>
      <c r="AK56" s="1" t="s">
        <v>74</v>
      </c>
      <c r="AL56" s="1" t="s">
        <v>74</v>
      </c>
      <c r="AM56" s="1" t="s">
        <v>74</v>
      </c>
      <c r="AN56" s="1" t="s">
        <v>74</v>
      </c>
      <c r="AO56" s="1" t="s">
        <v>684</v>
      </c>
      <c r="AP56" s="1" t="s">
        <v>685</v>
      </c>
      <c r="AQ56" s="1" t="s">
        <v>686</v>
      </c>
      <c r="AR56" s="1" t="s">
        <v>74</v>
      </c>
      <c r="AS56" s="1" t="s">
        <v>74</v>
      </c>
      <c r="AT56" s="1" t="s">
        <v>74</v>
      </c>
      <c r="AU56" s="1">
        <v>2017.0</v>
      </c>
      <c r="AV56" s="1">
        <v>731.0</v>
      </c>
      <c r="AW56" s="1" t="s">
        <v>74</v>
      </c>
      <c r="AX56" s="1" t="s">
        <v>74</v>
      </c>
      <c r="AY56" s="1" t="s">
        <v>74</v>
      </c>
      <c r="AZ56" s="1" t="s">
        <v>74</v>
      </c>
      <c r="BA56" s="1" t="s">
        <v>74</v>
      </c>
      <c r="BB56" s="1">
        <v>459.0</v>
      </c>
      <c r="BC56" s="1">
        <v>469.0</v>
      </c>
      <c r="BD56" s="1" t="s">
        <v>74</v>
      </c>
      <c r="BE56" s="1" t="s">
        <v>687</v>
      </c>
      <c r="BF56" s="2" t="str">
        <f>HYPERLINK("http://dx.doi.org/10.1007/978-3-319-62698-7_38","http://dx.doi.org/10.1007/978-3-319-62698-7_38")</f>
        <v>http://dx.doi.org/10.1007/978-3-319-62698-7_38</v>
      </c>
      <c r="BG56" s="1" t="s">
        <v>74</v>
      </c>
      <c r="BH56" s="1" t="s">
        <v>74</v>
      </c>
      <c r="BI56" s="1" t="s">
        <v>74</v>
      </c>
      <c r="BJ56" s="1" t="s">
        <v>74</v>
      </c>
      <c r="BK56" s="1" t="s">
        <v>74</v>
      </c>
      <c r="BL56" s="1" t="s">
        <v>74</v>
      </c>
      <c r="BM56" s="1" t="s">
        <v>74</v>
      </c>
      <c r="BN56" s="1" t="s">
        <v>74</v>
      </c>
      <c r="BO56" s="1" t="s">
        <v>74</v>
      </c>
      <c r="BP56" s="1" t="s">
        <v>74</v>
      </c>
      <c r="BQ56" s="1" t="s">
        <v>74</v>
      </c>
      <c r="BR56" s="1" t="s">
        <v>74</v>
      </c>
      <c r="BS56" s="1" t="s">
        <v>688</v>
      </c>
      <c r="BT56" s="1" t="str">
        <f>HYPERLINK("https%3A%2F%2Fwww.webofscience.com%2Fwos%2Fwoscc%2Ffull-record%2FWOS:000451588800038","View Full Record in Web of Science")</f>
        <v>View Full Record in Web of Science</v>
      </c>
    </row>
    <row r="57" ht="12.75" customHeight="1">
      <c r="A57" s="1" t="s">
        <v>72</v>
      </c>
      <c r="B57" s="1" t="s">
        <v>689</v>
      </c>
      <c r="C57" s="1" t="s">
        <v>74</v>
      </c>
      <c r="D57" s="1" t="s">
        <v>74</v>
      </c>
      <c r="E57" s="1" t="s">
        <v>74</v>
      </c>
      <c r="F57" s="1" t="s">
        <v>690</v>
      </c>
      <c r="G57" s="1" t="s">
        <v>74</v>
      </c>
      <c r="H57" s="1" t="s">
        <v>74</v>
      </c>
      <c r="I57" s="1" t="s">
        <v>691</v>
      </c>
      <c r="J57" s="1" t="s">
        <v>692</v>
      </c>
      <c r="K57" s="1" t="s">
        <v>74</v>
      </c>
      <c r="L57" s="1" t="s">
        <v>74</v>
      </c>
      <c r="M57" s="1" t="s">
        <v>74</v>
      </c>
      <c r="N57" s="1" t="s">
        <v>74</v>
      </c>
      <c r="O57" s="1" t="s">
        <v>74</v>
      </c>
      <c r="P57" s="1" t="s">
        <v>74</v>
      </c>
      <c r="Q57" s="1" t="s">
        <v>74</v>
      </c>
      <c r="R57" s="1" t="s">
        <v>74</v>
      </c>
      <c r="S57" s="1" t="s">
        <v>74</v>
      </c>
      <c r="T57" s="1" t="s">
        <v>74</v>
      </c>
      <c r="U57" s="1" t="s">
        <v>74</v>
      </c>
      <c r="V57" s="1" t="s">
        <v>693</v>
      </c>
      <c r="W57" s="1" t="s">
        <v>74</v>
      </c>
      <c r="X57" s="1" t="s">
        <v>74</v>
      </c>
      <c r="Y57" s="1" t="s">
        <v>74</v>
      </c>
      <c r="Z57" s="1" t="s">
        <v>74</v>
      </c>
      <c r="AA57" s="1" t="s">
        <v>694</v>
      </c>
      <c r="AB57" s="1" t="s">
        <v>695</v>
      </c>
      <c r="AC57" s="1" t="s">
        <v>74</v>
      </c>
      <c r="AD57" s="1" t="s">
        <v>74</v>
      </c>
      <c r="AE57" s="1" t="s">
        <v>74</v>
      </c>
      <c r="AF57" s="1" t="s">
        <v>74</v>
      </c>
      <c r="AG57" s="1" t="s">
        <v>74</v>
      </c>
      <c r="AH57" s="1" t="s">
        <v>74</v>
      </c>
      <c r="AI57" s="1" t="s">
        <v>74</v>
      </c>
      <c r="AJ57" s="1" t="s">
        <v>74</v>
      </c>
      <c r="AK57" s="1" t="s">
        <v>74</v>
      </c>
      <c r="AL57" s="1" t="s">
        <v>74</v>
      </c>
      <c r="AM57" s="1" t="s">
        <v>74</v>
      </c>
      <c r="AN57" s="1" t="s">
        <v>74</v>
      </c>
      <c r="AO57" s="1" t="s">
        <v>696</v>
      </c>
      <c r="AP57" s="1" t="s">
        <v>697</v>
      </c>
      <c r="AQ57" s="1" t="s">
        <v>74</v>
      </c>
      <c r="AR57" s="1" t="s">
        <v>74</v>
      </c>
      <c r="AS57" s="1" t="s">
        <v>74</v>
      </c>
      <c r="AT57" s="1" t="s">
        <v>698</v>
      </c>
      <c r="AU57" s="1">
        <v>2016.0</v>
      </c>
      <c r="AV57" s="1">
        <v>69.0</v>
      </c>
      <c r="AW57" s="1" t="s">
        <v>74</v>
      </c>
      <c r="AX57" s="1" t="s">
        <v>74</v>
      </c>
      <c r="AY57" s="1" t="s">
        <v>74</v>
      </c>
      <c r="AZ57" s="1" t="s">
        <v>74</v>
      </c>
      <c r="BA57" s="1" t="s">
        <v>74</v>
      </c>
      <c r="BB57" s="1">
        <v>1282.0</v>
      </c>
      <c r="BC57" s="1">
        <v>1289.0</v>
      </c>
      <c r="BD57" s="1" t="s">
        <v>74</v>
      </c>
      <c r="BE57" s="1" t="s">
        <v>699</v>
      </c>
      <c r="BF57" s="2" t="str">
        <f>HYPERLINK("http://dx.doi.org/10.1016/j.msec.2016.08.039","http://dx.doi.org/10.1016/j.msec.2016.08.039")</f>
        <v>http://dx.doi.org/10.1016/j.msec.2016.08.039</v>
      </c>
      <c r="BG57" s="1" t="s">
        <v>74</v>
      </c>
      <c r="BH57" s="1" t="s">
        <v>74</v>
      </c>
      <c r="BI57" s="1" t="s">
        <v>74</v>
      </c>
      <c r="BJ57" s="1" t="s">
        <v>74</v>
      </c>
      <c r="BK57" s="1" t="s">
        <v>74</v>
      </c>
      <c r="BL57" s="1" t="s">
        <v>74</v>
      </c>
      <c r="BM57" s="1" t="s">
        <v>74</v>
      </c>
      <c r="BN57" s="1">
        <v>2.7612828E7</v>
      </c>
      <c r="BO57" s="1" t="s">
        <v>74</v>
      </c>
      <c r="BP57" s="1" t="s">
        <v>74</v>
      </c>
      <c r="BQ57" s="1" t="s">
        <v>74</v>
      </c>
      <c r="BR57" s="1" t="s">
        <v>74</v>
      </c>
      <c r="BS57" s="1" t="s">
        <v>700</v>
      </c>
      <c r="BT57" s="1" t="str">
        <f>HYPERLINK("https%3A%2F%2Fwww.webofscience.com%2Fwos%2Fwoscc%2Ffull-record%2FWOS:000383930900147","View Full Record in Web of Science")</f>
        <v>View Full Record in Web of Science</v>
      </c>
    </row>
    <row r="58" ht="12.75" customHeight="1">
      <c r="A58" s="1" t="s">
        <v>72</v>
      </c>
      <c r="B58" s="1" t="s">
        <v>335</v>
      </c>
      <c r="C58" s="1" t="s">
        <v>74</v>
      </c>
      <c r="D58" s="1" t="s">
        <v>74</v>
      </c>
      <c r="E58" s="1" t="s">
        <v>74</v>
      </c>
      <c r="F58" s="1" t="s">
        <v>336</v>
      </c>
      <c r="G58" s="1" t="s">
        <v>74</v>
      </c>
      <c r="H58" s="1" t="s">
        <v>74</v>
      </c>
      <c r="I58" s="1" t="s">
        <v>701</v>
      </c>
      <c r="J58" s="1" t="s">
        <v>702</v>
      </c>
      <c r="K58" s="1" t="s">
        <v>74</v>
      </c>
      <c r="L58" s="1" t="s">
        <v>74</v>
      </c>
      <c r="M58" s="1" t="s">
        <v>74</v>
      </c>
      <c r="N58" s="1" t="s">
        <v>74</v>
      </c>
      <c r="O58" s="1" t="s">
        <v>74</v>
      </c>
      <c r="P58" s="1" t="s">
        <v>74</v>
      </c>
      <c r="Q58" s="1" t="s">
        <v>74</v>
      </c>
      <c r="R58" s="1" t="s">
        <v>74</v>
      </c>
      <c r="S58" s="1" t="s">
        <v>74</v>
      </c>
      <c r="T58" s="1" t="s">
        <v>74</v>
      </c>
      <c r="U58" s="1" t="s">
        <v>74</v>
      </c>
      <c r="V58" s="1" t="s">
        <v>703</v>
      </c>
      <c r="W58" s="1" t="s">
        <v>74</v>
      </c>
      <c r="X58" s="1" t="s">
        <v>74</v>
      </c>
      <c r="Y58" s="1" t="s">
        <v>74</v>
      </c>
      <c r="Z58" s="1" t="s">
        <v>74</v>
      </c>
      <c r="AA58" s="1" t="s">
        <v>340</v>
      </c>
      <c r="AB58" s="1" t="s">
        <v>341</v>
      </c>
      <c r="AC58" s="1" t="s">
        <v>74</v>
      </c>
      <c r="AD58" s="1" t="s">
        <v>74</v>
      </c>
      <c r="AE58" s="1" t="s">
        <v>74</v>
      </c>
      <c r="AF58" s="1" t="s">
        <v>74</v>
      </c>
      <c r="AG58" s="1" t="s">
        <v>74</v>
      </c>
      <c r="AH58" s="1" t="s">
        <v>74</v>
      </c>
      <c r="AI58" s="1" t="s">
        <v>74</v>
      </c>
      <c r="AJ58" s="1" t="s">
        <v>74</v>
      </c>
      <c r="AK58" s="1" t="s">
        <v>74</v>
      </c>
      <c r="AL58" s="1" t="s">
        <v>74</v>
      </c>
      <c r="AM58" s="1" t="s">
        <v>74</v>
      </c>
      <c r="AN58" s="1" t="s">
        <v>74</v>
      </c>
      <c r="AO58" s="1" t="s">
        <v>704</v>
      </c>
      <c r="AP58" s="1" t="s">
        <v>74</v>
      </c>
      <c r="AQ58" s="1" t="s">
        <v>74</v>
      </c>
      <c r="AR58" s="1" t="s">
        <v>74</v>
      </c>
      <c r="AS58" s="1" t="s">
        <v>74</v>
      </c>
      <c r="AT58" s="1" t="s">
        <v>705</v>
      </c>
      <c r="AU58" s="1">
        <v>2016.0</v>
      </c>
      <c r="AV58" s="1">
        <v>21.0</v>
      </c>
      <c r="AW58" s="1" t="s">
        <v>706</v>
      </c>
      <c r="AX58" s="1" t="s">
        <v>74</v>
      </c>
      <c r="AY58" s="1" t="s">
        <v>74</v>
      </c>
      <c r="AZ58" s="1" t="s">
        <v>74</v>
      </c>
      <c r="BA58" s="1" t="s">
        <v>74</v>
      </c>
      <c r="BB58" s="1">
        <v>837.0</v>
      </c>
      <c r="BC58" s="1">
        <v>886.0</v>
      </c>
      <c r="BD58" s="1" t="s">
        <v>74</v>
      </c>
      <c r="BE58" s="1" t="s">
        <v>74</v>
      </c>
      <c r="BF58" s="1" t="s">
        <v>74</v>
      </c>
      <c r="BG58" s="1" t="s">
        <v>74</v>
      </c>
      <c r="BH58" s="1" t="s">
        <v>74</v>
      </c>
      <c r="BI58" s="1" t="s">
        <v>74</v>
      </c>
      <c r="BJ58" s="1" t="s">
        <v>74</v>
      </c>
      <c r="BK58" s="1" t="s">
        <v>74</v>
      </c>
      <c r="BL58" s="1" t="s">
        <v>74</v>
      </c>
      <c r="BM58" s="1" t="s">
        <v>74</v>
      </c>
      <c r="BN58" s="1" t="s">
        <v>74</v>
      </c>
      <c r="BO58" s="1" t="s">
        <v>74</v>
      </c>
      <c r="BP58" s="1" t="s">
        <v>74</v>
      </c>
      <c r="BQ58" s="1" t="s">
        <v>74</v>
      </c>
      <c r="BR58" s="1" t="s">
        <v>74</v>
      </c>
      <c r="BS58" s="1" t="s">
        <v>707</v>
      </c>
      <c r="BT58" s="1" t="str">
        <f>HYPERLINK("https%3A%2F%2Fwww.webofscience.com%2Fwos%2Fwoscc%2Ffull-record%2FWOS:000394480300002","View Full Record in Web of Science")</f>
        <v>View Full Record in Web of Science</v>
      </c>
    </row>
    <row r="59" ht="12.75" customHeight="1">
      <c r="A59" s="1" t="s">
        <v>72</v>
      </c>
      <c r="B59" s="1" t="s">
        <v>708</v>
      </c>
      <c r="C59" s="1" t="s">
        <v>74</v>
      </c>
      <c r="D59" s="1" t="s">
        <v>74</v>
      </c>
      <c r="E59" s="1" t="s">
        <v>74</v>
      </c>
      <c r="F59" s="1" t="s">
        <v>709</v>
      </c>
      <c r="G59" s="1" t="s">
        <v>74</v>
      </c>
      <c r="H59" s="1" t="s">
        <v>74</v>
      </c>
      <c r="I59" s="1" t="s">
        <v>710</v>
      </c>
      <c r="J59" s="1" t="s">
        <v>194</v>
      </c>
      <c r="K59" s="1" t="s">
        <v>74</v>
      </c>
      <c r="L59" s="1" t="s">
        <v>74</v>
      </c>
      <c r="M59" s="1" t="s">
        <v>74</v>
      </c>
      <c r="N59" s="1" t="s">
        <v>74</v>
      </c>
      <c r="O59" s="1" t="s">
        <v>74</v>
      </c>
      <c r="P59" s="1" t="s">
        <v>74</v>
      </c>
      <c r="Q59" s="1" t="s">
        <v>74</v>
      </c>
      <c r="R59" s="1" t="s">
        <v>74</v>
      </c>
      <c r="S59" s="1" t="s">
        <v>74</v>
      </c>
      <c r="T59" s="1" t="s">
        <v>74</v>
      </c>
      <c r="U59" s="1" t="s">
        <v>74</v>
      </c>
      <c r="V59" s="1" t="s">
        <v>711</v>
      </c>
      <c r="W59" s="1" t="s">
        <v>74</v>
      </c>
      <c r="X59" s="1" t="s">
        <v>74</v>
      </c>
      <c r="Y59" s="1" t="s">
        <v>74</v>
      </c>
      <c r="Z59" s="1" t="s">
        <v>74</v>
      </c>
      <c r="AA59" s="1" t="s">
        <v>712</v>
      </c>
      <c r="AB59" s="1" t="s">
        <v>713</v>
      </c>
      <c r="AC59" s="1" t="s">
        <v>74</v>
      </c>
      <c r="AD59" s="1" t="s">
        <v>74</v>
      </c>
      <c r="AE59" s="1" t="s">
        <v>74</v>
      </c>
      <c r="AF59" s="1" t="s">
        <v>74</v>
      </c>
      <c r="AG59" s="1" t="s">
        <v>74</v>
      </c>
      <c r="AH59" s="1" t="s">
        <v>74</v>
      </c>
      <c r="AI59" s="1" t="s">
        <v>74</v>
      </c>
      <c r="AJ59" s="1" t="s">
        <v>74</v>
      </c>
      <c r="AK59" s="1" t="s">
        <v>74</v>
      </c>
      <c r="AL59" s="1" t="s">
        <v>74</v>
      </c>
      <c r="AM59" s="1" t="s">
        <v>74</v>
      </c>
      <c r="AN59" s="1" t="s">
        <v>74</v>
      </c>
      <c r="AO59" s="1" t="s">
        <v>198</v>
      </c>
      <c r="AP59" s="1" t="s">
        <v>199</v>
      </c>
      <c r="AQ59" s="1" t="s">
        <v>74</v>
      </c>
      <c r="AR59" s="1" t="s">
        <v>74</v>
      </c>
      <c r="AS59" s="1" t="s">
        <v>74</v>
      </c>
      <c r="AT59" s="1" t="s">
        <v>714</v>
      </c>
      <c r="AU59" s="1">
        <v>2016.0</v>
      </c>
      <c r="AV59" s="1">
        <v>55.0</v>
      </c>
      <c r="AW59" s="1">
        <v>13.0</v>
      </c>
      <c r="AX59" s="1" t="s">
        <v>74</v>
      </c>
      <c r="AY59" s="1" t="s">
        <v>74</v>
      </c>
      <c r="AZ59" s="1" t="s">
        <v>74</v>
      </c>
      <c r="BA59" s="1" t="s">
        <v>74</v>
      </c>
      <c r="BB59" s="1">
        <v>6405.0</v>
      </c>
      <c r="BC59" s="1">
        <v>6413.0</v>
      </c>
      <c r="BD59" s="1" t="s">
        <v>74</v>
      </c>
      <c r="BE59" s="1" t="s">
        <v>715</v>
      </c>
      <c r="BF59" s="2" t="str">
        <f>HYPERLINK("http://dx.doi.org/10.1021/acs.inorgchem.6b00145","http://dx.doi.org/10.1021/acs.inorgchem.6b00145")</f>
        <v>http://dx.doi.org/10.1021/acs.inorgchem.6b00145</v>
      </c>
      <c r="BG59" s="1" t="s">
        <v>74</v>
      </c>
      <c r="BH59" s="1" t="s">
        <v>74</v>
      </c>
      <c r="BI59" s="1" t="s">
        <v>74</v>
      </c>
      <c r="BJ59" s="1" t="s">
        <v>74</v>
      </c>
      <c r="BK59" s="1" t="s">
        <v>74</v>
      </c>
      <c r="BL59" s="1" t="s">
        <v>74</v>
      </c>
      <c r="BM59" s="1" t="s">
        <v>74</v>
      </c>
      <c r="BN59" s="1">
        <v>2.7299178E7</v>
      </c>
      <c r="BO59" s="1" t="s">
        <v>74</v>
      </c>
      <c r="BP59" s="1" t="s">
        <v>74</v>
      </c>
      <c r="BQ59" s="1" t="s">
        <v>74</v>
      </c>
      <c r="BR59" s="1" t="s">
        <v>74</v>
      </c>
      <c r="BS59" s="1" t="s">
        <v>716</v>
      </c>
      <c r="BT59" s="1" t="str">
        <f>HYPERLINK("https%3A%2F%2Fwww.webofscience.com%2Fwos%2Fwoscc%2Ffull-record%2FWOS:000379455900010","View Full Record in Web of Science")</f>
        <v>View Full Record in Web of Science</v>
      </c>
    </row>
    <row r="60" ht="12.75" customHeight="1">
      <c r="A60" s="1" t="s">
        <v>72</v>
      </c>
      <c r="B60" s="1" t="s">
        <v>717</v>
      </c>
      <c r="C60" s="1" t="s">
        <v>74</v>
      </c>
      <c r="D60" s="1" t="s">
        <v>74</v>
      </c>
      <c r="E60" s="1" t="s">
        <v>74</v>
      </c>
      <c r="F60" s="1" t="s">
        <v>718</v>
      </c>
      <c r="G60" s="1" t="s">
        <v>74</v>
      </c>
      <c r="H60" s="1" t="s">
        <v>74</v>
      </c>
      <c r="I60" s="1" t="s">
        <v>719</v>
      </c>
      <c r="J60" s="1" t="s">
        <v>720</v>
      </c>
      <c r="K60" s="1" t="s">
        <v>74</v>
      </c>
      <c r="L60" s="1" t="s">
        <v>74</v>
      </c>
      <c r="M60" s="1" t="s">
        <v>74</v>
      </c>
      <c r="N60" s="1" t="s">
        <v>74</v>
      </c>
      <c r="O60" s="1" t="s">
        <v>74</v>
      </c>
      <c r="P60" s="1" t="s">
        <v>74</v>
      </c>
      <c r="Q60" s="1" t="s">
        <v>74</v>
      </c>
      <c r="R60" s="1" t="s">
        <v>74</v>
      </c>
      <c r="S60" s="1" t="s">
        <v>74</v>
      </c>
      <c r="T60" s="1" t="s">
        <v>74</v>
      </c>
      <c r="U60" s="1" t="s">
        <v>74</v>
      </c>
      <c r="V60" s="1" t="s">
        <v>721</v>
      </c>
      <c r="W60" s="1" t="s">
        <v>74</v>
      </c>
      <c r="X60" s="1" t="s">
        <v>74</v>
      </c>
      <c r="Y60" s="1" t="s">
        <v>74</v>
      </c>
      <c r="Z60" s="1" t="s">
        <v>74</v>
      </c>
      <c r="AA60" s="1" t="s">
        <v>722</v>
      </c>
      <c r="AB60" s="1" t="s">
        <v>723</v>
      </c>
      <c r="AC60" s="1" t="s">
        <v>74</v>
      </c>
      <c r="AD60" s="1" t="s">
        <v>74</v>
      </c>
      <c r="AE60" s="1" t="s">
        <v>74</v>
      </c>
      <c r="AF60" s="1" t="s">
        <v>74</v>
      </c>
      <c r="AG60" s="1" t="s">
        <v>74</v>
      </c>
      <c r="AH60" s="1" t="s">
        <v>74</v>
      </c>
      <c r="AI60" s="1" t="s">
        <v>74</v>
      </c>
      <c r="AJ60" s="1" t="s">
        <v>74</v>
      </c>
      <c r="AK60" s="1" t="s">
        <v>74</v>
      </c>
      <c r="AL60" s="1" t="s">
        <v>74</v>
      </c>
      <c r="AM60" s="1" t="s">
        <v>74</v>
      </c>
      <c r="AN60" s="1" t="s">
        <v>74</v>
      </c>
      <c r="AO60" s="1" t="s">
        <v>724</v>
      </c>
      <c r="AP60" s="1" t="s">
        <v>725</v>
      </c>
      <c r="AQ60" s="1" t="s">
        <v>74</v>
      </c>
      <c r="AR60" s="1" t="s">
        <v>74</v>
      </c>
      <c r="AS60" s="1" t="s">
        <v>74</v>
      </c>
      <c r="AT60" s="1" t="s">
        <v>95</v>
      </c>
      <c r="AU60" s="1">
        <v>2015.0</v>
      </c>
      <c r="AV60" s="1">
        <v>59.0</v>
      </c>
      <c r="AW60" s="1" t="s">
        <v>74</v>
      </c>
      <c r="AX60" s="1" t="s">
        <v>726</v>
      </c>
      <c r="AY60" s="1" t="s">
        <v>74</v>
      </c>
      <c r="AZ60" s="1" t="s">
        <v>74</v>
      </c>
      <c r="BA60" s="1" t="s">
        <v>74</v>
      </c>
      <c r="BB60" s="1">
        <v>142.0</v>
      </c>
      <c r="BC60" s="1">
        <v>157.0</v>
      </c>
      <c r="BD60" s="1" t="s">
        <v>74</v>
      </c>
      <c r="BE60" s="1" t="s">
        <v>727</v>
      </c>
      <c r="BF60" s="2" t="str">
        <f>HYPERLINK("http://dx.doi.org/10.1016/j.compbiolchem.2015.08.006","http://dx.doi.org/10.1016/j.compbiolchem.2015.08.006")</f>
        <v>http://dx.doi.org/10.1016/j.compbiolchem.2015.08.006</v>
      </c>
      <c r="BG60" s="1" t="s">
        <v>74</v>
      </c>
      <c r="BH60" s="1" t="s">
        <v>74</v>
      </c>
      <c r="BI60" s="1" t="s">
        <v>74</v>
      </c>
      <c r="BJ60" s="1" t="s">
        <v>74</v>
      </c>
      <c r="BK60" s="1" t="s">
        <v>74</v>
      </c>
      <c r="BL60" s="1" t="s">
        <v>74</v>
      </c>
      <c r="BM60" s="1" t="s">
        <v>74</v>
      </c>
      <c r="BN60" s="1">
        <v>2.6495908E7</v>
      </c>
      <c r="BO60" s="1" t="s">
        <v>74</v>
      </c>
      <c r="BP60" s="1" t="s">
        <v>74</v>
      </c>
      <c r="BQ60" s="1" t="s">
        <v>74</v>
      </c>
      <c r="BR60" s="1" t="s">
        <v>74</v>
      </c>
      <c r="BS60" s="1" t="s">
        <v>728</v>
      </c>
      <c r="BT60" s="1" t="str">
        <f>HYPERLINK("https%3A%2F%2Fwww.webofscience.com%2Fwos%2Fwoscc%2Ffull-record%2FWOS:000367633900017","View Full Record in Web of Science")</f>
        <v>View Full Record in Web of Science</v>
      </c>
    </row>
    <row r="61" ht="12.75" customHeight="1">
      <c r="A61" s="1" t="s">
        <v>72</v>
      </c>
      <c r="B61" s="1" t="s">
        <v>729</v>
      </c>
      <c r="C61" s="1" t="s">
        <v>74</v>
      </c>
      <c r="D61" s="1" t="s">
        <v>74</v>
      </c>
      <c r="E61" s="1" t="s">
        <v>74</v>
      </c>
      <c r="F61" s="1" t="s">
        <v>730</v>
      </c>
      <c r="G61" s="1" t="s">
        <v>74</v>
      </c>
      <c r="H61" s="1" t="s">
        <v>74</v>
      </c>
      <c r="I61" s="1" t="s">
        <v>731</v>
      </c>
      <c r="J61" s="1" t="s">
        <v>732</v>
      </c>
      <c r="K61" s="1" t="s">
        <v>74</v>
      </c>
      <c r="L61" s="1" t="s">
        <v>74</v>
      </c>
      <c r="M61" s="1" t="s">
        <v>74</v>
      </c>
      <c r="N61" s="1" t="s">
        <v>74</v>
      </c>
      <c r="O61" s="1" t="s">
        <v>74</v>
      </c>
      <c r="P61" s="1" t="s">
        <v>74</v>
      </c>
      <c r="Q61" s="1" t="s">
        <v>74</v>
      </c>
      <c r="R61" s="1" t="s">
        <v>74</v>
      </c>
      <c r="S61" s="1" t="s">
        <v>74</v>
      </c>
      <c r="T61" s="1" t="s">
        <v>74</v>
      </c>
      <c r="U61" s="1" t="s">
        <v>74</v>
      </c>
      <c r="V61" s="1" t="s">
        <v>733</v>
      </c>
      <c r="W61" s="1" t="s">
        <v>74</v>
      </c>
      <c r="X61" s="1" t="s">
        <v>74</v>
      </c>
      <c r="Y61" s="1" t="s">
        <v>74</v>
      </c>
      <c r="Z61" s="1" t="s">
        <v>74</v>
      </c>
      <c r="AA61" s="1" t="s">
        <v>74</v>
      </c>
      <c r="AB61" s="1" t="s">
        <v>74</v>
      </c>
      <c r="AC61" s="1" t="s">
        <v>74</v>
      </c>
      <c r="AD61" s="1" t="s">
        <v>74</v>
      </c>
      <c r="AE61" s="1" t="s">
        <v>74</v>
      </c>
      <c r="AF61" s="1" t="s">
        <v>74</v>
      </c>
      <c r="AG61" s="1" t="s">
        <v>74</v>
      </c>
      <c r="AH61" s="1" t="s">
        <v>74</v>
      </c>
      <c r="AI61" s="1" t="s">
        <v>74</v>
      </c>
      <c r="AJ61" s="1" t="s">
        <v>74</v>
      </c>
      <c r="AK61" s="1" t="s">
        <v>74</v>
      </c>
      <c r="AL61" s="1" t="s">
        <v>74</v>
      </c>
      <c r="AM61" s="1" t="s">
        <v>74</v>
      </c>
      <c r="AN61" s="1" t="s">
        <v>74</v>
      </c>
      <c r="AO61" s="1" t="s">
        <v>734</v>
      </c>
      <c r="AP61" s="1" t="s">
        <v>735</v>
      </c>
      <c r="AQ61" s="1" t="s">
        <v>74</v>
      </c>
      <c r="AR61" s="1" t="s">
        <v>74</v>
      </c>
      <c r="AS61" s="1" t="s">
        <v>74</v>
      </c>
      <c r="AT61" s="1" t="s">
        <v>187</v>
      </c>
      <c r="AU61" s="1">
        <v>2015.0</v>
      </c>
      <c r="AV61" s="1">
        <v>51.0</v>
      </c>
      <c r="AW61" s="1">
        <v>2.0</v>
      </c>
      <c r="AX61" s="1" t="s">
        <v>74</v>
      </c>
      <c r="AY61" s="1" t="s">
        <v>74</v>
      </c>
      <c r="AZ61" s="1" t="s">
        <v>74</v>
      </c>
      <c r="BA61" s="1" t="s">
        <v>74</v>
      </c>
      <c r="BB61" s="1">
        <v>247.0</v>
      </c>
      <c r="BC61" s="1">
        <v>254.0</v>
      </c>
      <c r="BD61" s="1" t="s">
        <v>74</v>
      </c>
      <c r="BE61" s="1" t="s">
        <v>736</v>
      </c>
      <c r="BF61" s="2" t="str">
        <f>HYPERLINK("http://dx.doi.org/10.1111/jpy.12278","http://dx.doi.org/10.1111/jpy.12278")</f>
        <v>http://dx.doi.org/10.1111/jpy.12278</v>
      </c>
      <c r="BG61" s="1" t="s">
        <v>74</v>
      </c>
      <c r="BH61" s="1" t="s">
        <v>74</v>
      </c>
      <c r="BI61" s="1" t="s">
        <v>74</v>
      </c>
      <c r="BJ61" s="1" t="s">
        <v>74</v>
      </c>
      <c r="BK61" s="1" t="s">
        <v>74</v>
      </c>
      <c r="BL61" s="1" t="s">
        <v>74</v>
      </c>
      <c r="BM61" s="1" t="s">
        <v>74</v>
      </c>
      <c r="BN61" s="1">
        <v>2.698652E7</v>
      </c>
      <c r="BO61" s="1" t="s">
        <v>74</v>
      </c>
      <c r="BP61" s="1" t="s">
        <v>74</v>
      </c>
      <c r="BQ61" s="1" t="s">
        <v>74</v>
      </c>
      <c r="BR61" s="1" t="s">
        <v>74</v>
      </c>
      <c r="BS61" s="1" t="s">
        <v>737</v>
      </c>
      <c r="BT61" s="1" t="str">
        <f>HYPERLINK("https%3A%2F%2Fwww.webofscience.com%2Fwos%2Fwoscc%2Ffull-record%2FWOS:000352617500005","View Full Record in Web of Science")</f>
        <v>View Full Record in Web of Science</v>
      </c>
    </row>
    <row r="62" ht="12.75" customHeight="1">
      <c r="A62" s="1" t="s">
        <v>72</v>
      </c>
      <c r="B62" s="1" t="s">
        <v>738</v>
      </c>
      <c r="C62" s="1" t="s">
        <v>74</v>
      </c>
      <c r="D62" s="1" t="s">
        <v>74</v>
      </c>
      <c r="E62" s="1" t="s">
        <v>74</v>
      </c>
      <c r="F62" s="1" t="s">
        <v>739</v>
      </c>
      <c r="G62" s="1" t="s">
        <v>74</v>
      </c>
      <c r="H62" s="1" t="s">
        <v>74</v>
      </c>
      <c r="I62" s="1" t="s">
        <v>740</v>
      </c>
      <c r="J62" s="1" t="s">
        <v>741</v>
      </c>
      <c r="K62" s="1" t="s">
        <v>74</v>
      </c>
      <c r="L62" s="1" t="s">
        <v>74</v>
      </c>
      <c r="M62" s="1" t="s">
        <v>74</v>
      </c>
      <c r="N62" s="1" t="s">
        <v>74</v>
      </c>
      <c r="O62" s="1" t="s">
        <v>74</v>
      </c>
      <c r="P62" s="1" t="s">
        <v>74</v>
      </c>
      <c r="Q62" s="1" t="s">
        <v>74</v>
      </c>
      <c r="R62" s="1" t="s">
        <v>74</v>
      </c>
      <c r="S62" s="1" t="s">
        <v>74</v>
      </c>
      <c r="T62" s="1" t="s">
        <v>74</v>
      </c>
      <c r="U62" s="1" t="s">
        <v>74</v>
      </c>
      <c r="V62" s="1" t="s">
        <v>742</v>
      </c>
      <c r="W62" s="1" t="s">
        <v>74</v>
      </c>
      <c r="X62" s="1" t="s">
        <v>74</v>
      </c>
      <c r="Y62" s="1" t="s">
        <v>74</v>
      </c>
      <c r="Z62" s="1" t="s">
        <v>74</v>
      </c>
      <c r="AA62" s="1" t="s">
        <v>743</v>
      </c>
      <c r="AB62" s="1" t="s">
        <v>744</v>
      </c>
      <c r="AC62" s="1" t="s">
        <v>74</v>
      </c>
      <c r="AD62" s="1" t="s">
        <v>74</v>
      </c>
      <c r="AE62" s="1" t="s">
        <v>74</v>
      </c>
      <c r="AF62" s="1" t="s">
        <v>74</v>
      </c>
      <c r="AG62" s="1" t="s">
        <v>74</v>
      </c>
      <c r="AH62" s="1" t="s">
        <v>74</v>
      </c>
      <c r="AI62" s="1" t="s">
        <v>74</v>
      </c>
      <c r="AJ62" s="1" t="s">
        <v>74</v>
      </c>
      <c r="AK62" s="1" t="s">
        <v>74</v>
      </c>
      <c r="AL62" s="1" t="s">
        <v>74</v>
      </c>
      <c r="AM62" s="1" t="s">
        <v>74</v>
      </c>
      <c r="AN62" s="1" t="s">
        <v>74</v>
      </c>
      <c r="AO62" s="1" t="s">
        <v>745</v>
      </c>
      <c r="AP62" s="1" t="s">
        <v>746</v>
      </c>
      <c r="AQ62" s="1" t="s">
        <v>74</v>
      </c>
      <c r="AR62" s="1" t="s">
        <v>74</v>
      </c>
      <c r="AS62" s="1" t="s">
        <v>74</v>
      </c>
      <c r="AT62" s="1" t="s">
        <v>232</v>
      </c>
      <c r="AU62" s="1">
        <v>2014.0</v>
      </c>
      <c r="AV62" s="1">
        <v>56.0</v>
      </c>
      <c r="AW62" s="1">
        <v>4.0</v>
      </c>
      <c r="AX62" s="1" t="s">
        <v>74</v>
      </c>
      <c r="AY62" s="1" t="s">
        <v>74</v>
      </c>
      <c r="AZ62" s="1" t="s">
        <v>74</v>
      </c>
      <c r="BA62" s="1" t="s">
        <v>74</v>
      </c>
      <c r="BB62" s="1">
        <v>340.0</v>
      </c>
      <c r="BC62" s="1">
        <v>348.0</v>
      </c>
      <c r="BD62" s="1" t="s">
        <v>74</v>
      </c>
      <c r="BE62" s="1" t="s">
        <v>747</v>
      </c>
      <c r="BF62" s="2" t="str">
        <f>HYPERLINK("http://dx.doi.org/10.1111/jpr.12058","http://dx.doi.org/10.1111/jpr.12058")</f>
        <v>http://dx.doi.org/10.1111/jpr.12058</v>
      </c>
      <c r="BG62" s="1" t="s">
        <v>74</v>
      </c>
      <c r="BH62" s="1" t="s">
        <v>74</v>
      </c>
      <c r="BI62" s="1" t="s">
        <v>74</v>
      </c>
      <c r="BJ62" s="1" t="s">
        <v>74</v>
      </c>
      <c r="BK62" s="1" t="s">
        <v>74</v>
      </c>
      <c r="BL62" s="1" t="s">
        <v>74</v>
      </c>
      <c r="BM62" s="1" t="s">
        <v>74</v>
      </c>
      <c r="BN62" s="1" t="s">
        <v>74</v>
      </c>
      <c r="BO62" s="1" t="s">
        <v>74</v>
      </c>
      <c r="BP62" s="1" t="s">
        <v>74</v>
      </c>
      <c r="BQ62" s="1" t="s">
        <v>74</v>
      </c>
      <c r="BR62" s="1" t="s">
        <v>74</v>
      </c>
      <c r="BS62" s="1" t="s">
        <v>748</v>
      </c>
      <c r="BT62" s="1" t="str">
        <f>HYPERLINK("https%3A%2F%2Fwww.webofscience.com%2Fwos%2Fwoscc%2Ffull-record%2FWOS:000345256700005","View Full Record in Web of Science")</f>
        <v>View Full Record in Web of Science</v>
      </c>
    </row>
    <row r="63" ht="12.75" customHeight="1">
      <c r="A63" s="1" t="s">
        <v>72</v>
      </c>
      <c r="B63" s="1" t="s">
        <v>749</v>
      </c>
      <c r="C63" s="1" t="s">
        <v>74</v>
      </c>
      <c r="D63" s="1" t="s">
        <v>74</v>
      </c>
      <c r="E63" s="1" t="s">
        <v>74</v>
      </c>
      <c r="F63" s="1" t="s">
        <v>750</v>
      </c>
      <c r="G63" s="1" t="s">
        <v>74</v>
      </c>
      <c r="H63" s="1" t="s">
        <v>74</v>
      </c>
      <c r="I63" s="1" t="s">
        <v>751</v>
      </c>
      <c r="J63" s="1" t="s">
        <v>752</v>
      </c>
      <c r="K63" s="1" t="s">
        <v>74</v>
      </c>
      <c r="L63" s="1" t="s">
        <v>74</v>
      </c>
      <c r="M63" s="1" t="s">
        <v>74</v>
      </c>
      <c r="N63" s="1" t="s">
        <v>74</v>
      </c>
      <c r="O63" s="1" t="s">
        <v>74</v>
      </c>
      <c r="P63" s="1" t="s">
        <v>74</v>
      </c>
      <c r="Q63" s="1" t="s">
        <v>74</v>
      </c>
      <c r="R63" s="1" t="s">
        <v>74</v>
      </c>
      <c r="S63" s="1" t="s">
        <v>74</v>
      </c>
      <c r="T63" s="1" t="s">
        <v>74</v>
      </c>
      <c r="U63" s="1" t="s">
        <v>74</v>
      </c>
      <c r="V63" s="1" t="s">
        <v>753</v>
      </c>
      <c r="W63" s="1" t="s">
        <v>74</v>
      </c>
      <c r="X63" s="1" t="s">
        <v>74</v>
      </c>
      <c r="Y63" s="1" t="s">
        <v>74</v>
      </c>
      <c r="Z63" s="1" t="s">
        <v>74</v>
      </c>
      <c r="AA63" s="1" t="s">
        <v>754</v>
      </c>
      <c r="AB63" s="1" t="s">
        <v>755</v>
      </c>
      <c r="AC63" s="1" t="s">
        <v>74</v>
      </c>
      <c r="AD63" s="1" t="s">
        <v>74</v>
      </c>
      <c r="AE63" s="1" t="s">
        <v>74</v>
      </c>
      <c r="AF63" s="1" t="s">
        <v>74</v>
      </c>
      <c r="AG63" s="1" t="s">
        <v>74</v>
      </c>
      <c r="AH63" s="1" t="s">
        <v>74</v>
      </c>
      <c r="AI63" s="1" t="s">
        <v>74</v>
      </c>
      <c r="AJ63" s="1" t="s">
        <v>74</v>
      </c>
      <c r="AK63" s="1" t="s">
        <v>74</v>
      </c>
      <c r="AL63" s="1" t="s">
        <v>74</v>
      </c>
      <c r="AM63" s="1" t="s">
        <v>74</v>
      </c>
      <c r="AN63" s="1" t="s">
        <v>74</v>
      </c>
      <c r="AO63" s="1" t="s">
        <v>756</v>
      </c>
      <c r="AP63" s="1" t="s">
        <v>74</v>
      </c>
      <c r="AQ63" s="1" t="s">
        <v>74</v>
      </c>
      <c r="AR63" s="1" t="s">
        <v>74</v>
      </c>
      <c r="AS63" s="1" t="s">
        <v>74</v>
      </c>
      <c r="AT63" s="1" t="s">
        <v>107</v>
      </c>
      <c r="AU63" s="1">
        <v>2013.0</v>
      </c>
      <c r="AV63" s="1">
        <v>45.0</v>
      </c>
      <c r="AW63" s="1" t="s">
        <v>74</v>
      </c>
      <c r="AX63" s="1" t="s">
        <v>74</v>
      </c>
      <c r="AY63" s="1" t="s">
        <v>74</v>
      </c>
      <c r="AZ63" s="1" t="s">
        <v>74</v>
      </c>
      <c r="BA63" s="1" t="s">
        <v>74</v>
      </c>
      <c r="BB63" s="1">
        <v>88.0</v>
      </c>
      <c r="BC63" s="1">
        <v>93.0</v>
      </c>
      <c r="BD63" s="1" t="s">
        <v>74</v>
      </c>
      <c r="BE63" s="1" t="s">
        <v>757</v>
      </c>
      <c r="BF63" s="2" t="str">
        <f>HYPERLINK("http://dx.doi.org/10.1016/j.mineng.2012.12.001","http://dx.doi.org/10.1016/j.mineng.2012.12.001")</f>
        <v>http://dx.doi.org/10.1016/j.mineng.2012.12.001</v>
      </c>
      <c r="BG63" s="1" t="s">
        <v>74</v>
      </c>
      <c r="BH63" s="1" t="s">
        <v>74</v>
      </c>
      <c r="BI63" s="1" t="s">
        <v>74</v>
      </c>
      <c r="BJ63" s="1" t="s">
        <v>74</v>
      </c>
      <c r="BK63" s="1" t="s">
        <v>74</v>
      </c>
      <c r="BL63" s="1" t="s">
        <v>74</v>
      </c>
      <c r="BM63" s="1" t="s">
        <v>74</v>
      </c>
      <c r="BN63" s="1" t="s">
        <v>74</v>
      </c>
      <c r="BO63" s="1" t="s">
        <v>74</v>
      </c>
      <c r="BP63" s="1" t="s">
        <v>74</v>
      </c>
      <c r="BQ63" s="1" t="s">
        <v>74</v>
      </c>
      <c r="BR63" s="1" t="s">
        <v>74</v>
      </c>
      <c r="BS63" s="1" t="s">
        <v>758</v>
      </c>
      <c r="BT63" s="1" t="str">
        <f>HYPERLINK("https%3A%2F%2Fwww.webofscience.com%2Fwos%2Fwoscc%2Ffull-record%2FWOS:000319632200014","View Full Record in Web of Science")</f>
        <v>View Full Record in Web of Science</v>
      </c>
    </row>
    <row r="64" ht="12.75" customHeight="1">
      <c r="A64" s="1" t="s">
        <v>72</v>
      </c>
      <c r="B64" s="1" t="s">
        <v>759</v>
      </c>
      <c r="C64" s="1" t="s">
        <v>74</v>
      </c>
      <c r="D64" s="1" t="s">
        <v>74</v>
      </c>
      <c r="E64" s="1" t="s">
        <v>74</v>
      </c>
      <c r="F64" s="1" t="s">
        <v>760</v>
      </c>
      <c r="G64" s="1" t="s">
        <v>74</v>
      </c>
      <c r="H64" s="1" t="s">
        <v>74</v>
      </c>
      <c r="I64" s="1" t="s">
        <v>761</v>
      </c>
      <c r="J64" s="1" t="s">
        <v>762</v>
      </c>
      <c r="K64" s="1" t="s">
        <v>74</v>
      </c>
      <c r="L64" s="1" t="s">
        <v>74</v>
      </c>
      <c r="M64" s="1" t="s">
        <v>74</v>
      </c>
      <c r="N64" s="1" t="s">
        <v>74</v>
      </c>
      <c r="O64" s="1" t="s">
        <v>74</v>
      </c>
      <c r="P64" s="1" t="s">
        <v>74</v>
      </c>
      <c r="Q64" s="1" t="s">
        <v>74</v>
      </c>
      <c r="R64" s="1" t="s">
        <v>74</v>
      </c>
      <c r="S64" s="1" t="s">
        <v>74</v>
      </c>
      <c r="T64" s="1" t="s">
        <v>74</v>
      </c>
      <c r="U64" s="1" t="s">
        <v>74</v>
      </c>
      <c r="V64" s="1" t="s">
        <v>763</v>
      </c>
      <c r="W64" s="1" t="s">
        <v>74</v>
      </c>
      <c r="X64" s="1" t="s">
        <v>74</v>
      </c>
      <c r="Y64" s="1" t="s">
        <v>74</v>
      </c>
      <c r="Z64" s="1" t="s">
        <v>74</v>
      </c>
      <c r="AA64" s="1" t="s">
        <v>74</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764</v>
      </c>
      <c r="AP64" s="1" t="s">
        <v>765</v>
      </c>
      <c r="AQ64" s="1" t="s">
        <v>74</v>
      </c>
      <c r="AR64" s="1" t="s">
        <v>74</v>
      </c>
      <c r="AS64" s="1" t="s">
        <v>74</v>
      </c>
      <c r="AT64" s="1" t="s">
        <v>496</v>
      </c>
      <c r="AU64" s="1">
        <v>2011.0</v>
      </c>
      <c r="AV64" s="1">
        <v>3.0</v>
      </c>
      <c r="AW64" s="1">
        <v>1.0</v>
      </c>
      <c r="AX64" s="1" t="s">
        <v>74</v>
      </c>
      <c r="AY64" s="1" t="s">
        <v>74</v>
      </c>
      <c r="AZ64" s="1" t="s">
        <v>74</v>
      </c>
      <c r="BA64" s="1" t="s">
        <v>74</v>
      </c>
      <c r="BB64" s="1">
        <v>91.0</v>
      </c>
      <c r="BC64" s="1">
        <v>94.0</v>
      </c>
      <c r="BD64" s="1" t="s">
        <v>74</v>
      </c>
      <c r="BE64" s="1" t="s">
        <v>766</v>
      </c>
      <c r="BF64" s="2" t="str">
        <f>HYPERLINK("http://dx.doi.org/10.1007/s12686-010-9298-y","http://dx.doi.org/10.1007/s12686-010-9298-y")</f>
        <v>http://dx.doi.org/10.1007/s12686-010-9298-y</v>
      </c>
      <c r="BG64" s="1" t="s">
        <v>74</v>
      </c>
      <c r="BH64" s="1" t="s">
        <v>74</v>
      </c>
      <c r="BI64" s="1" t="s">
        <v>74</v>
      </c>
      <c r="BJ64" s="1" t="s">
        <v>74</v>
      </c>
      <c r="BK64" s="1" t="s">
        <v>74</v>
      </c>
      <c r="BL64" s="1" t="s">
        <v>74</v>
      </c>
      <c r="BM64" s="1" t="s">
        <v>74</v>
      </c>
      <c r="BN64" s="1" t="s">
        <v>74</v>
      </c>
      <c r="BO64" s="1" t="s">
        <v>74</v>
      </c>
      <c r="BP64" s="1" t="s">
        <v>74</v>
      </c>
      <c r="BQ64" s="1" t="s">
        <v>74</v>
      </c>
      <c r="BR64" s="1" t="s">
        <v>74</v>
      </c>
      <c r="BS64" s="1" t="s">
        <v>767</v>
      </c>
      <c r="BT64" s="1" t="str">
        <f>HYPERLINK("https%3A%2F%2Fwww.webofscience.com%2Fwos%2Fwoscc%2Ffull-record%2FWOS:000290438500023","View Full Record in Web of Science")</f>
        <v>View Full Record in Web of Science</v>
      </c>
    </row>
    <row r="65" ht="12.75" customHeight="1">
      <c r="A65" s="1" t="s">
        <v>72</v>
      </c>
      <c r="B65" s="1" t="s">
        <v>768</v>
      </c>
      <c r="C65" s="1" t="s">
        <v>74</v>
      </c>
      <c r="D65" s="1" t="s">
        <v>74</v>
      </c>
      <c r="E65" s="1" t="s">
        <v>74</v>
      </c>
      <c r="F65" s="1" t="s">
        <v>769</v>
      </c>
      <c r="G65" s="1" t="s">
        <v>74</v>
      </c>
      <c r="H65" s="1" t="s">
        <v>74</v>
      </c>
      <c r="I65" s="1" t="s">
        <v>770</v>
      </c>
      <c r="J65" s="1" t="s">
        <v>771</v>
      </c>
      <c r="K65" s="1" t="s">
        <v>74</v>
      </c>
      <c r="L65" s="1" t="s">
        <v>74</v>
      </c>
      <c r="M65" s="1" t="s">
        <v>74</v>
      </c>
      <c r="N65" s="1" t="s">
        <v>74</v>
      </c>
      <c r="O65" s="1" t="s">
        <v>74</v>
      </c>
      <c r="P65" s="1" t="s">
        <v>74</v>
      </c>
      <c r="Q65" s="1" t="s">
        <v>74</v>
      </c>
      <c r="R65" s="1" t="s">
        <v>74</v>
      </c>
      <c r="S65" s="1" t="s">
        <v>74</v>
      </c>
      <c r="T65" s="1" t="s">
        <v>74</v>
      </c>
      <c r="U65" s="1" t="s">
        <v>74</v>
      </c>
      <c r="V65" s="1" t="s">
        <v>772</v>
      </c>
      <c r="W65" s="1" t="s">
        <v>74</v>
      </c>
      <c r="X65" s="1" t="s">
        <v>74</v>
      </c>
      <c r="Y65" s="1" t="s">
        <v>74</v>
      </c>
      <c r="Z65" s="1" t="s">
        <v>74</v>
      </c>
      <c r="AA65" s="1" t="s">
        <v>773</v>
      </c>
      <c r="AB65" s="1" t="s">
        <v>774</v>
      </c>
      <c r="AC65" s="1" t="s">
        <v>74</v>
      </c>
      <c r="AD65" s="1" t="s">
        <v>74</v>
      </c>
      <c r="AE65" s="1" t="s">
        <v>74</v>
      </c>
      <c r="AF65" s="1" t="s">
        <v>74</v>
      </c>
      <c r="AG65" s="1" t="s">
        <v>74</v>
      </c>
      <c r="AH65" s="1" t="s">
        <v>74</v>
      </c>
      <c r="AI65" s="1" t="s">
        <v>74</v>
      </c>
      <c r="AJ65" s="1" t="s">
        <v>74</v>
      </c>
      <c r="AK65" s="1" t="s">
        <v>74</v>
      </c>
      <c r="AL65" s="1" t="s">
        <v>74</v>
      </c>
      <c r="AM65" s="1" t="s">
        <v>74</v>
      </c>
      <c r="AN65" s="1" t="s">
        <v>74</v>
      </c>
      <c r="AO65" s="1" t="s">
        <v>775</v>
      </c>
      <c r="AP65" s="1" t="s">
        <v>776</v>
      </c>
      <c r="AQ65" s="1" t="s">
        <v>74</v>
      </c>
      <c r="AR65" s="1" t="s">
        <v>74</v>
      </c>
      <c r="AS65" s="1" t="s">
        <v>74</v>
      </c>
      <c r="AT65" s="1" t="s">
        <v>164</v>
      </c>
      <c r="AU65" s="1">
        <v>2010.0</v>
      </c>
      <c r="AV65" s="1">
        <v>37.0</v>
      </c>
      <c r="AW65" s="1">
        <v>7.0</v>
      </c>
      <c r="AX65" s="1" t="s">
        <v>74</v>
      </c>
      <c r="AY65" s="1" t="s">
        <v>74</v>
      </c>
      <c r="AZ65" s="1" t="s">
        <v>74</v>
      </c>
      <c r="BA65" s="1" t="s">
        <v>74</v>
      </c>
      <c r="BB65" s="1">
        <v>5476.0</v>
      </c>
      <c r="BC65" s="1">
        <v>5483.0</v>
      </c>
      <c r="BD65" s="1" t="s">
        <v>74</v>
      </c>
      <c r="BE65" s="1" t="s">
        <v>777</v>
      </c>
      <c r="BF65" s="2" t="str">
        <f>HYPERLINK("http://dx.doi.org/10.1016/j.eswa.2010.02.064","http://dx.doi.org/10.1016/j.eswa.2010.02.064")</f>
        <v>http://dx.doi.org/10.1016/j.eswa.2010.02.064</v>
      </c>
      <c r="BG65" s="1" t="s">
        <v>74</v>
      </c>
      <c r="BH65" s="1" t="s">
        <v>74</v>
      </c>
      <c r="BI65" s="1" t="s">
        <v>74</v>
      </c>
      <c r="BJ65" s="1" t="s">
        <v>74</v>
      </c>
      <c r="BK65" s="1" t="s">
        <v>74</v>
      </c>
      <c r="BL65" s="1" t="s">
        <v>74</v>
      </c>
      <c r="BM65" s="1" t="s">
        <v>74</v>
      </c>
      <c r="BN65" s="1" t="s">
        <v>74</v>
      </c>
      <c r="BO65" s="1" t="s">
        <v>74</v>
      </c>
      <c r="BP65" s="1" t="s">
        <v>74</v>
      </c>
      <c r="BQ65" s="1" t="s">
        <v>74</v>
      </c>
      <c r="BR65" s="1" t="s">
        <v>74</v>
      </c>
      <c r="BS65" s="1" t="s">
        <v>778</v>
      </c>
      <c r="BT65" s="1" t="str">
        <f>HYPERLINK("https%3A%2F%2Fwww.webofscience.com%2Fwos%2Fwoscc%2Ffull-record%2FWOS:000277726300088","View Full Record in Web of Science")</f>
        <v>View Full Record in Web of Science</v>
      </c>
    </row>
    <row r="66" ht="12.75" customHeight="1">
      <c r="A66" s="1" t="s">
        <v>72</v>
      </c>
      <c r="B66" s="1" t="s">
        <v>779</v>
      </c>
      <c r="C66" s="1" t="s">
        <v>74</v>
      </c>
      <c r="D66" s="1" t="s">
        <v>74</v>
      </c>
      <c r="E66" s="1" t="s">
        <v>74</v>
      </c>
      <c r="F66" s="1" t="s">
        <v>780</v>
      </c>
      <c r="G66" s="1" t="s">
        <v>74</v>
      </c>
      <c r="H66" s="1" t="s">
        <v>74</v>
      </c>
      <c r="I66" s="1" t="s">
        <v>781</v>
      </c>
      <c r="J66" s="1" t="s">
        <v>782</v>
      </c>
      <c r="K66" s="1" t="s">
        <v>74</v>
      </c>
      <c r="L66" s="1" t="s">
        <v>74</v>
      </c>
      <c r="M66" s="1" t="s">
        <v>74</v>
      </c>
      <c r="N66" s="1" t="s">
        <v>74</v>
      </c>
      <c r="O66" s="1" t="s">
        <v>783</v>
      </c>
      <c r="P66" s="1" t="s">
        <v>784</v>
      </c>
      <c r="Q66" s="1" t="s">
        <v>785</v>
      </c>
      <c r="R66" s="1" t="s">
        <v>74</v>
      </c>
      <c r="S66" s="1" t="s">
        <v>74</v>
      </c>
      <c r="T66" s="1" t="s">
        <v>74</v>
      </c>
      <c r="U66" s="1" t="s">
        <v>74</v>
      </c>
      <c r="V66" s="1" t="s">
        <v>786</v>
      </c>
      <c r="W66" s="1" t="s">
        <v>74</v>
      </c>
      <c r="X66" s="1" t="s">
        <v>74</v>
      </c>
      <c r="Y66" s="1" t="s">
        <v>74</v>
      </c>
      <c r="Z66" s="1" t="s">
        <v>74</v>
      </c>
      <c r="AA66" s="1" t="s">
        <v>787</v>
      </c>
      <c r="AB66" s="1" t="s">
        <v>788</v>
      </c>
      <c r="AC66" s="1" t="s">
        <v>74</v>
      </c>
      <c r="AD66" s="1" t="s">
        <v>74</v>
      </c>
      <c r="AE66" s="1" t="s">
        <v>74</v>
      </c>
      <c r="AF66" s="1" t="s">
        <v>74</v>
      </c>
      <c r="AG66" s="1" t="s">
        <v>74</v>
      </c>
      <c r="AH66" s="1" t="s">
        <v>74</v>
      </c>
      <c r="AI66" s="1" t="s">
        <v>74</v>
      </c>
      <c r="AJ66" s="1" t="s">
        <v>74</v>
      </c>
      <c r="AK66" s="1" t="s">
        <v>74</v>
      </c>
      <c r="AL66" s="1" t="s">
        <v>74</v>
      </c>
      <c r="AM66" s="1" t="s">
        <v>74</v>
      </c>
      <c r="AN66" s="1" t="s">
        <v>74</v>
      </c>
      <c r="AO66" s="1" t="s">
        <v>789</v>
      </c>
      <c r="AP66" s="1" t="s">
        <v>790</v>
      </c>
      <c r="AQ66" s="1" t="s">
        <v>74</v>
      </c>
      <c r="AR66" s="1" t="s">
        <v>74</v>
      </c>
      <c r="AS66" s="1" t="s">
        <v>74</v>
      </c>
      <c r="AT66" s="1" t="s">
        <v>791</v>
      </c>
      <c r="AU66" s="1">
        <v>2008.0</v>
      </c>
      <c r="AV66" s="1">
        <v>72.0</v>
      </c>
      <c r="AW66" s="1" t="s">
        <v>428</v>
      </c>
      <c r="AX66" s="1" t="s">
        <v>74</v>
      </c>
      <c r="AY66" s="1" t="s">
        <v>74</v>
      </c>
      <c r="AZ66" s="1" t="s">
        <v>74</v>
      </c>
      <c r="BA66" s="1" t="s">
        <v>74</v>
      </c>
      <c r="BB66" s="1">
        <v>22.0</v>
      </c>
      <c r="BC66" s="1">
        <v>30.0</v>
      </c>
      <c r="BD66" s="1" t="s">
        <v>74</v>
      </c>
      <c r="BE66" s="1" t="s">
        <v>792</v>
      </c>
      <c r="BF66" s="2" t="str">
        <f>HYPERLINK("http://dx.doi.org/10.1016/j.scico.2007.10.005","http://dx.doi.org/10.1016/j.scico.2007.10.005")</f>
        <v>http://dx.doi.org/10.1016/j.scico.2007.10.005</v>
      </c>
      <c r="BG66" s="1" t="s">
        <v>74</v>
      </c>
      <c r="BH66" s="1" t="s">
        <v>74</v>
      </c>
      <c r="BI66" s="1" t="s">
        <v>74</v>
      </c>
      <c r="BJ66" s="1" t="s">
        <v>74</v>
      </c>
      <c r="BK66" s="1" t="s">
        <v>74</v>
      </c>
      <c r="BL66" s="1" t="s">
        <v>74</v>
      </c>
      <c r="BM66" s="1" t="s">
        <v>74</v>
      </c>
      <c r="BN66" s="1" t="s">
        <v>74</v>
      </c>
      <c r="BO66" s="1" t="s">
        <v>74</v>
      </c>
      <c r="BP66" s="1" t="s">
        <v>74</v>
      </c>
      <c r="BQ66" s="1" t="s">
        <v>74</v>
      </c>
      <c r="BR66" s="1" t="s">
        <v>74</v>
      </c>
      <c r="BS66" s="1" t="s">
        <v>793</v>
      </c>
      <c r="BT66" s="1" t="str">
        <f>HYPERLINK("https%3A%2F%2Fwww.webofscience.com%2Fwos%2Fwoscc%2Ffull-record%2FWOS:000257912800003","View Full Record in Web of Science")</f>
        <v>View Full Record in Web of Science</v>
      </c>
    </row>
    <row r="67" ht="12.75" customHeight="1">
      <c r="A67" s="1" t="s">
        <v>72</v>
      </c>
      <c r="B67" s="1" t="s">
        <v>794</v>
      </c>
      <c r="C67" s="1" t="s">
        <v>74</v>
      </c>
      <c r="D67" s="1" t="s">
        <v>74</v>
      </c>
      <c r="E67" s="1" t="s">
        <v>74</v>
      </c>
      <c r="F67" s="1" t="s">
        <v>795</v>
      </c>
      <c r="G67" s="1" t="s">
        <v>74</v>
      </c>
      <c r="H67" s="1" t="s">
        <v>74</v>
      </c>
      <c r="I67" s="1" t="s">
        <v>796</v>
      </c>
      <c r="J67" s="1" t="s">
        <v>797</v>
      </c>
      <c r="K67" s="1" t="s">
        <v>74</v>
      </c>
      <c r="L67" s="1" t="s">
        <v>74</v>
      </c>
      <c r="M67" s="1" t="s">
        <v>74</v>
      </c>
      <c r="N67" s="1" t="s">
        <v>74</v>
      </c>
      <c r="O67" s="1" t="s">
        <v>74</v>
      </c>
      <c r="P67" s="1" t="s">
        <v>74</v>
      </c>
      <c r="Q67" s="1" t="s">
        <v>74</v>
      </c>
      <c r="R67" s="1" t="s">
        <v>74</v>
      </c>
      <c r="S67" s="1" t="s">
        <v>74</v>
      </c>
      <c r="T67" s="1" t="s">
        <v>74</v>
      </c>
      <c r="U67" s="1" t="s">
        <v>74</v>
      </c>
      <c r="V67" s="1" t="s">
        <v>798</v>
      </c>
      <c r="W67" s="1" t="s">
        <v>74</v>
      </c>
      <c r="X67" s="1" t="s">
        <v>74</v>
      </c>
      <c r="Y67" s="1" t="s">
        <v>74</v>
      </c>
      <c r="Z67" s="1" t="s">
        <v>74</v>
      </c>
      <c r="AA67" s="1" t="s">
        <v>799</v>
      </c>
      <c r="AB67" s="1" t="s">
        <v>800</v>
      </c>
      <c r="AC67" s="1" t="s">
        <v>74</v>
      </c>
      <c r="AD67" s="1" t="s">
        <v>74</v>
      </c>
      <c r="AE67" s="1" t="s">
        <v>74</v>
      </c>
      <c r="AF67" s="1" t="s">
        <v>74</v>
      </c>
      <c r="AG67" s="1" t="s">
        <v>74</v>
      </c>
      <c r="AH67" s="1" t="s">
        <v>74</v>
      </c>
      <c r="AI67" s="1" t="s">
        <v>74</v>
      </c>
      <c r="AJ67" s="1" t="s">
        <v>74</v>
      </c>
      <c r="AK67" s="1" t="s">
        <v>74</v>
      </c>
      <c r="AL67" s="1" t="s">
        <v>74</v>
      </c>
      <c r="AM67" s="1" t="s">
        <v>74</v>
      </c>
      <c r="AN67" s="1" t="s">
        <v>74</v>
      </c>
      <c r="AO67" s="1" t="s">
        <v>801</v>
      </c>
      <c r="AP67" s="1" t="s">
        <v>74</v>
      </c>
      <c r="AQ67" s="1" t="s">
        <v>74</v>
      </c>
      <c r="AR67" s="1" t="s">
        <v>74</v>
      </c>
      <c r="AS67" s="1" t="s">
        <v>74</v>
      </c>
      <c r="AT67" s="1" t="s">
        <v>95</v>
      </c>
      <c r="AU67" s="1">
        <v>2007.0</v>
      </c>
      <c r="AV67" s="1">
        <v>77.0</v>
      </c>
      <c r="AW67" s="1">
        <v>6.0</v>
      </c>
      <c r="AX67" s="1" t="s">
        <v>74</v>
      </c>
      <c r="AY67" s="1" t="s">
        <v>74</v>
      </c>
      <c r="AZ67" s="1" t="s">
        <v>74</v>
      </c>
      <c r="BA67" s="1" t="s">
        <v>74</v>
      </c>
      <c r="BB67" s="1">
        <v>934.0</v>
      </c>
      <c r="BC67" s="1">
        <v>941.0</v>
      </c>
      <c r="BD67" s="1" t="s">
        <v>74</v>
      </c>
      <c r="BE67" s="1" t="s">
        <v>802</v>
      </c>
      <c r="BF67" s="2" t="str">
        <f>HYPERLINK("http://dx.doi.org/10.1095/biolreprod.107.061622","http://dx.doi.org/10.1095/biolreprod.107.061622")</f>
        <v>http://dx.doi.org/10.1095/biolreprod.107.061622</v>
      </c>
      <c r="BG67" s="1" t="s">
        <v>74</v>
      </c>
      <c r="BH67" s="1" t="s">
        <v>74</v>
      </c>
      <c r="BI67" s="1" t="s">
        <v>74</v>
      </c>
      <c r="BJ67" s="1" t="s">
        <v>74</v>
      </c>
      <c r="BK67" s="1" t="s">
        <v>74</v>
      </c>
      <c r="BL67" s="1" t="s">
        <v>74</v>
      </c>
      <c r="BM67" s="1" t="s">
        <v>74</v>
      </c>
      <c r="BN67" s="1">
        <v>1.7699737E7</v>
      </c>
      <c r="BO67" s="1" t="s">
        <v>74</v>
      </c>
      <c r="BP67" s="1" t="s">
        <v>74</v>
      </c>
      <c r="BQ67" s="1" t="s">
        <v>74</v>
      </c>
      <c r="BR67" s="1" t="s">
        <v>74</v>
      </c>
      <c r="BS67" s="1" t="s">
        <v>803</v>
      </c>
      <c r="BT67" s="1" t="str">
        <f>HYPERLINK("https%3A%2F%2Fwww.webofscience.com%2Fwos%2Fwoscc%2Ffull-record%2FWOS:000251217000004","View Full Record in Web of Science")</f>
        <v>View Full Record in Web of Science</v>
      </c>
    </row>
    <row r="68" ht="12.75" customHeight="1">
      <c r="A68" s="1" t="s">
        <v>72</v>
      </c>
      <c r="B68" s="1" t="s">
        <v>804</v>
      </c>
      <c r="C68" s="1" t="s">
        <v>74</v>
      </c>
      <c r="D68" s="1" t="s">
        <v>74</v>
      </c>
      <c r="E68" s="1" t="s">
        <v>74</v>
      </c>
      <c r="F68" s="1" t="s">
        <v>805</v>
      </c>
      <c r="G68" s="1" t="s">
        <v>74</v>
      </c>
      <c r="H68" s="1" t="s">
        <v>74</v>
      </c>
      <c r="I68" s="1" t="s">
        <v>806</v>
      </c>
      <c r="J68" s="1" t="s">
        <v>807</v>
      </c>
      <c r="K68" s="1" t="s">
        <v>74</v>
      </c>
      <c r="L68" s="1" t="s">
        <v>74</v>
      </c>
      <c r="M68" s="1" t="s">
        <v>74</v>
      </c>
      <c r="N68" s="1" t="s">
        <v>74</v>
      </c>
      <c r="O68" s="1" t="s">
        <v>74</v>
      </c>
      <c r="P68" s="1" t="s">
        <v>74</v>
      </c>
      <c r="Q68" s="1" t="s">
        <v>74</v>
      </c>
      <c r="R68" s="1" t="s">
        <v>74</v>
      </c>
      <c r="S68" s="1" t="s">
        <v>74</v>
      </c>
      <c r="T68" s="1" t="s">
        <v>74</v>
      </c>
      <c r="U68" s="1" t="s">
        <v>74</v>
      </c>
      <c r="V68" s="1" t="s">
        <v>808</v>
      </c>
      <c r="W68" s="1" t="s">
        <v>74</v>
      </c>
      <c r="X68" s="1" t="s">
        <v>74</v>
      </c>
      <c r="Y68" s="1" t="s">
        <v>74</v>
      </c>
      <c r="Z68" s="1" t="s">
        <v>74</v>
      </c>
      <c r="AA68" s="1" t="s">
        <v>809</v>
      </c>
      <c r="AB68" s="1" t="s">
        <v>810</v>
      </c>
      <c r="AC68" s="1" t="s">
        <v>74</v>
      </c>
      <c r="AD68" s="1" t="s">
        <v>74</v>
      </c>
      <c r="AE68" s="1" t="s">
        <v>74</v>
      </c>
      <c r="AF68" s="1" t="s">
        <v>74</v>
      </c>
      <c r="AG68" s="1" t="s">
        <v>74</v>
      </c>
      <c r="AH68" s="1" t="s">
        <v>74</v>
      </c>
      <c r="AI68" s="1" t="s">
        <v>74</v>
      </c>
      <c r="AJ68" s="1" t="s">
        <v>74</v>
      </c>
      <c r="AK68" s="1" t="s">
        <v>74</v>
      </c>
      <c r="AL68" s="1" t="s">
        <v>74</v>
      </c>
      <c r="AM68" s="1" t="s">
        <v>74</v>
      </c>
      <c r="AN68" s="1" t="s">
        <v>74</v>
      </c>
      <c r="AO68" s="1" t="s">
        <v>811</v>
      </c>
      <c r="AP68" s="1" t="s">
        <v>812</v>
      </c>
      <c r="AQ68" s="1" t="s">
        <v>74</v>
      </c>
      <c r="AR68" s="1" t="s">
        <v>74</v>
      </c>
      <c r="AS68" s="1" t="s">
        <v>74</v>
      </c>
      <c r="AT68" s="1" t="s">
        <v>187</v>
      </c>
      <c r="AU68" s="1">
        <v>2007.0</v>
      </c>
      <c r="AV68" s="1">
        <v>101.0</v>
      </c>
      <c r="AW68" s="1">
        <v>1.0</v>
      </c>
      <c r="AX68" s="1" t="s">
        <v>74</v>
      </c>
      <c r="AY68" s="1" t="s">
        <v>74</v>
      </c>
      <c r="AZ68" s="1" t="s">
        <v>74</v>
      </c>
      <c r="BA68" s="1" t="s">
        <v>74</v>
      </c>
      <c r="BB68" s="1">
        <v>17.0</v>
      </c>
      <c r="BC68" s="1">
        <v>26.0</v>
      </c>
      <c r="BD68" s="1" t="s">
        <v>74</v>
      </c>
      <c r="BE68" s="1" t="s">
        <v>813</v>
      </c>
      <c r="BF68" s="2" t="str">
        <f>HYPERLINK("http://dx.doi.org/10.1111/j.1471-4159.2006.04343.x","http://dx.doi.org/10.1111/j.1471-4159.2006.04343.x")</f>
        <v>http://dx.doi.org/10.1111/j.1471-4159.2006.04343.x</v>
      </c>
      <c r="BG68" s="1" t="s">
        <v>74</v>
      </c>
      <c r="BH68" s="1" t="s">
        <v>74</v>
      </c>
      <c r="BI68" s="1" t="s">
        <v>74</v>
      </c>
      <c r="BJ68" s="1" t="s">
        <v>74</v>
      </c>
      <c r="BK68" s="1" t="s">
        <v>74</v>
      </c>
      <c r="BL68" s="1" t="s">
        <v>74</v>
      </c>
      <c r="BM68" s="1" t="s">
        <v>74</v>
      </c>
      <c r="BN68" s="1">
        <v>1.7394459E7</v>
      </c>
      <c r="BO68" s="1" t="s">
        <v>74</v>
      </c>
      <c r="BP68" s="1" t="s">
        <v>74</v>
      </c>
      <c r="BQ68" s="1" t="s">
        <v>74</v>
      </c>
      <c r="BR68" s="1" t="s">
        <v>74</v>
      </c>
      <c r="BS68" s="1" t="s">
        <v>814</v>
      </c>
      <c r="BT68" s="1" t="str">
        <f>HYPERLINK("https%3A%2F%2Fwww.webofscience.com%2Fwos%2Fwoscc%2Ffull-record%2FWOS:000244885600003","View Full Record in Web of Science")</f>
        <v>View Full Record in Web of Science</v>
      </c>
    </row>
    <row r="69" ht="12.75" customHeight="1">
      <c r="A69" s="1" t="s">
        <v>72</v>
      </c>
      <c r="B69" s="1" t="s">
        <v>815</v>
      </c>
      <c r="C69" s="1" t="s">
        <v>74</v>
      </c>
      <c r="D69" s="1" t="s">
        <v>74</v>
      </c>
      <c r="E69" s="1" t="s">
        <v>74</v>
      </c>
      <c r="F69" s="1" t="s">
        <v>816</v>
      </c>
      <c r="G69" s="1" t="s">
        <v>74</v>
      </c>
      <c r="H69" s="1" t="s">
        <v>74</v>
      </c>
      <c r="I69" s="1" t="s">
        <v>817</v>
      </c>
      <c r="J69" s="1" t="s">
        <v>818</v>
      </c>
      <c r="K69" s="1" t="s">
        <v>74</v>
      </c>
      <c r="L69" s="1" t="s">
        <v>74</v>
      </c>
      <c r="M69" s="1" t="s">
        <v>74</v>
      </c>
      <c r="N69" s="1" t="s">
        <v>74</v>
      </c>
      <c r="O69" s="1" t="s">
        <v>74</v>
      </c>
      <c r="P69" s="1" t="s">
        <v>74</v>
      </c>
      <c r="Q69" s="1" t="s">
        <v>74</v>
      </c>
      <c r="R69" s="1" t="s">
        <v>74</v>
      </c>
      <c r="S69" s="1" t="s">
        <v>74</v>
      </c>
      <c r="T69" s="1" t="s">
        <v>74</v>
      </c>
      <c r="U69" s="1" t="s">
        <v>74</v>
      </c>
      <c r="V69" s="1" t="s">
        <v>819</v>
      </c>
      <c r="W69" s="1" t="s">
        <v>74</v>
      </c>
      <c r="X69" s="1" t="s">
        <v>74</v>
      </c>
      <c r="Y69" s="1" t="s">
        <v>74</v>
      </c>
      <c r="Z69" s="1" t="s">
        <v>74</v>
      </c>
      <c r="AA69" s="1" t="s">
        <v>820</v>
      </c>
      <c r="AB69" s="1" t="s">
        <v>821</v>
      </c>
      <c r="AC69" s="1" t="s">
        <v>74</v>
      </c>
      <c r="AD69" s="1" t="s">
        <v>74</v>
      </c>
      <c r="AE69" s="1" t="s">
        <v>74</v>
      </c>
      <c r="AF69" s="1" t="s">
        <v>74</v>
      </c>
      <c r="AG69" s="1" t="s">
        <v>74</v>
      </c>
      <c r="AH69" s="1" t="s">
        <v>74</v>
      </c>
      <c r="AI69" s="1" t="s">
        <v>74</v>
      </c>
      <c r="AJ69" s="1" t="s">
        <v>74</v>
      </c>
      <c r="AK69" s="1" t="s">
        <v>74</v>
      </c>
      <c r="AL69" s="1" t="s">
        <v>74</v>
      </c>
      <c r="AM69" s="1" t="s">
        <v>74</v>
      </c>
      <c r="AN69" s="1" t="s">
        <v>74</v>
      </c>
      <c r="AO69" s="1" t="s">
        <v>822</v>
      </c>
      <c r="AP69" s="1" t="s">
        <v>823</v>
      </c>
      <c r="AQ69" s="1" t="s">
        <v>74</v>
      </c>
      <c r="AR69" s="1" t="s">
        <v>74</v>
      </c>
      <c r="AS69" s="1" t="s">
        <v>74</v>
      </c>
      <c r="AT69" s="1" t="s">
        <v>74</v>
      </c>
      <c r="AU69" s="1">
        <v>2007.0</v>
      </c>
      <c r="AV69" s="1">
        <v>41.0</v>
      </c>
      <c r="AW69" s="1">
        <v>10.0</v>
      </c>
      <c r="AX69" s="1" t="s">
        <v>74</v>
      </c>
      <c r="AY69" s="1" t="s">
        <v>74</v>
      </c>
      <c r="AZ69" s="1" t="s">
        <v>74</v>
      </c>
      <c r="BA69" s="1" t="s">
        <v>74</v>
      </c>
      <c r="BB69" s="1">
        <v>1189.0</v>
      </c>
      <c r="BC69" s="1">
        <v>1194.0</v>
      </c>
      <c r="BD69" s="1" t="s">
        <v>74</v>
      </c>
      <c r="BE69" s="1" t="s">
        <v>824</v>
      </c>
      <c r="BF69" s="2" t="str">
        <f>HYPERLINK("http://dx.doi.org/10.1080/10715760701583969","http://dx.doi.org/10.1080/10715760701583969")</f>
        <v>http://dx.doi.org/10.1080/10715760701583969</v>
      </c>
      <c r="BG69" s="1" t="s">
        <v>74</v>
      </c>
      <c r="BH69" s="1" t="s">
        <v>74</v>
      </c>
      <c r="BI69" s="1" t="s">
        <v>74</v>
      </c>
      <c r="BJ69" s="1" t="s">
        <v>74</v>
      </c>
      <c r="BK69" s="1" t="s">
        <v>74</v>
      </c>
      <c r="BL69" s="1" t="s">
        <v>74</v>
      </c>
      <c r="BM69" s="1" t="s">
        <v>74</v>
      </c>
      <c r="BN69" s="1">
        <v>1.7886041E7</v>
      </c>
      <c r="BO69" s="1" t="s">
        <v>74</v>
      </c>
      <c r="BP69" s="1" t="s">
        <v>74</v>
      </c>
      <c r="BQ69" s="1" t="s">
        <v>74</v>
      </c>
      <c r="BR69" s="1" t="s">
        <v>74</v>
      </c>
      <c r="BS69" s="1" t="s">
        <v>825</v>
      </c>
      <c r="BT69" s="1" t="str">
        <f>HYPERLINK("https%3A%2F%2Fwww.webofscience.com%2Fwos%2Fwoscc%2Ffull-record%2FWOS:000249958300014","View Full Record in Web of Science")</f>
        <v>View Full Record in Web of Science</v>
      </c>
    </row>
    <row r="70" ht="12.75" customHeight="1">
      <c r="A70" s="1" t="s">
        <v>72</v>
      </c>
      <c r="B70" s="1" t="s">
        <v>826</v>
      </c>
      <c r="C70" s="1" t="s">
        <v>74</v>
      </c>
      <c r="D70" s="1" t="s">
        <v>74</v>
      </c>
      <c r="E70" s="1" t="s">
        <v>74</v>
      </c>
      <c r="F70" s="1" t="s">
        <v>826</v>
      </c>
      <c r="G70" s="1" t="s">
        <v>74</v>
      </c>
      <c r="H70" s="1" t="s">
        <v>74</v>
      </c>
      <c r="I70" s="1" t="s">
        <v>827</v>
      </c>
      <c r="J70" s="1" t="s">
        <v>828</v>
      </c>
      <c r="K70" s="1" t="s">
        <v>74</v>
      </c>
      <c r="L70" s="1" t="s">
        <v>74</v>
      </c>
      <c r="M70" s="1" t="s">
        <v>74</v>
      </c>
      <c r="N70" s="1" t="s">
        <v>74</v>
      </c>
      <c r="O70" s="1" t="s">
        <v>74</v>
      </c>
      <c r="P70" s="1" t="s">
        <v>74</v>
      </c>
      <c r="Q70" s="1" t="s">
        <v>74</v>
      </c>
      <c r="R70" s="1" t="s">
        <v>74</v>
      </c>
      <c r="S70" s="1" t="s">
        <v>74</v>
      </c>
      <c r="T70" s="1" t="s">
        <v>74</v>
      </c>
      <c r="U70" s="1" t="s">
        <v>74</v>
      </c>
      <c r="V70" s="1" t="s">
        <v>829</v>
      </c>
      <c r="W70" s="1" t="s">
        <v>74</v>
      </c>
      <c r="X70" s="1" t="s">
        <v>74</v>
      </c>
      <c r="Y70" s="1" t="s">
        <v>74</v>
      </c>
      <c r="Z70" s="1" t="s">
        <v>74</v>
      </c>
      <c r="AA70" s="1" t="s">
        <v>74</v>
      </c>
      <c r="AB70" s="1" t="s">
        <v>74</v>
      </c>
      <c r="AC70" s="1" t="s">
        <v>74</v>
      </c>
      <c r="AD70" s="1" t="s">
        <v>74</v>
      </c>
      <c r="AE70" s="1" t="s">
        <v>74</v>
      </c>
      <c r="AF70" s="1" t="s">
        <v>74</v>
      </c>
      <c r="AG70" s="1" t="s">
        <v>74</v>
      </c>
      <c r="AH70" s="1" t="s">
        <v>74</v>
      </c>
      <c r="AI70" s="1" t="s">
        <v>74</v>
      </c>
      <c r="AJ70" s="1" t="s">
        <v>74</v>
      </c>
      <c r="AK70" s="1" t="s">
        <v>74</v>
      </c>
      <c r="AL70" s="1" t="s">
        <v>74</v>
      </c>
      <c r="AM70" s="1" t="s">
        <v>74</v>
      </c>
      <c r="AN70" s="1" t="s">
        <v>74</v>
      </c>
      <c r="AO70" s="1" t="s">
        <v>830</v>
      </c>
      <c r="AP70" s="1" t="s">
        <v>831</v>
      </c>
      <c r="AQ70" s="1" t="s">
        <v>74</v>
      </c>
      <c r="AR70" s="1" t="s">
        <v>74</v>
      </c>
      <c r="AS70" s="1" t="s">
        <v>74</v>
      </c>
      <c r="AT70" s="1" t="s">
        <v>647</v>
      </c>
      <c r="AU70" s="1">
        <v>2005.0</v>
      </c>
      <c r="AV70" s="1">
        <v>38.0</v>
      </c>
      <c r="AW70" s="1">
        <v>8.0</v>
      </c>
      <c r="AX70" s="1" t="s">
        <v>74</v>
      </c>
      <c r="AY70" s="1" t="s">
        <v>74</v>
      </c>
      <c r="AZ70" s="1" t="s">
        <v>74</v>
      </c>
      <c r="BA70" s="1" t="s">
        <v>74</v>
      </c>
      <c r="BB70" s="1">
        <v>1598.0</v>
      </c>
      <c r="BC70" s="1">
        <v>1603.0</v>
      </c>
      <c r="BD70" s="1" t="s">
        <v>74</v>
      </c>
      <c r="BE70" s="1" t="s">
        <v>832</v>
      </c>
      <c r="BF70" s="2" t="str">
        <f>HYPERLINK("http://dx.doi.org/10.1016/j.jbiomech.2004.07.026","http://dx.doi.org/10.1016/j.jbiomech.2004.07.026")</f>
        <v>http://dx.doi.org/10.1016/j.jbiomech.2004.07.026</v>
      </c>
      <c r="BG70" s="1" t="s">
        <v>74</v>
      </c>
      <c r="BH70" s="1" t="s">
        <v>74</v>
      </c>
      <c r="BI70" s="1" t="s">
        <v>74</v>
      </c>
      <c r="BJ70" s="1" t="s">
        <v>74</v>
      </c>
      <c r="BK70" s="1" t="s">
        <v>74</v>
      </c>
      <c r="BL70" s="1" t="s">
        <v>74</v>
      </c>
      <c r="BM70" s="1" t="s">
        <v>74</v>
      </c>
      <c r="BN70" s="1">
        <v>1.5958216E7</v>
      </c>
      <c r="BO70" s="1" t="s">
        <v>74</v>
      </c>
      <c r="BP70" s="1" t="s">
        <v>74</v>
      </c>
      <c r="BQ70" s="1" t="s">
        <v>74</v>
      </c>
      <c r="BR70" s="1" t="s">
        <v>74</v>
      </c>
      <c r="BS70" s="1" t="s">
        <v>833</v>
      </c>
      <c r="BT70" s="1" t="str">
        <f>HYPERLINK("https%3A%2F%2Fwww.webofscience.com%2Fwos%2Fwoscc%2Ffull-record%2FWOS:000230629400006","View Full Record in Web of Science")</f>
        <v>View Full Record in Web of Science</v>
      </c>
    </row>
    <row r="71" ht="12.75" customHeight="1">
      <c r="A71" s="1" t="s">
        <v>72</v>
      </c>
      <c r="B71" s="1" t="s">
        <v>834</v>
      </c>
      <c r="C71" s="1" t="s">
        <v>74</v>
      </c>
      <c r="D71" s="1" t="s">
        <v>74</v>
      </c>
      <c r="E71" s="1" t="s">
        <v>74</v>
      </c>
      <c r="F71" s="1" t="s">
        <v>834</v>
      </c>
      <c r="G71" s="1" t="s">
        <v>74</v>
      </c>
      <c r="H71" s="1" t="s">
        <v>74</v>
      </c>
      <c r="I71" s="1" t="s">
        <v>835</v>
      </c>
      <c r="J71" s="1" t="s">
        <v>836</v>
      </c>
      <c r="K71" s="1" t="s">
        <v>74</v>
      </c>
      <c r="L71" s="1" t="s">
        <v>74</v>
      </c>
      <c r="M71" s="1" t="s">
        <v>74</v>
      </c>
      <c r="N71" s="1" t="s">
        <v>74</v>
      </c>
      <c r="O71" s="1" t="s">
        <v>74</v>
      </c>
      <c r="P71" s="1" t="s">
        <v>74</v>
      </c>
      <c r="Q71" s="1" t="s">
        <v>74</v>
      </c>
      <c r="R71" s="1" t="s">
        <v>74</v>
      </c>
      <c r="S71" s="1" t="s">
        <v>74</v>
      </c>
      <c r="T71" s="1" t="s">
        <v>74</v>
      </c>
      <c r="U71" s="1" t="s">
        <v>74</v>
      </c>
      <c r="V71" s="1" t="s">
        <v>837</v>
      </c>
      <c r="W71" s="1" t="s">
        <v>74</v>
      </c>
      <c r="X71" s="1" t="s">
        <v>74</v>
      </c>
      <c r="Y71" s="1" t="s">
        <v>74</v>
      </c>
      <c r="Z71" s="1" t="s">
        <v>74</v>
      </c>
      <c r="AA71" s="1" t="s">
        <v>74</v>
      </c>
      <c r="AB71" s="1" t="s">
        <v>74</v>
      </c>
      <c r="AC71" s="1" t="s">
        <v>74</v>
      </c>
      <c r="AD71" s="1" t="s">
        <v>74</v>
      </c>
      <c r="AE71" s="1" t="s">
        <v>74</v>
      </c>
      <c r="AF71" s="1" t="s">
        <v>74</v>
      </c>
      <c r="AG71" s="1" t="s">
        <v>74</v>
      </c>
      <c r="AH71" s="1" t="s">
        <v>74</v>
      </c>
      <c r="AI71" s="1" t="s">
        <v>74</v>
      </c>
      <c r="AJ71" s="1" t="s">
        <v>74</v>
      </c>
      <c r="AK71" s="1" t="s">
        <v>74</v>
      </c>
      <c r="AL71" s="1" t="s">
        <v>74</v>
      </c>
      <c r="AM71" s="1" t="s">
        <v>74</v>
      </c>
      <c r="AN71" s="1" t="s">
        <v>74</v>
      </c>
      <c r="AO71" s="1" t="s">
        <v>838</v>
      </c>
      <c r="AP71" s="1" t="s">
        <v>74</v>
      </c>
      <c r="AQ71" s="1" t="s">
        <v>74</v>
      </c>
      <c r="AR71" s="1" t="s">
        <v>74</v>
      </c>
      <c r="AS71" s="1" t="s">
        <v>74</v>
      </c>
      <c r="AT71" s="1" t="s">
        <v>74</v>
      </c>
      <c r="AU71" s="1">
        <v>2005.0</v>
      </c>
      <c r="AV71" s="1">
        <v>38.0</v>
      </c>
      <c r="AW71" s="1">
        <v>4.0</v>
      </c>
      <c r="AX71" s="1" t="s">
        <v>74</v>
      </c>
      <c r="AY71" s="1" t="s">
        <v>74</v>
      </c>
      <c r="AZ71" s="1" t="s">
        <v>74</v>
      </c>
      <c r="BA71" s="1" t="s">
        <v>74</v>
      </c>
      <c r="BB71" s="1">
        <v>329.0</v>
      </c>
      <c r="BC71" s="1">
        <v>334.0</v>
      </c>
      <c r="BD71" s="1" t="s">
        <v>74</v>
      </c>
      <c r="BE71" s="1" t="s">
        <v>74</v>
      </c>
      <c r="BF71" s="1" t="s">
        <v>74</v>
      </c>
      <c r="BG71" s="1" t="s">
        <v>74</v>
      </c>
      <c r="BH71" s="1" t="s">
        <v>74</v>
      </c>
      <c r="BI71" s="1" t="s">
        <v>74</v>
      </c>
      <c r="BJ71" s="1" t="s">
        <v>74</v>
      </c>
      <c r="BK71" s="1" t="s">
        <v>74</v>
      </c>
      <c r="BL71" s="1" t="s">
        <v>74</v>
      </c>
      <c r="BM71" s="1" t="s">
        <v>74</v>
      </c>
      <c r="BN71" s="1">
        <v>1.6579513E7</v>
      </c>
      <c r="BO71" s="1" t="s">
        <v>74</v>
      </c>
      <c r="BP71" s="1" t="s">
        <v>74</v>
      </c>
      <c r="BQ71" s="1" t="s">
        <v>74</v>
      </c>
      <c r="BR71" s="1" t="s">
        <v>74</v>
      </c>
      <c r="BS71" s="1" t="s">
        <v>839</v>
      </c>
      <c r="BT71" s="1" t="str">
        <f>HYPERLINK("https%3A%2F%2Fwww.webofscience.com%2Fwos%2Fwoscc%2Ffull-record%2FWOS:000236190300003","View Full Record in Web of Science")</f>
        <v>View Full Record in Web of Science</v>
      </c>
    </row>
    <row r="72" ht="12.75" customHeight="1">
      <c r="A72" s="1" t="s">
        <v>72</v>
      </c>
      <c r="B72" s="1" t="s">
        <v>840</v>
      </c>
      <c r="C72" s="1" t="s">
        <v>74</v>
      </c>
      <c r="D72" s="1" t="s">
        <v>74</v>
      </c>
      <c r="E72" s="1" t="s">
        <v>74</v>
      </c>
      <c r="F72" s="1" t="s">
        <v>840</v>
      </c>
      <c r="G72" s="1" t="s">
        <v>74</v>
      </c>
      <c r="H72" s="1" t="s">
        <v>74</v>
      </c>
      <c r="I72" s="1" t="s">
        <v>841</v>
      </c>
      <c r="J72" s="1" t="s">
        <v>412</v>
      </c>
      <c r="K72" s="1" t="s">
        <v>74</v>
      </c>
      <c r="L72" s="1" t="s">
        <v>74</v>
      </c>
      <c r="M72" s="1" t="s">
        <v>74</v>
      </c>
      <c r="N72" s="1" t="s">
        <v>74</v>
      </c>
      <c r="O72" s="1" t="s">
        <v>74</v>
      </c>
      <c r="P72" s="1" t="s">
        <v>74</v>
      </c>
      <c r="Q72" s="1" t="s">
        <v>74</v>
      </c>
      <c r="R72" s="1" t="s">
        <v>74</v>
      </c>
      <c r="S72" s="1" t="s">
        <v>74</v>
      </c>
      <c r="T72" s="1" t="s">
        <v>74</v>
      </c>
      <c r="U72" s="1" t="s">
        <v>74</v>
      </c>
      <c r="V72" s="1" t="s">
        <v>842</v>
      </c>
      <c r="W72" s="1" t="s">
        <v>74</v>
      </c>
      <c r="X72" s="1" t="s">
        <v>74</v>
      </c>
      <c r="Y72" s="1" t="s">
        <v>74</v>
      </c>
      <c r="Z72" s="1" t="s">
        <v>74</v>
      </c>
      <c r="AA72" s="1" t="s">
        <v>74</v>
      </c>
      <c r="AB72" s="1" t="s">
        <v>843</v>
      </c>
      <c r="AC72" s="1" t="s">
        <v>74</v>
      </c>
      <c r="AD72" s="1" t="s">
        <v>74</v>
      </c>
      <c r="AE72" s="1" t="s">
        <v>74</v>
      </c>
      <c r="AF72" s="1" t="s">
        <v>74</v>
      </c>
      <c r="AG72" s="1" t="s">
        <v>74</v>
      </c>
      <c r="AH72" s="1" t="s">
        <v>74</v>
      </c>
      <c r="AI72" s="1" t="s">
        <v>74</v>
      </c>
      <c r="AJ72" s="1" t="s">
        <v>74</v>
      </c>
      <c r="AK72" s="1" t="s">
        <v>74</v>
      </c>
      <c r="AL72" s="1" t="s">
        <v>74</v>
      </c>
      <c r="AM72" s="1" t="s">
        <v>74</v>
      </c>
      <c r="AN72" s="1" t="s">
        <v>74</v>
      </c>
      <c r="AO72" s="1" t="s">
        <v>415</v>
      </c>
      <c r="AP72" s="1" t="s">
        <v>416</v>
      </c>
      <c r="AQ72" s="1" t="s">
        <v>74</v>
      </c>
      <c r="AR72" s="1" t="s">
        <v>74</v>
      </c>
      <c r="AS72" s="1" t="s">
        <v>74</v>
      </c>
      <c r="AT72" s="1" t="s">
        <v>406</v>
      </c>
      <c r="AU72" s="1">
        <v>2005.0</v>
      </c>
      <c r="AV72" s="1">
        <v>41.0</v>
      </c>
      <c r="AW72" s="1">
        <v>1.0</v>
      </c>
      <c r="AX72" s="1" t="s">
        <v>74</v>
      </c>
      <c r="AY72" s="1" t="s">
        <v>74</v>
      </c>
      <c r="AZ72" s="1" t="s">
        <v>74</v>
      </c>
      <c r="BA72" s="1" t="s">
        <v>74</v>
      </c>
      <c r="BB72" s="1">
        <v>12.0</v>
      </c>
      <c r="BC72" s="1">
        <v>20.0</v>
      </c>
      <c r="BD72" s="1" t="s">
        <v>74</v>
      </c>
      <c r="BE72" s="1" t="s">
        <v>74</v>
      </c>
      <c r="BF72" s="1" t="s">
        <v>74</v>
      </c>
      <c r="BG72" s="1" t="s">
        <v>74</v>
      </c>
      <c r="BH72" s="1" t="s">
        <v>74</v>
      </c>
      <c r="BI72" s="1" t="s">
        <v>74</v>
      </c>
      <c r="BJ72" s="1" t="s">
        <v>74</v>
      </c>
      <c r="BK72" s="1" t="s">
        <v>74</v>
      </c>
      <c r="BL72" s="1" t="s">
        <v>74</v>
      </c>
      <c r="BM72" s="1" t="s">
        <v>74</v>
      </c>
      <c r="BN72" s="1" t="s">
        <v>74</v>
      </c>
      <c r="BO72" s="1" t="s">
        <v>74</v>
      </c>
      <c r="BP72" s="1" t="s">
        <v>74</v>
      </c>
      <c r="BQ72" s="1" t="s">
        <v>74</v>
      </c>
      <c r="BR72" s="1" t="s">
        <v>74</v>
      </c>
      <c r="BS72" s="1" t="s">
        <v>844</v>
      </c>
      <c r="BT72" s="1" t="str">
        <f>HYPERLINK("https%3A%2F%2Fwww.webofscience.com%2Fwos%2Fwoscc%2Ffull-record%2FWOS:000229107100002","View Full Record in Web of Science")</f>
        <v>View Full Record in Web of Science</v>
      </c>
    </row>
    <row r="73" ht="12.75" customHeight="1">
      <c r="A73" s="1" t="s">
        <v>72</v>
      </c>
      <c r="B73" s="1" t="s">
        <v>845</v>
      </c>
      <c r="C73" s="1" t="s">
        <v>74</v>
      </c>
      <c r="D73" s="1" t="s">
        <v>74</v>
      </c>
      <c r="E73" s="1" t="s">
        <v>74</v>
      </c>
      <c r="F73" s="1" t="s">
        <v>845</v>
      </c>
      <c r="G73" s="1" t="s">
        <v>74</v>
      </c>
      <c r="H73" s="1" t="s">
        <v>74</v>
      </c>
      <c r="I73" s="1" t="s">
        <v>846</v>
      </c>
      <c r="J73" s="1" t="s">
        <v>847</v>
      </c>
      <c r="K73" s="1" t="s">
        <v>74</v>
      </c>
      <c r="L73" s="1" t="s">
        <v>74</v>
      </c>
      <c r="M73" s="1" t="s">
        <v>74</v>
      </c>
      <c r="N73" s="1" t="s">
        <v>74</v>
      </c>
      <c r="O73" s="1" t="s">
        <v>74</v>
      </c>
      <c r="P73" s="1" t="s">
        <v>74</v>
      </c>
      <c r="Q73" s="1" t="s">
        <v>74</v>
      </c>
      <c r="R73" s="1" t="s">
        <v>74</v>
      </c>
      <c r="S73" s="1" t="s">
        <v>74</v>
      </c>
      <c r="T73" s="1" t="s">
        <v>74</v>
      </c>
      <c r="U73" s="1" t="s">
        <v>74</v>
      </c>
      <c r="V73" s="1" t="s">
        <v>848</v>
      </c>
      <c r="W73" s="1" t="s">
        <v>74</v>
      </c>
      <c r="X73" s="1" t="s">
        <v>74</v>
      </c>
      <c r="Y73" s="1" t="s">
        <v>74</v>
      </c>
      <c r="Z73" s="1" t="s">
        <v>74</v>
      </c>
      <c r="AA73" s="1" t="s">
        <v>849</v>
      </c>
      <c r="AB73" s="1" t="s">
        <v>850</v>
      </c>
      <c r="AC73" s="1" t="s">
        <v>74</v>
      </c>
      <c r="AD73" s="1" t="s">
        <v>74</v>
      </c>
      <c r="AE73" s="1" t="s">
        <v>74</v>
      </c>
      <c r="AF73" s="1" t="s">
        <v>74</v>
      </c>
      <c r="AG73" s="1" t="s">
        <v>74</v>
      </c>
      <c r="AH73" s="1" t="s">
        <v>74</v>
      </c>
      <c r="AI73" s="1" t="s">
        <v>74</v>
      </c>
      <c r="AJ73" s="1" t="s">
        <v>74</v>
      </c>
      <c r="AK73" s="1" t="s">
        <v>74</v>
      </c>
      <c r="AL73" s="1" t="s">
        <v>74</v>
      </c>
      <c r="AM73" s="1" t="s">
        <v>74</v>
      </c>
      <c r="AN73" s="1" t="s">
        <v>74</v>
      </c>
      <c r="AO73" s="1" t="s">
        <v>851</v>
      </c>
      <c r="AP73" s="1" t="s">
        <v>852</v>
      </c>
      <c r="AQ73" s="1" t="s">
        <v>74</v>
      </c>
      <c r="AR73" s="1" t="s">
        <v>74</v>
      </c>
      <c r="AS73" s="1" t="s">
        <v>74</v>
      </c>
      <c r="AT73" s="1" t="s">
        <v>461</v>
      </c>
      <c r="AU73" s="1">
        <v>2004.0</v>
      </c>
      <c r="AV73" s="1">
        <v>37.0</v>
      </c>
      <c r="AW73" s="1">
        <v>9.0</v>
      </c>
      <c r="AX73" s="1" t="s">
        <v>74</v>
      </c>
      <c r="AY73" s="1" t="s">
        <v>74</v>
      </c>
      <c r="AZ73" s="1" t="s">
        <v>74</v>
      </c>
      <c r="BA73" s="1" t="s">
        <v>74</v>
      </c>
      <c r="BB73" s="1">
        <v>703.0</v>
      </c>
      <c r="BC73" s="1">
        <v>710.0</v>
      </c>
      <c r="BD73" s="1" t="s">
        <v>74</v>
      </c>
      <c r="BE73" s="1" t="s">
        <v>853</v>
      </c>
      <c r="BF73" s="2" t="str">
        <f>HYPERLINK("http://dx.doi.org/10.1021/ar030152+","http://dx.doi.org/10.1021/ar030152+")</f>
        <v>http://dx.doi.org/10.1021/ar030152+</v>
      </c>
      <c r="BG73" s="1" t="s">
        <v>74</v>
      </c>
      <c r="BH73" s="1" t="s">
        <v>74</v>
      </c>
      <c r="BI73" s="1" t="s">
        <v>74</v>
      </c>
      <c r="BJ73" s="1" t="s">
        <v>74</v>
      </c>
      <c r="BK73" s="1" t="s">
        <v>74</v>
      </c>
      <c r="BL73" s="1" t="s">
        <v>74</v>
      </c>
      <c r="BM73" s="1" t="s">
        <v>74</v>
      </c>
      <c r="BN73" s="1">
        <v>1.5379585E7</v>
      </c>
      <c r="BO73" s="1" t="s">
        <v>74</v>
      </c>
      <c r="BP73" s="1" t="s">
        <v>74</v>
      </c>
      <c r="BQ73" s="1" t="s">
        <v>74</v>
      </c>
      <c r="BR73" s="1" t="s">
        <v>74</v>
      </c>
      <c r="BS73" s="1" t="s">
        <v>854</v>
      </c>
      <c r="BT73" s="1" t="str">
        <f>HYPERLINK("https%3A%2F%2Fwww.webofscience.com%2Fwos%2Fwoscc%2Ffull-record%2FWOS:000224008700007","View Full Record in Web of Science")</f>
        <v>View Full Record in Web of Science</v>
      </c>
    </row>
    <row r="74" ht="12.75" customHeight="1">
      <c r="A74" s="1" t="s">
        <v>72</v>
      </c>
      <c r="B74" s="1" t="s">
        <v>855</v>
      </c>
      <c r="C74" s="1" t="s">
        <v>74</v>
      </c>
      <c r="D74" s="1" t="s">
        <v>74</v>
      </c>
      <c r="E74" s="1" t="s">
        <v>74</v>
      </c>
      <c r="F74" s="1" t="s">
        <v>855</v>
      </c>
      <c r="G74" s="1" t="s">
        <v>74</v>
      </c>
      <c r="H74" s="1" t="s">
        <v>74</v>
      </c>
      <c r="I74" s="1" t="s">
        <v>856</v>
      </c>
      <c r="J74" s="1" t="s">
        <v>857</v>
      </c>
      <c r="K74" s="1" t="s">
        <v>74</v>
      </c>
      <c r="L74" s="1" t="s">
        <v>74</v>
      </c>
      <c r="M74" s="1" t="s">
        <v>74</v>
      </c>
      <c r="N74" s="1" t="s">
        <v>74</v>
      </c>
      <c r="O74" s="1" t="s">
        <v>74</v>
      </c>
      <c r="P74" s="1" t="s">
        <v>74</v>
      </c>
      <c r="Q74" s="1" t="s">
        <v>74</v>
      </c>
      <c r="R74" s="1" t="s">
        <v>74</v>
      </c>
      <c r="S74" s="1" t="s">
        <v>74</v>
      </c>
      <c r="T74" s="1" t="s">
        <v>74</v>
      </c>
      <c r="U74" s="1" t="s">
        <v>74</v>
      </c>
      <c r="V74" s="1" t="s">
        <v>858</v>
      </c>
      <c r="W74" s="1" t="s">
        <v>74</v>
      </c>
      <c r="X74" s="1" t="s">
        <v>74</v>
      </c>
      <c r="Y74" s="1" t="s">
        <v>74</v>
      </c>
      <c r="Z74" s="1" t="s">
        <v>74</v>
      </c>
      <c r="AA74" s="1" t="s">
        <v>859</v>
      </c>
      <c r="AB74" s="1" t="s">
        <v>860</v>
      </c>
      <c r="AC74" s="1" t="s">
        <v>74</v>
      </c>
      <c r="AD74" s="1" t="s">
        <v>74</v>
      </c>
      <c r="AE74" s="1" t="s">
        <v>74</v>
      </c>
      <c r="AF74" s="1" t="s">
        <v>74</v>
      </c>
      <c r="AG74" s="1" t="s">
        <v>74</v>
      </c>
      <c r="AH74" s="1" t="s">
        <v>74</v>
      </c>
      <c r="AI74" s="1" t="s">
        <v>74</v>
      </c>
      <c r="AJ74" s="1" t="s">
        <v>74</v>
      </c>
      <c r="AK74" s="1" t="s">
        <v>74</v>
      </c>
      <c r="AL74" s="1" t="s">
        <v>74</v>
      </c>
      <c r="AM74" s="1" t="s">
        <v>74</v>
      </c>
      <c r="AN74" s="1" t="s">
        <v>74</v>
      </c>
      <c r="AO74" s="1" t="s">
        <v>861</v>
      </c>
      <c r="AP74" s="1" t="s">
        <v>74</v>
      </c>
      <c r="AQ74" s="1" t="s">
        <v>74</v>
      </c>
      <c r="AR74" s="1" t="s">
        <v>74</v>
      </c>
      <c r="AS74" s="1" t="s">
        <v>74</v>
      </c>
      <c r="AT74" s="1" t="s">
        <v>862</v>
      </c>
      <c r="AU74" s="1">
        <v>2002.0</v>
      </c>
      <c r="AV74" s="1">
        <v>40.0</v>
      </c>
      <c r="AW74" s="1">
        <v>16.0</v>
      </c>
      <c r="AX74" s="1" t="s">
        <v>74</v>
      </c>
      <c r="AY74" s="1" t="s">
        <v>74</v>
      </c>
      <c r="AZ74" s="1" t="s">
        <v>74</v>
      </c>
      <c r="BA74" s="1" t="s">
        <v>74</v>
      </c>
      <c r="BB74" s="1">
        <v>2888.0</v>
      </c>
      <c r="BC74" s="1">
        <v>2893.0</v>
      </c>
      <c r="BD74" s="1" t="s">
        <v>74</v>
      </c>
      <c r="BE74" s="1" t="s">
        <v>863</v>
      </c>
      <c r="BF74" s="2" t="str">
        <f>HYPERLINK("http://dx.doi.org/10.1002/pola.10382","http://dx.doi.org/10.1002/pola.10382")</f>
        <v>http://dx.doi.org/10.1002/pola.10382</v>
      </c>
      <c r="BG74" s="1" t="s">
        <v>74</v>
      </c>
      <c r="BH74" s="1" t="s">
        <v>74</v>
      </c>
      <c r="BI74" s="1" t="s">
        <v>74</v>
      </c>
      <c r="BJ74" s="1" t="s">
        <v>74</v>
      </c>
      <c r="BK74" s="1" t="s">
        <v>74</v>
      </c>
      <c r="BL74" s="1" t="s">
        <v>74</v>
      </c>
      <c r="BM74" s="1" t="s">
        <v>74</v>
      </c>
      <c r="BN74" s="1" t="s">
        <v>74</v>
      </c>
      <c r="BO74" s="1" t="s">
        <v>74</v>
      </c>
      <c r="BP74" s="1" t="s">
        <v>74</v>
      </c>
      <c r="BQ74" s="1" t="s">
        <v>74</v>
      </c>
      <c r="BR74" s="1" t="s">
        <v>74</v>
      </c>
      <c r="BS74" s="1" t="s">
        <v>864</v>
      </c>
      <c r="BT74" s="1" t="str">
        <f>HYPERLINK("https%3A%2F%2Fwww.webofscience.com%2Fwos%2Fwoscc%2Ffull-record%2FWOS:000176994300018","View Full Record in Web of Science")</f>
        <v>View Full Record in Web of Science</v>
      </c>
    </row>
    <row r="75" ht="12.75" customHeight="1">
      <c r="A75" s="1" t="s">
        <v>72</v>
      </c>
      <c r="B75" s="1" t="s">
        <v>865</v>
      </c>
      <c r="C75" s="1" t="s">
        <v>74</v>
      </c>
      <c r="D75" s="1" t="s">
        <v>74</v>
      </c>
      <c r="E75" s="1" t="s">
        <v>74</v>
      </c>
      <c r="F75" s="1" t="s">
        <v>865</v>
      </c>
      <c r="G75" s="1" t="s">
        <v>74</v>
      </c>
      <c r="H75" s="1" t="s">
        <v>74</v>
      </c>
      <c r="I75" s="1" t="s">
        <v>866</v>
      </c>
      <c r="J75" s="1" t="s">
        <v>453</v>
      </c>
      <c r="K75" s="1" t="s">
        <v>74</v>
      </c>
      <c r="L75" s="1" t="s">
        <v>74</v>
      </c>
      <c r="M75" s="1" t="s">
        <v>74</v>
      </c>
      <c r="N75" s="1" t="s">
        <v>74</v>
      </c>
      <c r="O75" s="1" t="s">
        <v>74</v>
      </c>
      <c r="P75" s="1" t="s">
        <v>74</v>
      </c>
      <c r="Q75" s="1" t="s">
        <v>74</v>
      </c>
      <c r="R75" s="1" t="s">
        <v>74</v>
      </c>
      <c r="S75" s="1" t="s">
        <v>74</v>
      </c>
      <c r="T75" s="1" t="s">
        <v>74</v>
      </c>
      <c r="U75" s="1" t="s">
        <v>74</v>
      </c>
      <c r="V75" s="1" t="s">
        <v>867</v>
      </c>
      <c r="W75" s="1" t="s">
        <v>74</v>
      </c>
      <c r="X75" s="1" t="s">
        <v>74</v>
      </c>
      <c r="Y75" s="1" t="s">
        <v>74</v>
      </c>
      <c r="Z75" s="1" t="s">
        <v>74</v>
      </c>
      <c r="AA75" s="1" t="s">
        <v>868</v>
      </c>
      <c r="AB75" s="1" t="s">
        <v>869</v>
      </c>
      <c r="AC75" s="1" t="s">
        <v>74</v>
      </c>
      <c r="AD75" s="1" t="s">
        <v>74</v>
      </c>
      <c r="AE75" s="1" t="s">
        <v>74</v>
      </c>
      <c r="AF75" s="1" t="s">
        <v>74</v>
      </c>
      <c r="AG75" s="1" t="s">
        <v>74</v>
      </c>
      <c r="AH75" s="1" t="s">
        <v>74</v>
      </c>
      <c r="AI75" s="1" t="s">
        <v>74</v>
      </c>
      <c r="AJ75" s="1" t="s">
        <v>74</v>
      </c>
      <c r="AK75" s="1" t="s">
        <v>74</v>
      </c>
      <c r="AL75" s="1" t="s">
        <v>74</v>
      </c>
      <c r="AM75" s="1" t="s">
        <v>74</v>
      </c>
      <c r="AN75" s="1" t="s">
        <v>74</v>
      </c>
      <c r="AO75" s="1" t="s">
        <v>460</v>
      </c>
      <c r="AP75" s="1" t="s">
        <v>74</v>
      </c>
      <c r="AQ75" s="1" t="s">
        <v>74</v>
      </c>
      <c r="AR75" s="1" t="s">
        <v>74</v>
      </c>
      <c r="AS75" s="1" t="s">
        <v>74</v>
      </c>
      <c r="AT75" s="1" t="s">
        <v>554</v>
      </c>
      <c r="AU75" s="1">
        <v>2000.0</v>
      </c>
      <c r="AV75" s="1">
        <v>45.0</v>
      </c>
      <c r="AW75" s="1">
        <v>2.0</v>
      </c>
      <c r="AX75" s="1" t="s">
        <v>74</v>
      </c>
      <c r="AY75" s="1" t="s">
        <v>74</v>
      </c>
      <c r="AZ75" s="1" t="s">
        <v>74</v>
      </c>
      <c r="BA75" s="1" t="s">
        <v>74</v>
      </c>
      <c r="BB75" s="1">
        <v>243.0</v>
      </c>
      <c r="BC75" s="1">
        <v>250.0</v>
      </c>
      <c r="BD75" s="1" t="s">
        <v>74</v>
      </c>
      <c r="BE75" s="1" t="s">
        <v>74</v>
      </c>
      <c r="BF75" s="1" t="s">
        <v>74</v>
      </c>
      <c r="BG75" s="1" t="s">
        <v>74</v>
      </c>
      <c r="BH75" s="1" t="s">
        <v>74</v>
      </c>
      <c r="BI75" s="1" t="s">
        <v>74</v>
      </c>
      <c r="BJ75" s="1" t="s">
        <v>74</v>
      </c>
      <c r="BK75" s="1" t="s">
        <v>74</v>
      </c>
      <c r="BL75" s="1" t="s">
        <v>74</v>
      </c>
      <c r="BM75" s="1" t="s">
        <v>74</v>
      </c>
      <c r="BN75" s="1" t="s">
        <v>74</v>
      </c>
      <c r="BO75" s="1" t="s">
        <v>74</v>
      </c>
      <c r="BP75" s="1" t="s">
        <v>74</v>
      </c>
      <c r="BQ75" s="1" t="s">
        <v>74</v>
      </c>
      <c r="BR75" s="1" t="s">
        <v>74</v>
      </c>
      <c r="BS75" s="1" t="s">
        <v>870</v>
      </c>
      <c r="BT75" s="1" t="str">
        <f>HYPERLINK("https%3A%2F%2Fwww.webofscience.com%2Fwos%2Fwoscc%2Ffull-record%2FWOS:000088306000011","View Full Record in Web of Science")</f>
        <v>View Full Record in Web of Science</v>
      </c>
    </row>
    <row r="76" ht="12.75" customHeight="1">
      <c r="A76" s="1" t="s">
        <v>72</v>
      </c>
      <c r="B76" s="1" t="s">
        <v>871</v>
      </c>
      <c r="C76" s="1" t="s">
        <v>74</v>
      </c>
      <c r="D76" s="1" t="s">
        <v>74</v>
      </c>
      <c r="E76" s="1" t="s">
        <v>74</v>
      </c>
      <c r="F76" s="1" t="s">
        <v>871</v>
      </c>
      <c r="G76" s="1" t="s">
        <v>74</v>
      </c>
      <c r="H76" s="1" t="s">
        <v>74</v>
      </c>
      <c r="I76" s="1" t="s">
        <v>872</v>
      </c>
      <c r="J76" s="1" t="s">
        <v>873</v>
      </c>
      <c r="K76" s="1" t="s">
        <v>74</v>
      </c>
      <c r="L76" s="1" t="s">
        <v>74</v>
      </c>
      <c r="M76" s="1" t="s">
        <v>74</v>
      </c>
      <c r="N76" s="1" t="s">
        <v>74</v>
      </c>
      <c r="O76" s="1" t="s">
        <v>74</v>
      </c>
      <c r="P76" s="1" t="s">
        <v>74</v>
      </c>
      <c r="Q76" s="1" t="s">
        <v>74</v>
      </c>
      <c r="R76" s="1" t="s">
        <v>74</v>
      </c>
      <c r="S76" s="1" t="s">
        <v>74</v>
      </c>
      <c r="T76" s="1" t="s">
        <v>74</v>
      </c>
      <c r="U76" s="1" t="s">
        <v>74</v>
      </c>
      <c r="V76" s="1" t="s">
        <v>874</v>
      </c>
      <c r="W76" s="1" t="s">
        <v>74</v>
      </c>
      <c r="X76" s="1" t="s">
        <v>74</v>
      </c>
      <c r="Y76" s="1" t="s">
        <v>74</v>
      </c>
      <c r="Z76" s="1" t="s">
        <v>74</v>
      </c>
      <c r="AA76" s="1" t="s">
        <v>875</v>
      </c>
      <c r="AB76" s="1" t="s">
        <v>876</v>
      </c>
      <c r="AC76" s="1" t="s">
        <v>74</v>
      </c>
      <c r="AD76" s="1" t="s">
        <v>74</v>
      </c>
      <c r="AE76" s="1" t="s">
        <v>74</v>
      </c>
      <c r="AF76" s="1" t="s">
        <v>74</v>
      </c>
      <c r="AG76" s="1" t="s">
        <v>74</v>
      </c>
      <c r="AH76" s="1" t="s">
        <v>74</v>
      </c>
      <c r="AI76" s="1" t="s">
        <v>74</v>
      </c>
      <c r="AJ76" s="1" t="s">
        <v>74</v>
      </c>
      <c r="AK76" s="1" t="s">
        <v>74</v>
      </c>
      <c r="AL76" s="1" t="s">
        <v>74</v>
      </c>
      <c r="AM76" s="1" t="s">
        <v>74</v>
      </c>
      <c r="AN76" s="1" t="s">
        <v>74</v>
      </c>
      <c r="AO76" s="1" t="s">
        <v>877</v>
      </c>
      <c r="AP76" s="1" t="s">
        <v>74</v>
      </c>
      <c r="AQ76" s="1" t="s">
        <v>74</v>
      </c>
      <c r="AR76" s="1" t="s">
        <v>74</v>
      </c>
      <c r="AS76" s="1" t="s">
        <v>74</v>
      </c>
      <c r="AT76" s="1" t="s">
        <v>878</v>
      </c>
      <c r="AU76" s="1">
        <v>1999.0</v>
      </c>
      <c r="AV76" s="1">
        <v>348.0</v>
      </c>
      <c r="AW76" s="1" t="s">
        <v>428</v>
      </c>
      <c r="AX76" s="1" t="s">
        <v>74</v>
      </c>
      <c r="AY76" s="1" t="s">
        <v>74</v>
      </c>
      <c r="AZ76" s="1" t="s">
        <v>74</v>
      </c>
      <c r="BA76" s="1" t="s">
        <v>74</v>
      </c>
      <c r="BB76" s="1">
        <v>44.0</v>
      </c>
      <c r="BC76" s="1">
        <v>48.0</v>
      </c>
      <c r="BD76" s="1" t="s">
        <v>74</v>
      </c>
      <c r="BE76" s="1" t="s">
        <v>879</v>
      </c>
      <c r="BF76" s="2" t="str">
        <f>HYPERLINK("http://dx.doi.org/10.1016/S0040-6090(99)00007-3","http://dx.doi.org/10.1016/S0040-6090(99)00007-3")</f>
        <v>http://dx.doi.org/10.1016/S0040-6090(99)00007-3</v>
      </c>
      <c r="BG76" s="1" t="s">
        <v>74</v>
      </c>
      <c r="BH76" s="1" t="s">
        <v>74</v>
      </c>
      <c r="BI76" s="1" t="s">
        <v>74</v>
      </c>
      <c r="BJ76" s="1" t="s">
        <v>74</v>
      </c>
      <c r="BK76" s="1" t="s">
        <v>74</v>
      </c>
      <c r="BL76" s="1" t="s">
        <v>74</v>
      </c>
      <c r="BM76" s="1" t="s">
        <v>74</v>
      </c>
      <c r="BN76" s="1" t="s">
        <v>74</v>
      </c>
      <c r="BO76" s="1" t="s">
        <v>74</v>
      </c>
      <c r="BP76" s="1" t="s">
        <v>74</v>
      </c>
      <c r="BQ76" s="1" t="s">
        <v>74</v>
      </c>
      <c r="BR76" s="1" t="s">
        <v>74</v>
      </c>
      <c r="BS76" s="1" t="s">
        <v>880</v>
      </c>
      <c r="BT76" s="1" t="str">
        <f>HYPERLINK("https%3A%2F%2Fwww.webofscience.com%2Fwos%2Fwoscc%2Ffull-record%2FWOS:000081019700008","View Full Record in Web of Science")</f>
        <v>View Full Record in Web of Science</v>
      </c>
    </row>
    <row r="77" ht="12.75" customHeight="1">
      <c r="A77" s="1" t="s">
        <v>72</v>
      </c>
      <c r="B77" s="1" t="s">
        <v>881</v>
      </c>
      <c r="C77" s="1" t="s">
        <v>74</v>
      </c>
      <c r="D77" s="1" t="s">
        <v>74</v>
      </c>
      <c r="E77" s="1" t="s">
        <v>74</v>
      </c>
      <c r="F77" s="1" t="s">
        <v>881</v>
      </c>
      <c r="G77" s="1" t="s">
        <v>74</v>
      </c>
      <c r="H77" s="1" t="s">
        <v>74</v>
      </c>
      <c r="I77" s="1" t="s">
        <v>882</v>
      </c>
      <c r="J77" s="1" t="s">
        <v>883</v>
      </c>
      <c r="K77" s="1" t="s">
        <v>74</v>
      </c>
      <c r="L77" s="1" t="s">
        <v>74</v>
      </c>
      <c r="M77" s="1" t="s">
        <v>74</v>
      </c>
      <c r="N77" s="1" t="s">
        <v>74</v>
      </c>
      <c r="O77" s="1" t="s">
        <v>74</v>
      </c>
      <c r="P77" s="1" t="s">
        <v>74</v>
      </c>
      <c r="Q77" s="1" t="s">
        <v>74</v>
      </c>
      <c r="R77" s="1" t="s">
        <v>74</v>
      </c>
      <c r="S77" s="1" t="s">
        <v>74</v>
      </c>
      <c r="T77" s="1" t="s">
        <v>74</v>
      </c>
      <c r="U77" s="1" t="s">
        <v>74</v>
      </c>
      <c r="V77" s="1" t="s">
        <v>884</v>
      </c>
      <c r="W77" s="1" t="s">
        <v>74</v>
      </c>
      <c r="X77" s="1" t="s">
        <v>74</v>
      </c>
      <c r="Y77" s="1" t="s">
        <v>74</v>
      </c>
      <c r="Z77" s="1" t="s">
        <v>74</v>
      </c>
      <c r="AA77" s="1" t="s">
        <v>74</v>
      </c>
      <c r="AB77" s="1" t="s">
        <v>74</v>
      </c>
      <c r="AC77" s="1" t="s">
        <v>74</v>
      </c>
      <c r="AD77" s="1" t="s">
        <v>74</v>
      </c>
      <c r="AE77" s="1" t="s">
        <v>74</v>
      </c>
      <c r="AF77" s="1" t="s">
        <v>74</v>
      </c>
      <c r="AG77" s="1" t="s">
        <v>74</v>
      </c>
      <c r="AH77" s="1" t="s">
        <v>74</v>
      </c>
      <c r="AI77" s="1" t="s">
        <v>74</v>
      </c>
      <c r="AJ77" s="1" t="s">
        <v>74</v>
      </c>
      <c r="AK77" s="1" t="s">
        <v>74</v>
      </c>
      <c r="AL77" s="1" t="s">
        <v>74</v>
      </c>
      <c r="AM77" s="1" t="s">
        <v>74</v>
      </c>
      <c r="AN77" s="1" t="s">
        <v>74</v>
      </c>
      <c r="AO77" s="1" t="s">
        <v>885</v>
      </c>
      <c r="AP77" s="1" t="s">
        <v>74</v>
      </c>
      <c r="AQ77" s="1" t="s">
        <v>74</v>
      </c>
      <c r="AR77" s="1" t="s">
        <v>74</v>
      </c>
      <c r="AS77" s="1" t="s">
        <v>74</v>
      </c>
      <c r="AT77" s="1" t="s">
        <v>164</v>
      </c>
      <c r="AU77" s="1">
        <v>1994.0</v>
      </c>
      <c r="AV77" s="1">
        <v>48.0</v>
      </c>
      <c r="AW77" s="1">
        <v>7.0</v>
      </c>
      <c r="AX77" s="1" t="s">
        <v>74</v>
      </c>
      <c r="AY77" s="1" t="s">
        <v>74</v>
      </c>
      <c r="AZ77" s="1" t="s">
        <v>74</v>
      </c>
      <c r="BA77" s="1" t="s">
        <v>74</v>
      </c>
      <c r="BB77" s="1">
        <v>538.0</v>
      </c>
      <c r="BC77" s="1">
        <v>548.0</v>
      </c>
      <c r="BD77" s="1" t="s">
        <v>74</v>
      </c>
      <c r="BE77" s="1" t="s">
        <v>74</v>
      </c>
      <c r="BF77" s="1" t="s">
        <v>74</v>
      </c>
      <c r="BG77" s="1" t="s">
        <v>74</v>
      </c>
      <c r="BH77" s="1" t="s">
        <v>74</v>
      </c>
      <c r="BI77" s="1" t="s">
        <v>74</v>
      </c>
      <c r="BJ77" s="1" t="s">
        <v>74</v>
      </c>
      <c r="BK77" s="1" t="s">
        <v>74</v>
      </c>
      <c r="BL77" s="1" t="s">
        <v>74</v>
      </c>
      <c r="BM77" s="1" t="s">
        <v>74</v>
      </c>
      <c r="BN77" s="1" t="s">
        <v>74</v>
      </c>
      <c r="BO77" s="1" t="s">
        <v>74</v>
      </c>
      <c r="BP77" s="1" t="s">
        <v>74</v>
      </c>
      <c r="BQ77" s="1" t="s">
        <v>74</v>
      </c>
      <c r="BR77" s="1" t="s">
        <v>74</v>
      </c>
      <c r="BS77" s="1" t="s">
        <v>886</v>
      </c>
      <c r="BT77" s="1" t="str">
        <f>HYPERLINK("https%3A%2F%2Fwww.webofscience.com%2Fwos%2Fwoscc%2Ffull-record%2FWOS:A1994PA88600008","View Full Record in Web of Science")</f>
        <v>View Full Record in Web of Science</v>
      </c>
    </row>
    <row r="78" ht="12.75" customHeight="1">
      <c r="A78" s="1" t="s">
        <v>72</v>
      </c>
      <c r="B78" s="1" t="s">
        <v>887</v>
      </c>
      <c r="C78" s="1" t="s">
        <v>74</v>
      </c>
      <c r="D78" s="1" t="s">
        <v>74</v>
      </c>
      <c r="E78" s="1" t="s">
        <v>74</v>
      </c>
      <c r="F78" s="1" t="s">
        <v>888</v>
      </c>
      <c r="G78" s="1" t="s">
        <v>74</v>
      </c>
      <c r="H78" s="1" t="s">
        <v>74</v>
      </c>
      <c r="I78" s="1" t="s">
        <v>889</v>
      </c>
      <c r="J78" s="1" t="s">
        <v>890</v>
      </c>
      <c r="K78" s="1" t="s">
        <v>74</v>
      </c>
      <c r="L78" s="1" t="s">
        <v>74</v>
      </c>
      <c r="M78" s="1" t="s">
        <v>74</v>
      </c>
      <c r="N78" s="1" t="s">
        <v>74</v>
      </c>
      <c r="O78" s="1" t="s">
        <v>74</v>
      </c>
      <c r="P78" s="1" t="s">
        <v>74</v>
      </c>
      <c r="Q78" s="1" t="s">
        <v>74</v>
      </c>
      <c r="R78" s="1" t="s">
        <v>74</v>
      </c>
      <c r="S78" s="1" t="s">
        <v>74</v>
      </c>
      <c r="T78" s="1" t="s">
        <v>74</v>
      </c>
      <c r="U78" s="1" t="s">
        <v>74</v>
      </c>
      <c r="V78" s="1" t="s">
        <v>891</v>
      </c>
      <c r="W78" s="1" t="s">
        <v>74</v>
      </c>
      <c r="X78" s="1" t="s">
        <v>74</v>
      </c>
      <c r="Y78" s="1" t="s">
        <v>74</v>
      </c>
      <c r="Z78" s="1" t="s">
        <v>74</v>
      </c>
      <c r="AA78" s="1" t="s">
        <v>892</v>
      </c>
      <c r="AB78" s="1" t="s">
        <v>74</v>
      </c>
      <c r="AC78" s="1" t="s">
        <v>74</v>
      </c>
      <c r="AD78" s="1" t="s">
        <v>74</v>
      </c>
      <c r="AE78" s="1" t="s">
        <v>74</v>
      </c>
      <c r="AF78" s="1" t="s">
        <v>74</v>
      </c>
      <c r="AG78" s="1" t="s">
        <v>74</v>
      </c>
      <c r="AH78" s="1" t="s">
        <v>74</v>
      </c>
      <c r="AI78" s="1" t="s">
        <v>74</v>
      </c>
      <c r="AJ78" s="1" t="s">
        <v>74</v>
      </c>
      <c r="AK78" s="1" t="s">
        <v>74</v>
      </c>
      <c r="AL78" s="1" t="s">
        <v>74</v>
      </c>
      <c r="AM78" s="1" t="s">
        <v>74</v>
      </c>
      <c r="AN78" s="1" t="s">
        <v>74</v>
      </c>
      <c r="AO78" s="1" t="s">
        <v>74</v>
      </c>
      <c r="AP78" s="1" t="s">
        <v>893</v>
      </c>
      <c r="AQ78" s="1" t="s">
        <v>74</v>
      </c>
      <c r="AR78" s="1" t="s">
        <v>74</v>
      </c>
      <c r="AS78" s="1" t="s">
        <v>74</v>
      </c>
      <c r="AT78" s="1" t="s">
        <v>554</v>
      </c>
      <c r="AU78" s="1">
        <v>2025.0</v>
      </c>
      <c r="AV78" s="1">
        <v>13.0</v>
      </c>
      <c r="AW78" s="1" t="s">
        <v>74</v>
      </c>
      <c r="AX78" s="1" t="s">
        <v>74</v>
      </c>
      <c r="AY78" s="1" t="s">
        <v>74</v>
      </c>
      <c r="AZ78" s="1" t="s">
        <v>74</v>
      </c>
      <c r="BA78" s="1" t="s">
        <v>74</v>
      </c>
      <c r="BB78" s="1" t="s">
        <v>74</v>
      </c>
      <c r="BC78" s="1" t="s">
        <v>74</v>
      </c>
      <c r="BD78" s="1">
        <v>100243.0</v>
      </c>
      <c r="BE78" s="1" t="s">
        <v>894</v>
      </c>
      <c r="BF78" s="2" t="str">
        <f>HYPERLINK("http://dx.doi.org/10.1016/j.greeac.2025.100243","http://dx.doi.org/10.1016/j.greeac.2025.100243")</f>
        <v>http://dx.doi.org/10.1016/j.greeac.2025.100243</v>
      </c>
      <c r="BG78" s="1" t="s">
        <v>74</v>
      </c>
      <c r="BH78" s="1" t="s">
        <v>74</v>
      </c>
      <c r="BI78" s="1" t="s">
        <v>74</v>
      </c>
      <c r="BJ78" s="1" t="s">
        <v>74</v>
      </c>
      <c r="BK78" s="1" t="s">
        <v>74</v>
      </c>
      <c r="BL78" s="1" t="s">
        <v>74</v>
      </c>
      <c r="BM78" s="1" t="s">
        <v>74</v>
      </c>
      <c r="BN78" s="1" t="s">
        <v>74</v>
      </c>
      <c r="BO78" s="1" t="s">
        <v>74</v>
      </c>
      <c r="BP78" s="1" t="s">
        <v>74</v>
      </c>
      <c r="BQ78" s="1" t="s">
        <v>74</v>
      </c>
      <c r="BR78" s="1" t="s">
        <v>74</v>
      </c>
      <c r="BS78" s="1" t="s">
        <v>895</v>
      </c>
      <c r="BT78" s="1" t="str">
        <f>HYPERLINK("https%3A%2F%2Fwww.webofscience.com%2Fwos%2Fwoscc%2Ffull-record%2FWOS:001469395500001","View Full Record in Web of Science")</f>
        <v>View Full Record in Web of Science</v>
      </c>
    </row>
    <row r="79" ht="12.75" customHeight="1">
      <c r="A79" s="1" t="s">
        <v>72</v>
      </c>
      <c r="B79" s="1" t="s">
        <v>896</v>
      </c>
      <c r="C79" s="1" t="s">
        <v>74</v>
      </c>
      <c r="D79" s="1" t="s">
        <v>74</v>
      </c>
      <c r="E79" s="1" t="s">
        <v>74</v>
      </c>
      <c r="F79" s="1" t="s">
        <v>897</v>
      </c>
      <c r="G79" s="1" t="s">
        <v>74</v>
      </c>
      <c r="H79" s="1" t="s">
        <v>74</v>
      </c>
      <c r="I79" s="1" t="s">
        <v>898</v>
      </c>
      <c r="J79" s="1" t="s">
        <v>899</v>
      </c>
      <c r="K79" s="1" t="s">
        <v>74</v>
      </c>
      <c r="L79" s="1" t="s">
        <v>74</v>
      </c>
      <c r="M79" s="1" t="s">
        <v>74</v>
      </c>
      <c r="N79" s="1" t="s">
        <v>74</v>
      </c>
      <c r="O79" s="1" t="s">
        <v>74</v>
      </c>
      <c r="P79" s="1" t="s">
        <v>74</v>
      </c>
      <c r="Q79" s="1" t="s">
        <v>74</v>
      </c>
      <c r="R79" s="1" t="s">
        <v>74</v>
      </c>
      <c r="S79" s="1" t="s">
        <v>74</v>
      </c>
      <c r="T79" s="1" t="s">
        <v>74</v>
      </c>
      <c r="U79" s="1" t="s">
        <v>74</v>
      </c>
      <c r="V79" s="1" t="s">
        <v>900</v>
      </c>
      <c r="W79" s="1" t="s">
        <v>74</v>
      </c>
      <c r="X79" s="1" t="s">
        <v>74</v>
      </c>
      <c r="Y79" s="1" t="s">
        <v>74</v>
      </c>
      <c r="Z79" s="1" t="s">
        <v>74</v>
      </c>
      <c r="AA79" s="1" t="s">
        <v>901</v>
      </c>
      <c r="AB79" s="1" t="s">
        <v>74</v>
      </c>
      <c r="AC79" s="1" t="s">
        <v>74</v>
      </c>
      <c r="AD79" s="1" t="s">
        <v>74</v>
      </c>
      <c r="AE79" s="1" t="s">
        <v>74</v>
      </c>
      <c r="AF79" s="1" t="s">
        <v>74</v>
      </c>
      <c r="AG79" s="1" t="s">
        <v>74</v>
      </c>
      <c r="AH79" s="1" t="s">
        <v>74</v>
      </c>
      <c r="AI79" s="1" t="s">
        <v>74</v>
      </c>
      <c r="AJ79" s="1" t="s">
        <v>74</v>
      </c>
      <c r="AK79" s="1" t="s">
        <v>74</v>
      </c>
      <c r="AL79" s="1" t="s">
        <v>74</v>
      </c>
      <c r="AM79" s="1" t="s">
        <v>74</v>
      </c>
      <c r="AN79" s="1" t="s">
        <v>74</v>
      </c>
      <c r="AO79" s="1" t="s">
        <v>902</v>
      </c>
      <c r="AP79" s="1" t="s">
        <v>74</v>
      </c>
      <c r="AQ79" s="1" t="s">
        <v>74</v>
      </c>
      <c r="AR79" s="1" t="s">
        <v>74</v>
      </c>
      <c r="AS79" s="1" t="s">
        <v>74</v>
      </c>
      <c r="AT79" s="1" t="s">
        <v>232</v>
      </c>
      <c r="AU79" s="1">
        <v>2024.0</v>
      </c>
      <c r="AV79" s="1">
        <v>14.0</v>
      </c>
      <c r="AW79" s="1">
        <v>4.0</v>
      </c>
      <c r="AX79" s="1" t="s">
        <v>74</v>
      </c>
      <c r="AY79" s="1" t="s">
        <v>74</v>
      </c>
      <c r="AZ79" s="1" t="s">
        <v>74</v>
      </c>
      <c r="BA79" s="1" t="s">
        <v>74</v>
      </c>
      <c r="BB79" s="1" t="s">
        <v>74</v>
      </c>
      <c r="BC79" s="1" t="s">
        <v>74</v>
      </c>
      <c r="BD79" s="1">
        <v>2.158244024129887E16</v>
      </c>
      <c r="BE79" s="1" t="s">
        <v>903</v>
      </c>
      <c r="BF79" s="2" t="str">
        <f>HYPERLINK("http://dx.doi.org/10.1177/21582440241298870","http://dx.doi.org/10.1177/21582440241298870")</f>
        <v>http://dx.doi.org/10.1177/21582440241298870</v>
      </c>
      <c r="BG79" s="1" t="s">
        <v>74</v>
      </c>
      <c r="BH79" s="1" t="s">
        <v>74</v>
      </c>
      <c r="BI79" s="1" t="s">
        <v>74</v>
      </c>
      <c r="BJ79" s="1" t="s">
        <v>74</v>
      </c>
      <c r="BK79" s="1" t="s">
        <v>74</v>
      </c>
      <c r="BL79" s="1" t="s">
        <v>74</v>
      </c>
      <c r="BM79" s="1" t="s">
        <v>74</v>
      </c>
      <c r="BN79" s="1" t="s">
        <v>74</v>
      </c>
      <c r="BO79" s="1" t="s">
        <v>74</v>
      </c>
      <c r="BP79" s="1" t="s">
        <v>74</v>
      </c>
      <c r="BQ79" s="1" t="s">
        <v>74</v>
      </c>
      <c r="BR79" s="1" t="s">
        <v>74</v>
      </c>
      <c r="BS79" s="1" t="s">
        <v>904</v>
      </c>
      <c r="BT79" s="1" t="str">
        <f>HYPERLINK("https%3A%2F%2Fwww.webofscience.com%2Fwos%2Fwoscc%2Ffull-record%2FWOS:001375920600001","View Full Record in Web of Science")</f>
        <v>View Full Record in Web of Science</v>
      </c>
    </row>
    <row r="80" ht="12.75" customHeight="1">
      <c r="A80" s="1" t="s">
        <v>72</v>
      </c>
      <c r="B80" s="1" t="s">
        <v>905</v>
      </c>
      <c r="C80" s="1" t="s">
        <v>74</v>
      </c>
      <c r="D80" s="1" t="s">
        <v>74</v>
      </c>
      <c r="E80" s="1" t="s">
        <v>74</v>
      </c>
      <c r="F80" s="1" t="s">
        <v>906</v>
      </c>
      <c r="G80" s="1" t="s">
        <v>74</v>
      </c>
      <c r="H80" s="1" t="s">
        <v>74</v>
      </c>
      <c r="I80" s="1" t="s">
        <v>907</v>
      </c>
      <c r="J80" s="1" t="s">
        <v>908</v>
      </c>
      <c r="K80" s="1" t="s">
        <v>74</v>
      </c>
      <c r="L80" s="1" t="s">
        <v>74</v>
      </c>
      <c r="M80" s="1" t="s">
        <v>74</v>
      </c>
      <c r="N80" s="1" t="s">
        <v>74</v>
      </c>
      <c r="O80" s="1" t="s">
        <v>74</v>
      </c>
      <c r="P80" s="1" t="s">
        <v>74</v>
      </c>
      <c r="Q80" s="1" t="s">
        <v>74</v>
      </c>
      <c r="R80" s="1" t="s">
        <v>74</v>
      </c>
      <c r="S80" s="1" t="s">
        <v>74</v>
      </c>
      <c r="T80" s="1" t="s">
        <v>74</v>
      </c>
      <c r="U80" s="1" t="s">
        <v>74</v>
      </c>
      <c r="V80" s="1" t="s">
        <v>909</v>
      </c>
      <c r="W80" s="1" t="s">
        <v>74</v>
      </c>
      <c r="X80" s="1" t="s">
        <v>74</v>
      </c>
      <c r="Y80" s="1" t="s">
        <v>74</v>
      </c>
      <c r="Z80" s="1" t="s">
        <v>74</v>
      </c>
      <c r="AA80" s="1" t="s">
        <v>910</v>
      </c>
      <c r="AB80" s="1" t="s">
        <v>911</v>
      </c>
      <c r="AC80" s="1" t="s">
        <v>74</v>
      </c>
      <c r="AD80" s="1" t="s">
        <v>74</v>
      </c>
      <c r="AE80" s="1" t="s">
        <v>74</v>
      </c>
      <c r="AF80" s="1" t="s">
        <v>74</v>
      </c>
      <c r="AG80" s="1" t="s">
        <v>74</v>
      </c>
      <c r="AH80" s="1" t="s">
        <v>74</v>
      </c>
      <c r="AI80" s="1" t="s">
        <v>74</v>
      </c>
      <c r="AJ80" s="1" t="s">
        <v>74</v>
      </c>
      <c r="AK80" s="1" t="s">
        <v>74</v>
      </c>
      <c r="AL80" s="1" t="s">
        <v>74</v>
      </c>
      <c r="AM80" s="1" t="s">
        <v>74</v>
      </c>
      <c r="AN80" s="1" t="s">
        <v>74</v>
      </c>
      <c r="AO80" s="1" t="s">
        <v>74</v>
      </c>
      <c r="AP80" s="1" t="s">
        <v>912</v>
      </c>
      <c r="AQ80" s="1" t="s">
        <v>74</v>
      </c>
      <c r="AR80" s="1" t="s">
        <v>74</v>
      </c>
      <c r="AS80" s="1" t="s">
        <v>74</v>
      </c>
      <c r="AT80" s="1" t="s">
        <v>83</v>
      </c>
      <c r="AU80" s="1">
        <v>2024.0</v>
      </c>
      <c r="AV80" s="1">
        <v>16.0</v>
      </c>
      <c r="AW80" s="1">
        <v>6.0</v>
      </c>
      <c r="AX80" s="1" t="s">
        <v>74</v>
      </c>
      <c r="AY80" s="1" t="s">
        <v>74</v>
      </c>
      <c r="AZ80" s="1" t="s">
        <v>74</v>
      </c>
      <c r="BA80" s="1" t="s">
        <v>74</v>
      </c>
      <c r="BB80" s="1" t="s">
        <v>74</v>
      </c>
      <c r="BC80" s="1" t="s">
        <v>74</v>
      </c>
      <c r="BD80" s="1">
        <v>777.0</v>
      </c>
      <c r="BE80" s="1" t="s">
        <v>913</v>
      </c>
      <c r="BF80" s="2" t="str">
        <f>HYPERLINK("http://dx.doi.org/10.3390/polym16060777","http://dx.doi.org/10.3390/polym16060777")</f>
        <v>http://dx.doi.org/10.3390/polym16060777</v>
      </c>
      <c r="BG80" s="1" t="s">
        <v>74</v>
      </c>
      <c r="BH80" s="1" t="s">
        <v>74</v>
      </c>
      <c r="BI80" s="1" t="s">
        <v>74</v>
      </c>
      <c r="BJ80" s="1" t="s">
        <v>74</v>
      </c>
      <c r="BK80" s="1" t="s">
        <v>74</v>
      </c>
      <c r="BL80" s="1" t="s">
        <v>74</v>
      </c>
      <c r="BM80" s="1" t="s">
        <v>74</v>
      </c>
      <c r="BN80" s="1">
        <v>3.8543386E7</v>
      </c>
      <c r="BO80" s="1" t="s">
        <v>74</v>
      </c>
      <c r="BP80" s="1" t="s">
        <v>74</v>
      </c>
      <c r="BQ80" s="1" t="s">
        <v>74</v>
      </c>
      <c r="BR80" s="1" t="s">
        <v>74</v>
      </c>
      <c r="BS80" s="1" t="s">
        <v>914</v>
      </c>
      <c r="BT80" s="1" t="str">
        <f>HYPERLINK("https%3A%2F%2Fwww.webofscience.com%2Fwos%2Fwoscc%2Ffull-record%2FWOS:001192958300001","View Full Record in Web of Science")</f>
        <v>View Full Record in Web of Science</v>
      </c>
    </row>
    <row r="81" ht="12.75" customHeight="1">
      <c r="A81" s="1" t="s">
        <v>72</v>
      </c>
      <c r="B81" s="1" t="s">
        <v>915</v>
      </c>
      <c r="C81" s="1" t="s">
        <v>74</v>
      </c>
      <c r="D81" s="1" t="s">
        <v>74</v>
      </c>
      <c r="E81" s="1" t="s">
        <v>74</v>
      </c>
      <c r="F81" s="1" t="s">
        <v>916</v>
      </c>
      <c r="G81" s="1" t="s">
        <v>74</v>
      </c>
      <c r="H81" s="1" t="s">
        <v>74</v>
      </c>
      <c r="I81" s="1" t="s">
        <v>917</v>
      </c>
      <c r="J81" s="1" t="s">
        <v>918</v>
      </c>
      <c r="K81" s="1" t="s">
        <v>74</v>
      </c>
      <c r="L81" s="1" t="s">
        <v>74</v>
      </c>
      <c r="M81" s="1" t="s">
        <v>74</v>
      </c>
      <c r="N81" s="1" t="s">
        <v>74</v>
      </c>
      <c r="O81" s="1" t="s">
        <v>74</v>
      </c>
      <c r="P81" s="1" t="s">
        <v>74</v>
      </c>
      <c r="Q81" s="1" t="s">
        <v>74</v>
      </c>
      <c r="R81" s="1" t="s">
        <v>74</v>
      </c>
      <c r="S81" s="1" t="s">
        <v>74</v>
      </c>
      <c r="T81" s="1" t="s">
        <v>74</v>
      </c>
      <c r="U81" s="1" t="s">
        <v>74</v>
      </c>
      <c r="V81" s="1" t="s">
        <v>919</v>
      </c>
      <c r="W81" s="1" t="s">
        <v>74</v>
      </c>
      <c r="X81" s="1" t="s">
        <v>74</v>
      </c>
      <c r="Y81" s="1" t="s">
        <v>74</v>
      </c>
      <c r="Z81" s="1" t="s">
        <v>74</v>
      </c>
      <c r="AA81" s="1" t="s">
        <v>920</v>
      </c>
      <c r="AB81" s="1" t="s">
        <v>921</v>
      </c>
      <c r="AC81" s="1" t="s">
        <v>74</v>
      </c>
      <c r="AD81" s="1" t="s">
        <v>74</v>
      </c>
      <c r="AE81" s="1" t="s">
        <v>74</v>
      </c>
      <c r="AF81" s="1" t="s">
        <v>74</v>
      </c>
      <c r="AG81" s="1" t="s">
        <v>74</v>
      </c>
      <c r="AH81" s="1" t="s">
        <v>74</v>
      </c>
      <c r="AI81" s="1" t="s">
        <v>74</v>
      </c>
      <c r="AJ81" s="1" t="s">
        <v>74</v>
      </c>
      <c r="AK81" s="1" t="s">
        <v>74</v>
      </c>
      <c r="AL81" s="1" t="s">
        <v>74</v>
      </c>
      <c r="AM81" s="1" t="s">
        <v>74</v>
      </c>
      <c r="AN81" s="1" t="s">
        <v>74</v>
      </c>
      <c r="AO81" s="1" t="s">
        <v>922</v>
      </c>
      <c r="AP81" s="1" t="s">
        <v>923</v>
      </c>
      <c r="AQ81" s="1" t="s">
        <v>74</v>
      </c>
      <c r="AR81" s="1" t="s">
        <v>74</v>
      </c>
      <c r="AS81" s="1" t="s">
        <v>74</v>
      </c>
      <c r="AT81" s="1" t="s">
        <v>924</v>
      </c>
      <c r="AU81" s="1">
        <v>2023.0</v>
      </c>
      <c r="AV81" s="1">
        <v>91.0</v>
      </c>
      <c r="AW81" s="1">
        <v>1.0</v>
      </c>
      <c r="AX81" s="1" t="s">
        <v>74</v>
      </c>
      <c r="AY81" s="1" t="s">
        <v>74</v>
      </c>
      <c r="AZ81" s="1" t="s">
        <v>74</v>
      </c>
      <c r="BA81" s="1" t="s">
        <v>74</v>
      </c>
      <c r="BB81" s="1">
        <v>39.0</v>
      </c>
      <c r="BC81" s="1">
        <v>54.0</v>
      </c>
      <c r="BD81" s="1" t="s">
        <v>74</v>
      </c>
      <c r="BE81" s="1" t="s">
        <v>925</v>
      </c>
      <c r="BF81" s="2" t="str">
        <f>HYPERLINK("http://dx.doi.org/10.35362/rie9115562","http://dx.doi.org/10.35362/rie9115562")</f>
        <v>http://dx.doi.org/10.35362/rie9115562</v>
      </c>
      <c r="BG81" s="1" t="s">
        <v>74</v>
      </c>
      <c r="BH81" s="1" t="s">
        <v>74</v>
      </c>
      <c r="BI81" s="1" t="s">
        <v>74</v>
      </c>
      <c r="BJ81" s="1" t="s">
        <v>74</v>
      </c>
      <c r="BK81" s="1" t="s">
        <v>74</v>
      </c>
      <c r="BL81" s="1" t="s">
        <v>74</v>
      </c>
      <c r="BM81" s="1" t="s">
        <v>74</v>
      </c>
      <c r="BN81" s="1" t="s">
        <v>74</v>
      </c>
      <c r="BO81" s="1" t="s">
        <v>74</v>
      </c>
      <c r="BP81" s="1" t="s">
        <v>74</v>
      </c>
      <c r="BQ81" s="1" t="s">
        <v>74</v>
      </c>
      <c r="BR81" s="1" t="s">
        <v>74</v>
      </c>
      <c r="BS81" s="1" t="s">
        <v>926</v>
      </c>
      <c r="BT81" s="1" t="str">
        <f>HYPERLINK("https%3A%2F%2Fwww.webofscience.com%2Fwos%2Fwoscc%2Ffull-record%2FWOS:000960966800003","View Full Record in Web of Science")</f>
        <v>View Full Record in Web of Science</v>
      </c>
    </row>
    <row r="82" ht="12.75" customHeight="1">
      <c r="A82" s="1" t="s">
        <v>72</v>
      </c>
      <c r="B82" s="1" t="s">
        <v>927</v>
      </c>
      <c r="C82" s="1" t="s">
        <v>74</v>
      </c>
      <c r="D82" s="1" t="s">
        <v>74</v>
      </c>
      <c r="E82" s="1" t="s">
        <v>74</v>
      </c>
      <c r="F82" s="1" t="s">
        <v>928</v>
      </c>
      <c r="G82" s="1" t="s">
        <v>74</v>
      </c>
      <c r="H82" s="1" t="s">
        <v>74</v>
      </c>
      <c r="I82" s="1" t="s">
        <v>929</v>
      </c>
      <c r="J82" s="1" t="s">
        <v>90</v>
      </c>
      <c r="K82" s="1" t="s">
        <v>74</v>
      </c>
      <c r="L82" s="1" t="s">
        <v>74</v>
      </c>
      <c r="M82" s="1" t="s">
        <v>74</v>
      </c>
      <c r="N82" s="1" t="s">
        <v>74</v>
      </c>
      <c r="O82" s="1" t="s">
        <v>74</v>
      </c>
      <c r="P82" s="1" t="s">
        <v>74</v>
      </c>
      <c r="Q82" s="1" t="s">
        <v>74</v>
      </c>
      <c r="R82" s="1" t="s">
        <v>74</v>
      </c>
      <c r="S82" s="1" t="s">
        <v>74</v>
      </c>
      <c r="T82" s="1" t="s">
        <v>74</v>
      </c>
      <c r="U82" s="1" t="s">
        <v>74</v>
      </c>
      <c r="V82" s="1" t="s">
        <v>930</v>
      </c>
      <c r="W82" s="1" t="s">
        <v>74</v>
      </c>
      <c r="X82" s="1" t="s">
        <v>74</v>
      </c>
      <c r="Y82" s="1" t="s">
        <v>74</v>
      </c>
      <c r="Z82" s="1" t="s">
        <v>74</v>
      </c>
      <c r="AA82" s="1" t="s">
        <v>931</v>
      </c>
      <c r="AB82" s="1" t="s">
        <v>932</v>
      </c>
      <c r="AC82" s="1" t="s">
        <v>74</v>
      </c>
      <c r="AD82" s="1" t="s">
        <v>74</v>
      </c>
      <c r="AE82" s="1" t="s">
        <v>74</v>
      </c>
      <c r="AF82" s="1" t="s">
        <v>74</v>
      </c>
      <c r="AG82" s="1" t="s">
        <v>74</v>
      </c>
      <c r="AH82" s="1" t="s">
        <v>74</v>
      </c>
      <c r="AI82" s="1" t="s">
        <v>74</v>
      </c>
      <c r="AJ82" s="1" t="s">
        <v>74</v>
      </c>
      <c r="AK82" s="1" t="s">
        <v>74</v>
      </c>
      <c r="AL82" s="1" t="s">
        <v>74</v>
      </c>
      <c r="AM82" s="1" t="s">
        <v>74</v>
      </c>
      <c r="AN82" s="1" t="s">
        <v>74</v>
      </c>
      <c r="AO82" s="1" t="s">
        <v>74</v>
      </c>
      <c r="AP82" s="1" t="s">
        <v>94</v>
      </c>
      <c r="AQ82" s="1" t="s">
        <v>74</v>
      </c>
      <c r="AR82" s="1" t="s">
        <v>74</v>
      </c>
      <c r="AS82" s="1" t="s">
        <v>74</v>
      </c>
      <c r="AT82" s="1" t="s">
        <v>95</v>
      </c>
      <c r="AU82" s="1">
        <v>2022.0</v>
      </c>
      <c r="AV82" s="1">
        <v>27.0</v>
      </c>
      <c r="AW82" s="1">
        <v>24.0</v>
      </c>
      <c r="AX82" s="1" t="s">
        <v>74</v>
      </c>
      <c r="AY82" s="1" t="s">
        <v>74</v>
      </c>
      <c r="AZ82" s="1" t="s">
        <v>74</v>
      </c>
      <c r="BA82" s="1" t="s">
        <v>74</v>
      </c>
      <c r="BB82" s="1" t="s">
        <v>74</v>
      </c>
      <c r="BC82" s="1" t="s">
        <v>74</v>
      </c>
      <c r="BD82" s="1">
        <v>9023.0</v>
      </c>
      <c r="BE82" s="1" t="s">
        <v>933</v>
      </c>
      <c r="BF82" s="2" t="str">
        <f>HYPERLINK("http://dx.doi.org/10.3390/molecules27249023","http://dx.doi.org/10.3390/molecules27249023")</f>
        <v>http://dx.doi.org/10.3390/molecules27249023</v>
      </c>
      <c r="BG82" s="1" t="s">
        <v>74</v>
      </c>
      <c r="BH82" s="1" t="s">
        <v>74</v>
      </c>
      <c r="BI82" s="1" t="s">
        <v>74</v>
      </c>
      <c r="BJ82" s="1" t="s">
        <v>74</v>
      </c>
      <c r="BK82" s="1" t="s">
        <v>74</v>
      </c>
      <c r="BL82" s="1" t="s">
        <v>74</v>
      </c>
      <c r="BM82" s="1" t="s">
        <v>74</v>
      </c>
      <c r="BN82" s="1">
        <v>3.6558156E7</v>
      </c>
      <c r="BO82" s="1" t="s">
        <v>74</v>
      </c>
      <c r="BP82" s="1" t="s">
        <v>74</v>
      </c>
      <c r="BQ82" s="1" t="s">
        <v>74</v>
      </c>
      <c r="BR82" s="1" t="s">
        <v>74</v>
      </c>
      <c r="BS82" s="1" t="s">
        <v>934</v>
      </c>
      <c r="BT82" s="1" t="str">
        <f>HYPERLINK("https%3A%2F%2Fwww.webofscience.com%2Fwos%2Fwoscc%2Ffull-record%2FWOS:000933467100001","View Full Record in Web of Science")</f>
        <v>View Full Record in Web of Science</v>
      </c>
    </row>
    <row r="83" ht="12.75" customHeight="1">
      <c r="A83" s="1" t="s">
        <v>346</v>
      </c>
      <c r="B83" s="1" t="s">
        <v>935</v>
      </c>
      <c r="C83" s="1" t="s">
        <v>74</v>
      </c>
      <c r="D83" s="1" t="s">
        <v>74</v>
      </c>
      <c r="E83" s="1" t="s">
        <v>74</v>
      </c>
      <c r="F83" s="1" t="s">
        <v>936</v>
      </c>
      <c r="G83" s="1" t="s">
        <v>74</v>
      </c>
      <c r="H83" s="1" t="s">
        <v>74</v>
      </c>
      <c r="I83" s="1" t="s">
        <v>937</v>
      </c>
      <c r="J83" s="1" t="s">
        <v>938</v>
      </c>
      <c r="K83" s="1" t="s">
        <v>74</v>
      </c>
      <c r="L83" s="1" t="s">
        <v>74</v>
      </c>
      <c r="M83" s="1" t="s">
        <v>74</v>
      </c>
      <c r="N83" s="1" t="s">
        <v>74</v>
      </c>
      <c r="O83" s="1" t="s">
        <v>939</v>
      </c>
      <c r="P83" s="1" t="s">
        <v>940</v>
      </c>
      <c r="Q83" s="1" t="s">
        <v>941</v>
      </c>
      <c r="R83" s="1" t="s">
        <v>942</v>
      </c>
      <c r="S83" s="1" t="s">
        <v>74</v>
      </c>
      <c r="T83" s="1" t="s">
        <v>74</v>
      </c>
      <c r="U83" s="1" t="s">
        <v>74</v>
      </c>
      <c r="V83" s="1" t="s">
        <v>943</v>
      </c>
      <c r="W83" s="1" t="s">
        <v>74</v>
      </c>
      <c r="X83" s="1" t="s">
        <v>74</v>
      </c>
      <c r="Y83" s="1" t="s">
        <v>74</v>
      </c>
      <c r="Z83" s="1" t="s">
        <v>74</v>
      </c>
      <c r="AA83" s="1" t="s">
        <v>944</v>
      </c>
      <c r="AB83" s="1" t="s">
        <v>945</v>
      </c>
      <c r="AC83" s="1" t="s">
        <v>74</v>
      </c>
      <c r="AD83" s="1" t="s">
        <v>74</v>
      </c>
      <c r="AE83" s="1" t="s">
        <v>74</v>
      </c>
      <c r="AF83" s="1" t="s">
        <v>74</v>
      </c>
      <c r="AG83" s="1" t="s">
        <v>74</v>
      </c>
      <c r="AH83" s="1" t="s">
        <v>74</v>
      </c>
      <c r="AI83" s="1" t="s">
        <v>74</v>
      </c>
      <c r="AJ83" s="1" t="s">
        <v>74</v>
      </c>
      <c r="AK83" s="1" t="s">
        <v>74</v>
      </c>
      <c r="AL83" s="1" t="s">
        <v>74</v>
      </c>
      <c r="AM83" s="1" t="s">
        <v>74</v>
      </c>
      <c r="AN83" s="1" t="s">
        <v>74</v>
      </c>
      <c r="AO83" s="1" t="s">
        <v>946</v>
      </c>
      <c r="AP83" s="1" t="s">
        <v>74</v>
      </c>
      <c r="AQ83" s="1" t="s">
        <v>74</v>
      </c>
      <c r="AR83" s="1" t="s">
        <v>74</v>
      </c>
      <c r="AS83" s="1" t="s">
        <v>74</v>
      </c>
      <c r="AT83" s="1" t="s">
        <v>232</v>
      </c>
      <c r="AU83" s="1">
        <v>2022.0</v>
      </c>
      <c r="AV83" s="1">
        <v>55.0</v>
      </c>
      <c r="AW83" s="1">
        <v>10.0</v>
      </c>
      <c r="AX83" s="1" t="s">
        <v>74</v>
      </c>
      <c r="AY83" s="1" t="s">
        <v>74</v>
      </c>
      <c r="AZ83" s="1" t="s">
        <v>74</v>
      </c>
      <c r="BA83" s="1" t="s">
        <v>74</v>
      </c>
      <c r="BB83" s="1">
        <v>866.0</v>
      </c>
      <c r="BC83" s="1">
        <v>871.0</v>
      </c>
      <c r="BD83" s="1" t="s">
        <v>74</v>
      </c>
      <c r="BE83" s="1" t="s">
        <v>947</v>
      </c>
      <c r="BF83" s="2" t="str">
        <f>HYPERLINK("http://dx.doi.org/10.1016/j.ifacol.2022.09.522","http://dx.doi.org/10.1016/j.ifacol.2022.09.522")</f>
        <v>http://dx.doi.org/10.1016/j.ifacol.2022.09.522</v>
      </c>
      <c r="BG83" s="1" t="s">
        <v>74</v>
      </c>
      <c r="BH83" s="1" t="s">
        <v>948</v>
      </c>
      <c r="BI83" s="1" t="s">
        <v>74</v>
      </c>
      <c r="BJ83" s="1" t="s">
        <v>74</v>
      </c>
      <c r="BK83" s="1" t="s">
        <v>74</v>
      </c>
      <c r="BL83" s="1" t="s">
        <v>74</v>
      </c>
      <c r="BM83" s="1" t="s">
        <v>74</v>
      </c>
      <c r="BN83" s="1" t="s">
        <v>74</v>
      </c>
      <c r="BO83" s="1" t="s">
        <v>74</v>
      </c>
      <c r="BP83" s="1" t="s">
        <v>74</v>
      </c>
      <c r="BQ83" s="1" t="s">
        <v>74</v>
      </c>
      <c r="BR83" s="1" t="s">
        <v>74</v>
      </c>
      <c r="BS83" s="1" t="s">
        <v>949</v>
      </c>
      <c r="BT83" s="1" t="str">
        <f>HYPERLINK("https%3A%2F%2Fwww.webofscience.com%2Fwos%2Fwoscc%2Ffull-record%2FWOS:000881681700146","View Full Record in Web of Science")</f>
        <v>View Full Record in Web of Science</v>
      </c>
    </row>
    <row r="84" ht="12.75" customHeight="1">
      <c r="A84" s="1" t="s">
        <v>72</v>
      </c>
      <c r="B84" s="1" t="s">
        <v>950</v>
      </c>
      <c r="C84" s="1" t="s">
        <v>74</v>
      </c>
      <c r="D84" s="1" t="s">
        <v>74</v>
      </c>
      <c r="E84" s="1" t="s">
        <v>74</v>
      </c>
      <c r="F84" s="1" t="s">
        <v>951</v>
      </c>
      <c r="G84" s="1" t="s">
        <v>74</v>
      </c>
      <c r="H84" s="1" t="s">
        <v>74</v>
      </c>
      <c r="I84" s="1" t="s">
        <v>952</v>
      </c>
      <c r="J84" s="1" t="s">
        <v>953</v>
      </c>
      <c r="K84" s="1" t="s">
        <v>74</v>
      </c>
      <c r="L84" s="1" t="s">
        <v>74</v>
      </c>
      <c r="M84" s="1" t="s">
        <v>74</v>
      </c>
      <c r="N84" s="1" t="s">
        <v>74</v>
      </c>
      <c r="O84" s="1" t="s">
        <v>74</v>
      </c>
      <c r="P84" s="1" t="s">
        <v>74</v>
      </c>
      <c r="Q84" s="1" t="s">
        <v>74</v>
      </c>
      <c r="R84" s="1" t="s">
        <v>74</v>
      </c>
      <c r="S84" s="1" t="s">
        <v>74</v>
      </c>
      <c r="T84" s="1" t="s">
        <v>74</v>
      </c>
      <c r="U84" s="1" t="s">
        <v>74</v>
      </c>
      <c r="V84" s="1" t="s">
        <v>954</v>
      </c>
      <c r="W84" s="1" t="s">
        <v>74</v>
      </c>
      <c r="X84" s="1" t="s">
        <v>74</v>
      </c>
      <c r="Y84" s="1" t="s">
        <v>74</v>
      </c>
      <c r="Z84" s="1" t="s">
        <v>74</v>
      </c>
      <c r="AA84" s="1" t="s">
        <v>955</v>
      </c>
      <c r="AB84" s="1" t="s">
        <v>956</v>
      </c>
      <c r="AC84" s="1" t="s">
        <v>74</v>
      </c>
      <c r="AD84" s="1" t="s">
        <v>74</v>
      </c>
      <c r="AE84" s="1" t="s">
        <v>74</v>
      </c>
      <c r="AF84" s="1" t="s">
        <v>74</v>
      </c>
      <c r="AG84" s="1" t="s">
        <v>74</v>
      </c>
      <c r="AH84" s="1" t="s">
        <v>74</v>
      </c>
      <c r="AI84" s="1" t="s">
        <v>74</v>
      </c>
      <c r="AJ84" s="1" t="s">
        <v>74</v>
      </c>
      <c r="AK84" s="1" t="s">
        <v>74</v>
      </c>
      <c r="AL84" s="1" t="s">
        <v>74</v>
      </c>
      <c r="AM84" s="1" t="s">
        <v>74</v>
      </c>
      <c r="AN84" s="1" t="s">
        <v>74</v>
      </c>
      <c r="AO84" s="1" t="s">
        <v>74</v>
      </c>
      <c r="AP84" s="1" t="s">
        <v>957</v>
      </c>
      <c r="AQ84" s="1" t="s">
        <v>74</v>
      </c>
      <c r="AR84" s="1" t="s">
        <v>74</v>
      </c>
      <c r="AS84" s="1" t="s">
        <v>74</v>
      </c>
      <c r="AT84" s="1" t="s">
        <v>596</v>
      </c>
      <c r="AU84" s="1">
        <v>2021.0</v>
      </c>
      <c r="AV84" s="1">
        <v>9.0</v>
      </c>
      <c r="AW84" s="1">
        <v>11.0</v>
      </c>
      <c r="AX84" s="1" t="s">
        <v>74</v>
      </c>
      <c r="AY84" s="1" t="s">
        <v>74</v>
      </c>
      <c r="AZ84" s="1" t="s">
        <v>74</v>
      </c>
      <c r="BA84" s="1" t="s">
        <v>74</v>
      </c>
      <c r="BB84" s="1" t="s">
        <v>74</v>
      </c>
      <c r="BC84" s="1" t="s">
        <v>74</v>
      </c>
      <c r="BD84" s="1">
        <v>2273.0</v>
      </c>
      <c r="BE84" s="1" t="s">
        <v>958</v>
      </c>
      <c r="BF84" s="2" t="str">
        <f>HYPERLINK("http://dx.doi.org/10.3390/microorganisms9112273","http://dx.doi.org/10.3390/microorganisms9112273")</f>
        <v>http://dx.doi.org/10.3390/microorganisms9112273</v>
      </c>
      <c r="BG84" s="1" t="s">
        <v>74</v>
      </c>
      <c r="BH84" s="1" t="s">
        <v>74</v>
      </c>
      <c r="BI84" s="1" t="s">
        <v>74</v>
      </c>
      <c r="BJ84" s="1" t="s">
        <v>74</v>
      </c>
      <c r="BK84" s="1" t="s">
        <v>74</v>
      </c>
      <c r="BL84" s="1" t="s">
        <v>74</v>
      </c>
      <c r="BM84" s="1" t="s">
        <v>74</v>
      </c>
      <c r="BN84" s="1">
        <v>3.48354E7</v>
      </c>
      <c r="BO84" s="1" t="s">
        <v>74</v>
      </c>
      <c r="BP84" s="1" t="s">
        <v>74</v>
      </c>
      <c r="BQ84" s="1" t="s">
        <v>74</v>
      </c>
      <c r="BR84" s="1" t="s">
        <v>74</v>
      </c>
      <c r="BS84" s="1" t="s">
        <v>959</v>
      </c>
      <c r="BT84" s="1" t="str">
        <f>HYPERLINK("https%3A%2F%2Fwww.webofscience.com%2Fwos%2Fwoscc%2Ffull-record%2FWOS:000723347200001","View Full Record in Web of Science")</f>
        <v>View Full Record in Web of Science</v>
      </c>
    </row>
    <row r="85" ht="12.75" customHeight="1">
      <c r="A85" s="1" t="s">
        <v>72</v>
      </c>
      <c r="B85" s="1" t="s">
        <v>960</v>
      </c>
      <c r="C85" s="1" t="s">
        <v>74</v>
      </c>
      <c r="D85" s="1" t="s">
        <v>74</v>
      </c>
      <c r="E85" s="1" t="s">
        <v>74</v>
      </c>
      <c r="F85" s="1" t="s">
        <v>961</v>
      </c>
      <c r="G85" s="1" t="s">
        <v>74</v>
      </c>
      <c r="H85" s="1" t="s">
        <v>74</v>
      </c>
      <c r="I85" s="1" t="s">
        <v>962</v>
      </c>
      <c r="J85" s="1" t="s">
        <v>963</v>
      </c>
      <c r="K85" s="1" t="s">
        <v>74</v>
      </c>
      <c r="L85" s="1" t="s">
        <v>74</v>
      </c>
      <c r="M85" s="1" t="s">
        <v>74</v>
      </c>
      <c r="N85" s="1" t="s">
        <v>74</v>
      </c>
      <c r="O85" s="1" t="s">
        <v>74</v>
      </c>
      <c r="P85" s="1" t="s">
        <v>74</v>
      </c>
      <c r="Q85" s="1" t="s">
        <v>74</v>
      </c>
      <c r="R85" s="1" t="s">
        <v>74</v>
      </c>
      <c r="S85" s="1" t="s">
        <v>74</v>
      </c>
      <c r="T85" s="1" t="s">
        <v>74</v>
      </c>
      <c r="U85" s="1" t="s">
        <v>74</v>
      </c>
      <c r="V85" s="1" t="s">
        <v>964</v>
      </c>
      <c r="W85" s="1" t="s">
        <v>74</v>
      </c>
      <c r="X85" s="1" t="s">
        <v>74</v>
      </c>
      <c r="Y85" s="1" t="s">
        <v>74</v>
      </c>
      <c r="Z85" s="1" t="s">
        <v>74</v>
      </c>
      <c r="AA85" s="1" t="s">
        <v>965</v>
      </c>
      <c r="AB85" s="1" t="s">
        <v>966</v>
      </c>
      <c r="AC85" s="1" t="s">
        <v>74</v>
      </c>
      <c r="AD85" s="1" t="s">
        <v>74</v>
      </c>
      <c r="AE85" s="1" t="s">
        <v>74</v>
      </c>
      <c r="AF85" s="1" t="s">
        <v>74</v>
      </c>
      <c r="AG85" s="1" t="s">
        <v>74</v>
      </c>
      <c r="AH85" s="1" t="s">
        <v>74</v>
      </c>
      <c r="AI85" s="1" t="s">
        <v>74</v>
      </c>
      <c r="AJ85" s="1" t="s">
        <v>74</v>
      </c>
      <c r="AK85" s="1" t="s">
        <v>74</v>
      </c>
      <c r="AL85" s="1" t="s">
        <v>74</v>
      </c>
      <c r="AM85" s="1" t="s">
        <v>74</v>
      </c>
      <c r="AN85" s="1" t="s">
        <v>74</v>
      </c>
      <c r="AO85" s="1" t="s">
        <v>967</v>
      </c>
      <c r="AP85" s="1" t="s">
        <v>968</v>
      </c>
      <c r="AQ85" s="1" t="s">
        <v>74</v>
      </c>
      <c r="AR85" s="1" t="s">
        <v>74</v>
      </c>
      <c r="AS85" s="1" t="s">
        <v>74</v>
      </c>
      <c r="AT85" s="1" t="s">
        <v>187</v>
      </c>
      <c r="AU85" s="1">
        <v>2021.0</v>
      </c>
      <c r="AV85" s="1">
        <v>28.0</v>
      </c>
      <c r="AW85" s="1">
        <v>2.0</v>
      </c>
      <c r="AX85" s="1" t="s">
        <v>74</v>
      </c>
      <c r="AY85" s="1" t="s">
        <v>74</v>
      </c>
      <c r="AZ85" s="1" t="s">
        <v>74</v>
      </c>
      <c r="BA85" s="1" t="s">
        <v>74</v>
      </c>
      <c r="BB85" s="1">
        <v>649.0</v>
      </c>
      <c r="BC85" s="1">
        <v>656.0</v>
      </c>
      <c r="BD85" s="1" t="s">
        <v>74</v>
      </c>
      <c r="BE85" s="1" t="s">
        <v>969</v>
      </c>
      <c r="BF85" s="2" t="str">
        <f>HYPERLINK("http://dx.doi.org/10.3758/s13423-020-01830-8","http://dx.doi.org/10.3758/s13423-020-01830-8")</f>
        <v>http://dx.doi.org/10.3758/s13423-020-01830-8</v>
      </c>
      <c r="BG85" s="1" t="s">
        <v>74</v>
      </c>
      <c r="BH85" s="1" t="s">
        <v>74</v>
      </c>
      <c r="BI85" s="1" t="s">
        <v>74</v>
      </c>
      <c r="BJ85" s="1" t="s">
        <v>74</v>
      </c>
      <c r="BK85" s="1" t="s">
        <v>74</v>
      </c>
      <c r="BL85" s="1" t="s">
        <v>74</v>
      </c>
      <c r="BM85" s="1" t="s">
        <v>74</v>
      </c>
      <c r="BN85" s="1">
        <v>3.3258082E7</v>
      </c>
      <c r="BO85" s="1" t="s">
        <v>74</v>
      </c>
      <c r="BP85" s="1" t="s">
        <v>74</v>
      </c>
      <c r="BQ85" s="1" t="s">
        <v>74</v>
      </c>
      <c r="BR85" s="1" t="s">
        <v>74</v>
      </c>
      <c r="BS85" s="1" t="s">
        <v>970</v>
      </c>
      <c r="BT85" s="1" t="str">
        <f>HYPERLINK("https%3A%2F%2Fwww.webofscience.com%2Fwos%2Fwoscc%2Ffull-record%2FWOS:000644957800001","View Full Record in Web of Science")</f>
        <v>View Full Record in Web of Science</v>
      </c>
    </row>
    <row r="86" ht="12.75" customHeight="1">
      <c r="A86" s="1" t="s">
        <v>346</v>
      </c>
      <c r="B86" s="1" t="s">
        <v>971</v>
      </c>
      <c r="C86" s="1" t="s">
        <v>74</v>
      </c>
      <c r="D86" s="1" t="s">
        <v>74</v>
      </c>
      <c r="E86" s="1" t="s">
        <v>348</v>
      </c>
      <c r="F86" s="1" t="s">
        <v>972</v>
      </c>
      <c r="G86" s="1" t="s">
        <v>74</v>
      </c>
      <c r="H86" s="1" t="s">
        <v>74</v>
      </c>
      <c r="I86" s="1" t="s">
        <v>973</v>
      </c>
      <c r="J86" s="1" t="s">
        <v>974</v>
      </c>
      <c r="K86" s="1" t="s">
        <v>74</v>
      </c>
      <c r="L86" s="1" t="s">
        <v>74</v>
      </c>
      <c r="M86" s="1" t="s">
        <v>74</v>
      </c>
      <c r="N86" s="1" t="s">
        <v>74</v>
      </c>
      <c r="O86" s="1" t="s">
        <v>975</v>
      </c>
      <c r="P86" s="1" t="s">
        <v>976</v>
      </c>
      <c r="Q86" s="1" t="s">
        <v>566</v>
      </c>
      <c r="R86" s="1" t="s">
        <v>977</v>
      </c>
      <c r="S86" s="1" t="s">
        <v>74</v>
      </c>
      <c r="T86" s="1" t="s">
        <v>74</v>
      </c>
      <c r="U86" s="1" t="s">
        <v>74</v>
      </c>
      <c r="V86" s="1" t="s">
        <v>978</v>
      </c>
      <c r="W86" s="1" t="s">
        <v>74</v>
      </c>
      <c r="X86" s="1" t="s">
        <v>74</v>
      </c>
      <c r="Y86" s="1" t="s">
        <v>74</v>
      </c>
      <c r="Z86" s="1" t="s">
        <v>74</v>
      </c>
      <c r="AA86" s="1" t="s">
        <v>979</v>
      </c>
      <c r="AB86" s="1" t="s">
        <v>980</v>
      </c>
      <c r="AC86" s="1" t="s">
        <v>74</v>
      </c>
      <c r="AD86" s="1" t="s">
        <v>74</v>
      </c>
      <c r="AE86" s="1" t="s">
        <v>74</v>
      </c>
      <c r="AF86" s="1" t="s">
        <v>74</v>
      </c>
      <c r="AG86" s="1" t="s">
        <v>74</v>
      </c>
      <c r="AH86" s="1" t="s">
        <v>74</v>
      </c>
      <c r="AI86" s="1" t="s">
        <v>74</v>
      </c>
      <c r="AJ86" s="1" t="s">
        <v>74</v>
      </c>
      <c r="AK86" s="1" t="s">
        <v>74</v>
      </c>
      <c r="AL86" s="1" t="s">
        <v>74</v>
      </c>
      <c r="AM86" s="1" t="s">
        <v>74</v>
      </c>
      <c r="AN86" s="1" t="s">
        <v>74</v>
      </c>
      <c r="AO86" s="1" t="s">
        <v>74</v>
      </c>
      <c r="AP86" s="1" t="s">
        <v>74</v>
      </c>
      <c r="AQ86" s="1" t="s">
        <v>981</v>
      </c>
      <c r="AR86" s="1" t="s">
        <v>74</v>
      </c>
      <c r="AS86" s="1" t="s">
        <v>74</v>
      </c>
      <c r="AT86" s="1" t="s">
        <v>74</v>
      </c>
      <c r="AU86" s="1">
        <v>2021.0</v>
      </c>
      <c r="AV86" s="1" t="s">
        <v>74</v>
      </c>
      <c r="AW86" s="1" t="s">
        <v>74</v>
      </c>
      <c r="AX86" s="1" t="s">
        <v>74</v>
      </c>
      <c r="AY86" s="1" t="s">
        <v>74</v>
      </c>
      <c r="AZ86" s="1" t="s">
        <v>74</v>
      </c>
      <c r="BA86" s="1" t="s">
        <v>74</v>
      </c>
      <c r="BB86" s="1" t="s">
        <v>74</v>
      </c>
      <c r="BC86" s="1" t="s">
        <v>74</v>
      </c>
      <c r="BD86" s="1" t="s">
        <v>74</v>
      </c>
      <c r="BE86" s="1" t="s">
        <v>982</v>
      </c>
      <c r="BF86" s="2" t="str">
        <f>HYPERLINK("http://dx.doi.org/10.1109/ICAACCA51523.2021.9465175","http://dx.doi.org/10.1109/ICAACCA51523.2021.9465175")</f>
        <v>http://dx.doi.org/10.1109/ICAACCA51523.2021.9465175</v>
      </c>
      <c r="BG86" s="1" t="s">
        <v>74</v>
      </c>
      <c r="BH86" s="1" t="s">
        <v>74</v>
      </c>
      <c r="BI86" s="1" t="s">
        <v>74</v>
      </c>
      <c r="BJ86" s="1" t="s">
        <v>74</v>
      </c>
      <c r="BK86" s="1" t="s">
        <v>74</v>
      </c>
      <c r="BL86" s="1" t="s">
        <v>74</v>
      </c>
      <c r="BM86" s="1" t="s">
        <v>74</v>
      </c>
      <c r="BN86" s="1" t="s">
        <v>74</v>
      </c>
      <c r="BO86" s="1" t="s">
        <v>74</v>
      </c>
      <c r="BP86" s="1" t="s">
        <v>74</v>
      </c>
      <c r="BQ86" s="1" t="s">
        <v>74</v>
      </c>
      <c r="BR86" s="1" t="s">
        <v>74</v>
      </c>
      <c r="BS86" s="1" t="s">
        <v>983</v>
      </c>
      <c r="BT86" s="1" t="str">
        <f>HYPERLINK("https%3A%2F%2Fwww.webofscience.com%2Fwos%2Fwoscc%2Ffull-record%2FWOS:000855764500028","View Full Record in Web of Science")</f>
        <v>View Full Record in Web of Science</v>
      </c>
    </row>
    <row r="87" ht="12.75" customHeight="1">
      <c r="A87" s="1" t="s">
        <v>380</v>
      </c>
      <c r="B87" s="1" t="s">
        <v>984</v>
      </c>
      <c r="C87" s="1" t="s">
        <v>74</v>
      </c>
      <c r="D87" s="1" t="s">
        <v>985</v>
      </c>
      <c r="E87" s="1" t="s">
        <v>74</v>
      </c>
      <c r="F87" s="1" t="s">
        <v>986</v>
      </c>
      <c r="G87" s="1" t="s">
        <v>74</v>
      </c>
      <c r="H87" s="1" t="s">
        <v>74</v>
      </c>
      <c r="I87" s="1" t="s">
        <v>987</v>
      </c>
      <c r="J87" s="1" t="s">
        <v>988</v>
      </c>
      <c r="K87" s="1" t="s">
        <v>989</v>
      </c>
      <c r="L87" s="1" t="s">
        <v>74</v>
      </c>
      <c r="M87" s="1" t="s">
        <v>74</v>
      </c>
      <c r="N87" s="1" t="s">
        <v>74</v>
      </c>
      <c r="O87" s="1" t="s">
        <v>74</v>
      </c>
      <c r="P87" s="1" t="s">
        <v>74</v>
      </c>
      <c r="Q87" s="1" t="s">
        <v>74</v>
      </c>
      <c r="R87" s="1" t="s">
        <v>74</v>
      </c>
      <c r="S87" s="1" t="s">
        <v>74</v>
      </c>
      <c r="T87" s="1" t="s">
        <v>74</v>
      </c>
      <c r="U87" s="1" t="s">
        <v>74</v>
      </c>
      <c r="V87" s="1" t="s">
        <v>74</v>
      </c>
      <c r="W87" s="1" t="s">
        <v>74</v>
      </c>
      <c r="X87" s="1" t="s">
        <v>74</v>
      </c>
      <c r="Y87" s="1" t="s">
        <v>74</v>
      </c>
      <c r="Z87" s="1" t="s">
        <v>74</v>
      </c>
      <c r="AA87" s="1" t="s">
        <v>990</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74</v>
      </c>
      <c r="AP87" s="1" t="s">
        <v>74</v>
      </c>
      <c r="AQ87" s="1" t="s">
        <v>991</v>
      </c>
      <c r="AR87" s="1" t="s">
        <v>74</v>
      </c>
      <c r="AS87" s="1" t="s">
        <v>74</v>
      </c>
      <c r="AT87" s="1" t="s">
        <v>74</v>
      </c>
      <c r="AU87" s="1">
        <v>2020.0</v>
      </c>
      <c r="AV87" s="1">
        <v>8.0</v>
      </c>
      <c r="AW87" s="1" t="s">
        <v>74</v>
      </c>
      <c r="AX87" s="1" t="s">
        <v>74</v>
      </c>
      <c r="AY87" s="1" t="s">
        <v>74</v>
      </c>
      <c r="AZ87" s="1" t="s">
        <v>74</v>
      </c>
      <c r="BA87" s="1" t="s">
        <v>74</v>
      </c>
      <c r="BB87" s="1">
        <v>207.0</v>
      </c>
      <c r="BC87" s="1">
        <v>210.0</v>
      </c>
      <c r="BD87" s="1" t="s">
        <v>74</v>
      </c>
      <c r="BE87" s="1" t="s">
        <v>74</v>
      </c>
      <c r="BF87" s="1" t="s">
        <v>74</v>
      </c>
      <c r="BG87" s="1" t="s">
        <v>74</v>
      </c>
      <c r="BH87" s="1" t="s">
        <v>74</v>
      </c>
      <c r="BI87" s="1" t="s">
        <v>74</v>
      </c>
      <c r="BJ87" s="1" t="s">
        <v>74</v>
      </c>
      <c r="BK87" s="1" t="s">
        <v>74</v>
      </c>
      <c r="BL87" s="1" t="s">
        <v>74</v>
      </c>
      <c r="BM87" s="1" t="s">
        <v>74</v>
      </c>
      <c r="BN87" s="1" t="s">
        <v>74</v>
      </c>
      <c r="BO87" s="1" t="s">
        <v>74</v>
      </c>
      <c r="BP87" s="1" t="s">
        <v>74</v>
      </c>
      <c r="BQ87" s="1" t="s">
        <v>74</v>
      </c>
      <c r="BR87" s="1" t="s">
        <v>74</v>
      </c>
      <c r="BS87" s="1" t="s">
        <v>992</v>
      </c>
      <c r="BT87" s="1" t="str">
        <f>HYPERLINK("https%3A%2F%2Fwww.webofscience.com%2Fwos%2Fwoscc%2Ffull-record%2FWOS:000608865900052","View Full Record in Web of Science")</f>
        <v>View Full Record in Web of Science</v>
      </c>
    </row>
    <row r="88" ht="12.75" customHeight="1">
      <c r="A88" s="1" t="s">
        <v>72</v>
      </c>
      <c r="B88" s="1" t="s">
        <v>993</v>
      </c>
      <c r="C88" s="1" t="s">
        <v>74</v>
      </c>
      <c r="D88" s="1" t="s">
        <v>74</v>
      </c>
      <c r="E88" s="1" t="s">
        <v>74</v>
      </c>
      <c r="F88" s="1" t="s">
        <v>994</v>
      </c>
      <c r="G88" s="1" t="s">
        <v>74</v>
      </c>
      <c r="H88" s="1" t="s">
        <v>74</v>
      </c>
      <c r="I88" s="1" t="s">
        <v>995</v>
      </c>
      <c r="J88" s="1" t="s">
        <v>996</v>
      </c>
      <c r="K88" s="1" t="s">
        <v>74</v>
      </c>
      <c r="L88" s="1" t="s">
        <v>74</v>
      </c>
      <c r="M88" s="1" t="s">
        <v>74</v>
      </c>
      <c r="N88" s="1" t="s">
        <v>74</v>
      </c>
      <c r="O88" s="1" t="s">
        <v>74</v>
      </c>
      <c r="P88" s="1" t="s">
        <v>74</v>
      </c>
      <c r="Q88" s="1" t="s">
        <v>74</v>
      </c>
      <c r="R88" s="1" t="s">
        <v>74</v>
      </c>
      <c r="S88" s="1" t="s">
        <v>74</v>
      </c>
      <c r="T88" s="1" t="s">
        <v>74</v>
      </c>
      <c r="U88" s="1" t="s">
        <v>74</v>
      </c>
      <c r="V88" s="1" t="s">
        <v>997</v>
      </c>
      <c r="W88" s="1" t="s">
        <v>74</v>
      </c>
      <c r="X88" s="1" t="s">
        <v>74</v>
      </c>
      <c r="Y88" s="1" t="s">
        <v>74</v>
      </c>
      <c r="Z88" s="1" t="s">
        <v>74</v>
      </c>
      <c r="AA88" s="1" t="s">
        <v>998</v>
      </c>
      <c r="AB88" s="1" t="s">
        <v>999</v>
      </c>
      <c r="AC88" s="1" t="s">
        <v>74</v>
      </c>
      <c r="AD88" s="1" t="s">
        <v>74</v>
      </c>
      <c r="AE88" s="1" t="s">
        <v>74</v>
      </c>
      <c r="AF88" s="1" t="s">
        <v>74</v>
      </c>
      <c r="AG88" s="1" t="s">
        <v>74</v>
      </c>
      <c r="AH88" s="1" t="s">
        <v>74</v>
      </c>
      <c r="AI88" s="1" t="s">
        <v>74</v>
      </c>
      <c r="AJ88" s="1" t="s">
        <v>74</v>
      </c>
      <c r="AK88" s="1" t="s">
        <v>74</v>
      </c>
      <c r="AL88" s="1" t="s">
        <v>74</v>
      </c>
      <c r="AM88" s="1" t="s">
        <v>74</v>
      </c>
      <c r="AN88" s="1" t="s">
        <v>74</v>
      </c>
      <c r="AO88" s="1" t="s">
        <v>1000</v>
      </c>
      <c r="AP88" s="1" t="s">
        <v>1001</v>
      </c>
      <c r="AQ88" s="1" t="s">
        <v>74</v>
      </c>
      <c r="AR88" s="1" t="s">
        <v>74</v>
      </c>
      <c r="AS88" s="1" t="s">
        <v>74</v>
      </c>
      <c r="AT88" s="1" t="s">
        <v>187</v>
      </c>
      <c r="AU88" s="1">
        <v>2019.0</v>
      </c>
      <c r="AV88" s="1">
        <v>277.0</v>
      </c>
      <c r="AW88" s="1" t="s">
        <v>74</v>
      </c>
      <c r="AX88" s="1" t="s">
        <v>74</v>
      </c>
      <c r="AY88" s="1" t="s">
        <v>74</v>
      </c>
      <c r="AZ88" s="1" t="s">
        <v>74</v>
      </c>
      <c r="BA88" s="1" t="s">
        <v>74</v>
      </c>
      <c r="BB88" s="1">
        <v>211.0</v>
      </c>
      <c r="BC88" s="1">
        <v>215.0</v>
      </c>
      <c r="BD88" s="1" t="s">
        <v>74</v>
      </c>
      <c r="BE88" s="1" t="s">
        <v>1002</v>
      </c>
      <c r="BF88" s="2" t="str">
        <f>HYPERLINK("http://dx.doi.org/10.1016/j.biortech.2019.01.005","http://dx.doi.org/10.1016/j.biortech.2019.01.005")</f>
        <v>http://dx.doi.org/10.1016/j.biortech.2019.01.005</v>
      </c>
      <c r="BG88" s="1" t="s">
        <v>74</v>
      </c>
      <c r="BH88" s="1" t="s">
        <v>74</v>
      </c>
      <c r="BI88" s="1" t="s">
        <v>74</v>
      </c>
      <c r="BJ88" s="1" t="s">
        <v>74</v>
      </c>
      <c r="BK88" s="1" t="s">
        <v>74</v>
      </c>
      <c r="BL88" s="1" t="s">
        <v>74</v>
      </c>
      <c r="BM88" s="1" t="s">
        <v>74</v>
      </c>
      <c r="BN88" s="1">
        <v>3.0639092E7</v>
      </c>
      <c r="BO88" s="1" t="s">
        <v>74</v>
      </c>
      <c r="BP88" s="1" t="s">
        <v>74</v>
      </c>
      <c r="BQ88" s="1" t="s">
        <v>74</v>
      </c>
      <c r="BR88" s="1" t="s">
        <v>74</v>
      </c>
      <c r="BS88" s="1" t="s">
        <v>1003</v>
      </c>
      <c r="BT88" s="1" t="str">
        <f>HYPERLINK("https%3A%2F%2Fwww.webofscience.com%2Fwos%2Fwoscc%2Ffull-record%2FWOS:000456705300023","View Full Record in Web of Science")</f>
        <v>View Full Record in Web of Science</v>
      </c>
    </row>
    <row r="89" ht="12.75" customHeight="1">
      <c r="A89" s="1" t="s">
        <v>72</v>
      </c>
      <c r="B89" s="1" t="s">
        <v>1004</v>
      </c>
      <c r="C89" s="1" t="s">
        <v>74</v>
      </c>
      <c r="D89" s="1" t="s">
        <v>74</v>
      </c>
      <c r="E89" s="1" t="s">
        <v>74</v>
      </c>
      <c r="F89" s="1" t="s">
        <v>1005</v>
      </c>
      <c r="G89" s="1" t="s">
        <v>74</v>
      </c>
      <c r="H89" s="1" t="s">
        <v>74</v>
      </c>
      <c r="I89" s="1" t="s">
        <v>1006</v>
      </c>
      <c r="J89" s="1" t="s">
        <v>1007</v>
      </c>
      <c r="K89" s="1" t="s">
        <v>74</v>
      </c>
      <c r="L89" s="1" t="s">
        <v>74</v>
      </c>
      <c r="M89" s="1" t="s">
        <v>74</v>
      </c>
      <c r="N89" s="1" t="s">
        <v>74</v>
      </c>
      <c r="O89" s="1" t="s">
        <v>74</v>
      </c>
      <c r="P89" s="1" t="s">
        <v>74</v>
      </c>
      <c r="Q89" s="1" t="s">
        <v>74</v>
      </c>
      <c r="R89" s="1" t="s">
        <v>74</v>
      </c>
      <c r="S89" s="1" t="s">
        <v>74</v>
      </c>
      <c r="T89" s="1" t="s">
        <v>74</v>
      </c>
      <c r="U89" s="1" t="s">
        <v>74</v>
      </c>
      <c r="V89" s="1" t="s">
        <v>1008</v>
      </c>
      <c r="W89" s="1" t="s">
        <v>74</v>
      </c>
      <c r="X89" s="1" t="s">
        <v>74</v>
      </c>
      <c r="Y89" s="1" t="s">
        <v>74</v>
      </c>
      <c r="Z89" s="1" t="s">
        <v>74</v>
      </c>
      <c r="AA89" s="1" t="s">
        <v>74</v>
      </c>
      <c r="AB89" s="1" t="s">
        <v>1009</v>
      </c>
      <c r="AC89" s="1" t="s">
        <v>74</v>
      </c>
      <c r="AD89" s="1" t="s">
        <v>74</v>
      </c>
      <c r="AE89" s="1" t="s">
        <v>74</v>
      </c>
      <c r="AF89" s="1" t="s">
        <v>74</v>
      </c>
      <c r="AG89" s="1" t="s">
        <v>74</v>
      </c>
      <c r="AH89" s="1" t="s">
        <v>74</v>
      </c>
      <c r="AI89" s="1" t="s">
        <v>74</v>
      </c>
      <c r="AJ89" s="1" t="s">
        <v>74</v>
      </c>
      <c r="AK89" s="1" t="s">
        <v>74</v>
      </c>
      <c r="AL89" s="1" t="s">
        <v>74</v>
      </c>
      <c r="AM89" s="1" t="s">
        <v>74</v>
      </c>
      <c r="AN89" s="1" t="s">
        <v>74</v>
      </c>
      <c r="AO89" s="1" t="s">
        <v>1010</v>
      </c>
      <c r="AP89" s="1" t="s">
        <v>1011</v>
      </c>
      <c r="AQ89" s="1" t="s">
        <v>74</v>
      </c>
      <c r="AR89" s="1" t="s">
        <v>74</v>
      </c>
      <c r="AS89" s="1" t="s">
        <v>74</v>
      </c>
      <c r="AT89" s="1" t="s">
        <v>120</v>
      </c>
      <c r="AU89" s="1">
        <v>2019.0</v>
      </c>
      <c r="AV89" s="1">
        <v>158.0</v>
      </c>
      <c r="AW89" s="1" t="s">
        <v>74</v>
      </c>
      <c r="AX89" s="1" t="s">
        <v>74</v>
      </c>
      <c r="AY89" s="1" t="s">
        <v>74</v>
      </c>
      <c r="AZ89" s="1" t="s">
        <v>74</v>
      </c>
      <c r="BA89" s="1" t="s">
        <v>74</v>
      </c>
      <c r="BB89" s="1">
        <v>128.0</v>
      </c>
      <c r="BC89" s="1">
        <v>146.0</v>
      </c>
      <c r="BD89" s="1" t="s">
        <v>74</v>
      </c>
      <c r="BE89" s="1" t="s">
        <v>1012</v>
      </c>
      <c r="BF89" s="2" t="str">
        <f>HYPERLINK("http://dx.doi.org/10.1016/j.jebo.2018.11.014","http://dx.doi.org/10.1016/j.jebo.2018.11.014")</f>
        <v>http://dx.doi.org/10.1016/j.jebo.2018.11.014</v>
      </c>
      <c r="BG89" s="1" t="s">
        <v>74</v>
      </c>
      <c r="BH89" s="1" t="s">
        <v>74</v>
      </c>
      <c r="BI89" s="1" t="s">
        <v>74</v>
      </c>
      <c r="BJ89" s="1" t="s">
        <v>74</v>
      </c>
      <c r="BK89" s="1" t="s">
        <v>74</v>
      </c>
      <c r="BL89" s="1" t="s">
        <v>74</v>
      </c>
      <c r="BM89" s="1" t="s">
        <v>74</v>
      </c>
      <c r="BN89" s="1" t="s">
        <v>74</v>
      </c>
      <c r="BO89" s="1" t="s">
        <v>74</v>
      </c>
      <c r="BP89" s="1" t="s">
        <v>74</v>
      </c>
      <c r="BQ89" s="1" t="s">
        <v>74</v>
      </c>
      <c r="BR89" s="1" t="s">
        <v>74</v>
      </c>
      <c r="BS89" s="1" t="s">
        <v>1013</v>
      </c>
      <c r="BT89" s="1" t="str">
        <f>HYPERLINK("https%3A%2F%2Fwww.webofscience.com%2Fwos%2Fwoscc%2Ffull-record%2FWOS:000461002700008","View Full Record in Web of Science")</f>
        <v>View Full Record in Web of Science</v>
      </c>
    </row>
    <row r="90" ht="12.75" customHeight="1">
      <c r="A90" s="1" t="s">
        <v>72</v>
      </c>
      <c r="B90" s="1" t="s">
        <v>1014</v>
      </c>
      <c r="C90" s="1" t="s">
        <v>74</v>
      </c>
      <c r="D90" s="1" t="s">
        <v>74</v>
      </c>
      <c r="E90" s="1" t="s">
        <v>74</v>
      </c>
      <c r="F90" s="1" t="s">
        <v>1015</v>
      </c>
      <c r="G90" s="1" t="s">
        <v>74</v>
      </c>
      <c r="H90" s="1" t="s">
        <v>74</v>
      </c>
      <c r="I90" s="1" t="s">
        <v>1016</v>
      </c>
      <c r="J90" s="1" t="s">
        <v>1017</v>
      </c>
      <c r="K90" s="1" t="s">
        <v>74</v>
      </c>
      <c r="L90" s="1" t="s">
        <v>74</v>
      </c>
      <c r="M90" s="1" t="s">
        <v>74</v>
      </c>
      <c r="N90" s="1" t="s">
        <v>74</v>
      </c>
      <c r="O90" s="1" t="s">
        <v>74</v>
      </c>
      <c r="P90" s="1" t="s">
        <v>74</v>
      </c>
      <c r="Q90" s="1" t="s">
        <v>74</v>
      </c>
      <c r="R90" s="1" t="s">
        <v>74</v>
      </c>
      <c r="S90" s="1" t="s">
        <v>74</v>
      </c>
      <c r="T90" s="1" t="s">
        <v>74</v>
      </c>
      <c r="U90" s="1" t="s">
        <v>74</v>
      </c>
      <c r="V90" s="1" t="s">
        <v>1018</v>
      </c>
      <c r="W90" s="1" t="s">
        <v>74</v>
      </c>
      <c r="X90" s="1" t="s">
        <v>74</v>
      </c>
      <c r="Y90" s="1" t="s">
        <v>74</v>
      </c>
      <c r="Z90" s="1" t="s">
        <v>74</v>
      </c>
      <c r="AA90" s="1" t="s">
        <v>74</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1019</v>
      </c>
      <c r="AP90" s="1" t="s">
        <v>74</v>
      </c>
      <c r="AQ90" s="1" t="s">
        <v>74</v>
      </c>
      <c r="AR90" s="1" t="s">
        <v>74</v>
      </c>
      <c r="AS90" s="1" t="s">
        <v>74</v>
      </c>
      <c r="AT90" s="1" t="s">
        <v>1020</v>
      </c>
      <c r="AU90" s="1">
        <v>2018.0</v>
      </c>
      <c r="AV90" s="1">
        <v>9.0</v>
      </c>
      <c r="AW90" s="1" t="s">
        <v>74</v>
      </c>
      <c r="AX90" s="1" t="s">
        <v>74</v>
      </c>
      <c r="AY90" s="1" t="s">
        <v>74</v>
      </c>
      <c r="AZ90" s="1" t="s">
        <v>74</v>
      </c>
      <c r="BA90" s="1" t="s">
        <v>74</v>
      </c>
      <c r="BB90" s="1" t="s">
        <v>74</v>
      </c>
      <c r="BC90" s="1" t="s">
        <v>74</v>
      </c>
      <c r="BD90" s="1">
        <v>3118.0</v>
      </c>
      <c r="BE90" s="1" t="s">
        <v>1021</v>
      </c>
      <c r="BF90" s="2" t="str">
        <f>HYPERLINK("http://dx.doi.org/10.3389/fmicb.2018.03118","http://dx.doi.org/10.3389/fmicb.2018.03118")</f>
        <v>http://dx.doi.org/10.3389/fmicb.2018.03118</v>
      </c>
      <c r="BG90" s="1" t="s">
        <v>74</v>
      </c>
      <c r="BH90" s="1" t="s">
        <v>74</v>
      </c>
      <c r="BI90" s="1" t="s">
        <v>74</v>
      </c>
      <c r="BJ90" s="1" t="s">
        <v>74</v>
      </c>
      <c r="BK90" s="1" t="s">
        <v>74</v>
      </c>
      <c r="BL90" s="1" t="s">
        <v>74</v>
      </c>
      <c r="BM90" s="1" t="s">
        <v>74</v>
      </c>
      <c r="BN90" s="1">
        <v>3.0619192E7</v>
      </c>
      <c r="BO90" s="1" t="s">
        <v>74</v>
      </c>
      <c r="BP90" s="1" t="s">
        <v>74</v>
      </c>
      <c r="BQ90" s="1" t="s">
        <v>74</v>
      </c>
      <c r="BR90" s="1" t="s">
        <v>74</v>
      </c>
      <c r="BS90" s="1" t="s">
        <v>1022</v>
      </c>
      <c r="BT90" s="1" t="str">
        <f>HYPERLINK("https%3A%2F%2Fwww.webofscience.com%2Fwos%2Fwoscc%2Ffull-record%2FWOS:000453654700002","View Full Record in Web of Science")</f>
        <v>View Full Record in Web of Science</v>
      </c>
    </row>
    <row r="91" ht="12.75" customHeight="1">
      <c r="A91" s="1" t="s">
        <v>72</v>
      </c>
      <c r="B91" s="1" t="s">
        <v>1023</v>
      </c>
      <c r="C91" s="1" t="s">
        <v>74</v>
      </c>
      <c r="D91" s="1" t="s">
        <v>74</v>
      </c>
      <c r="E91" s="1" t="s">
        <v>74</v>
      </c>
      <c r="F91" s="1" t="s">
        <v>1024</v>
      </c>
      <c r="G91" s="1" t="s">
        <v>74</v>
      </c>
      <c r="H91" s="1" t="s">
        <v>74</v>
      </c>
      <c r="I91" s="1" t="s">
        <v>1025</v>
      </c>
      <c r="J91" s="1" t="s">
        <v>1026</v>
      </c>
      <c r="K91" s="1" t="s">
        <v>74</v>
      </c>
      <c r="L91" s="1" t="s">
        <v>74</v>
      </c>
      <c r="M91" s="1" t="s">
        <v>74</v>
      </c>
      <c r="N91" s="1" t="s">
        <v>74</v>
      </c>
      <c r="O91" s="1" t="s">
        <v>74</v>
      </c>
      <c r="P91" s="1" t="s">
        <v>74</v>
      </c>
      <c r="Q91" s="1" t="s">
        <v>74</v>
      </c>
      <c r="R91" s="1" t="s">
        <v>74</v>
      </c>
      <c r="S91" s="1" t="s">
        <v>74</v>
      </c>
      <c r="T91" s="1" t="s">
        <v>74</v>
      </c>
      <c r="U91" s="1" t="s">
        <v>74</v>
      </c>
      <c r="V91" s="1" t="s">
        <v>1027</v>
      </c>
      <c r="W91" s="1" t="s">
        <v>74</v>
      </c>
      <c r="X91" s="1" t="s">
        <v>74</v>
      </c>
      <c r="Y91" s="1" t="s">
        <v>74</v>
      </c>
      <c r="Z91" s="1" t="s">
        <v>74</v>
      </c>
      <c r="AA91" s="1" t="s">
        <v>1028</v>
      </c>
      <c r="AB91" s="1" t="s">
        <v>1029</v>
      </c>
      <c r="AC91" s="1" t="s">
        <v>74</v>
      </c>
      <c r="AD91" s="1" t="s">
        <v>74</v>
      </c>
      <c r="AE91" s="1" t="s">
        <v>74</v>
      </c>
      <c r="AF91" s="1" t="s">
        <v>74</v>
      </c>
      <c r="AG91" s="1" t="s">
        <v>74</v>
      </c>
      <c r="AH91" s="1" t="s">
        <v>74</v>
      </c>
      <c r="AI91" s="1" t="s">
        <v>74</v>
      </c>
      <c r="AJ91" s="1" t="s">
        <v>74</v>
      </c>
      <c r="AK91" s="1" t="s">
        <v>74</v>
      </c>
      <c r="AL91" s="1" t="s">
        <v>74</v>
      </c>
      <c r="AM91" s="1" t="s">
        <v>74</v>
      </c>
      <c r="AN91" s="1" t="s">
        <v>74</v>
      </c>
      <c r="AO91" s="1" t="s">
        <v>1030</v>
      </c>
      <c r="AP91" s="1" t="s">
        <v>1031</v>
      </c>
      <c r="AQ91" s="1" t="s">
        <v>74</v>
      </c>
      <c r="AR91" s="1" t="s">
        <v>74</v>
      </c>
      <c r="AS91" s="1" t="s">
        <v>74</v>
      </c>
      <c r="AT91" s="1" t="s">
        <v>791</v>
      </c>
      <c r="AU91" s="1">
        <v>2018.0</v>
      </c>
      <c r="AV91" s="1">
        <v>319.0</v>
      </c>
      <c r="AW91" s="1" t="s">
        <v>74</v>
      </c>
      <c r="AX91" s="1" t="s">
        <v>74</v>
      </c>
      <c r="AY91" s="1" t="s">
        <v>74</v>
      </c>
      <c r="AZ91" s="1" t="s">
        <v>74</v>
      </c>
      <c r="BA91" s="1" t="s">
        <v>74</v>
      </c>
      <c r="BB91" s="1">
        <v>70.0</v>
      </c>
      <c r="BC91" s="1">
        <v>79.0</v>
      </c>
      <c r="BD91" s="1" t="s">
        <v>74</v>
      </c>
      <c r="BE91" s="1" t="s">
        <v>1032</v>
      </c>
      <c r="BF91" s="2" t="str">
        <f>HYPERLINK("http://dx.doi.org/10.1016/j.geoderma.2017.12.038","http://dx.doi.org/10.1016/j.geoderma.2017.12.038")</f>
        <v>http://dx.doi.org/10.1016/j.geoderma.2017.12.038</v>
      </c>
      <c r="BG91" s="1" t="s">
        <v>74</v>
      </c>
      <c r="BH91" s="1" t="s">
        <v>74</v>
      </c>
      <c r="BI91" s="1" t="s">
        <v>74</v>
      </c>
      <c r="BJ91" s="1" t="s">
        <v>74</v>
      </c>
      <c r="BK91" s="1" t="s">
        <v>74</v>
      </c>
      <c r="BL91" s="1" t="s">
        <v>74</v>
      </c>
      <c r="BM91" s="1" t="s">
        <v>74</v>
      </c>
      <c r="BN91" s="1" t="s">
        <v>74</v>
      </c>
      <c r="BO91" s="1" t="s">
        <v>74</v>
      </c>
      <c r="BP91" s="1" t="s">
        <v>74</v>
      </c>
      <c r="BQ91" s="1" t="s">
        <v>74</v>
      </c>
      <c r="BR91" s="1" t="s">
        <v>74</v>
      </c>
      <c r="BS91" s="1" t="s">
        <v>1033</v>
      </c>
      <c r="BT91" s="1" t="str">
        <f>HYPERLINK("https%3A%2F%2Fwww.webofscience.com%2Fwos%2Fwoscc%2Ffull-record%2FWOS:000426224800008","View Full Record in Web of Science")</f>
        <v>View Full Record in Web of Science</v>
      </c>
    </row>
    <row r="92" ht="12.75" customHeight="1">
      <c r="A92" s="1" t="s">
        <v>346</v>
      </c>
      <c r="B92" s="1" t="s">
        <v>1034</v>
      </c>
      <c r="C92" s="1" t="s">
        <v>74</v>
      </c>
      <c r="D92" s="1" t="s">
        <v>1035</v>
      </c>
      <c r="E92" s="1" t="s">
        <v>74</v>
      </c>
      <c r="F92" s="1" t="s">
        <v>1036</v>
      </c>
      <c r="G92" s="1" t="s">
        <v>74</v>
      </c>
      <c r="H92" s="1" t="s">
        <v>74</v>
      </c>
      <c r="I92" s="1" t="s">
        <v>1037</v>
      </c>
      <c r="J92" s="1" t="s">
        <v>1038</v>
      </c>
      <c r="K92" s="1" t="s">
        <v>74</v>
      </c>
      <c r="L92" s="1" t="s">
        <v>74</v>
      </c>
      <c r="M92" s="1" t="s">
        <v>74</v>
      </c>
      <c r="N92" s="1" t="s">
        <v>74</v>
      </c>
      <c r="O92" s="1" t="s">
        <v>1039</v>
      </c>
      <c r="P92" s="1" t="s">
        <v>1040</v>
      </c>
      <c r="Q92" s="1" t="s">
        <v>1041</v>
      </c>
      <c r="R92" s="1" t="s">
        <v>1042</v>
      </c>
      <c r="S92" s="1" t="s">
        <v>74</v>
      </c>
      <c r="T92" s="1" t="s">
        <v>74</v>
      </c>
      <c r="U92" s="1" t="s">
        <v>74</v>
      </c>
      <c r="V92" s="1" t="s">
        <v>1043</v>
      </c>
      <c r="W92" s="1" t="s">
        <v>74</v>
      </c>
      <c r="X92" s="1" t="s">
        <v>74</v>
      </c>
      <c r="Y92" s="1" t="s">
        <v>74</v>
      </c>
      <c r="Z92" s="1" t="s">
        <v>74</v>
      </c>
      <c r="AA92" s="1" t="s">
        <v>1044</v>
      </c>
      <c r="AB92" s="1" t="s">
        <v>1045</v>
      </c>
      <c r="AC92" s="1" t="s">
        <v>74</v>
      </c>
      <c r="AD92" s="1" t="s">
        <v>74</v>
      </c>
      <c r="AE92" s="1" t="s">
        <v>74</v>
      </c>
      <c r="AF92" s="1" t="s">
        <v>74</v>
      </c>
      <c r="AG92" s="1" t="s">
        <v>74</v>
      </c>
      <c r="AH92" s="1" t="s">
        <v>74</v>
      </c>
      <c r="AI92" s="1" t="s">
        <v>74</v>
      </c>
      <c r="AJ92" s="1" t="s">
        <v>74</v>
      </c>
      <c r="AK92" s="1" t="s">
        <v>74</v>
      </c>
      <c r="AL92" s="1" t="s">
        <v>74</v>
      </c>
      <c r="AM92" s="1" t="s">
        <v>74</v>
      </c>
      <c r="AN92" s="1" t="s">
        <v>74</v>
      </c>
      <c r="AO92" s="1" t="s">
        <v>74</v>
      </c>
      <c r="AP92" s="1" t="s">
        <v>74</v>
      </c>
      <c r="AQ92" s="1" t="s">
        <v>1046</v>
      </c>
      <c r="AR92" s="1" t="s">
        <v>74</v>
      </c>
      <c r="AS92" s="1" t="s">
        <v>74</v>
      </c>
      <c r="AT92" s="1" t="s">
        <v>74</v>
      </c>
      <c r="AU92" s="1">
        <v>2018.0</v>
      </c>
      <c r="AV92" s="1" t="s">
        <v>74</v>
      </c>
      <c r="AW92" s="1" t="s">
        <v>74</v>
      </c>
      <c r="AX92" s="1" t="s">
        <v>74</v>
      </c>
      <c r="AY92" s="1" t="s">
        <v>74</v>
      </c>
      <c r="AZ92" s="1" t="s">
        <v>74</v>
      </c>
      <c r="BA92" s="1" t="s">
        <v>74</v>
      </c>
      <c r="BB92" s="1" t="s">
        <v>74</v>
      </c>
      <c r="BC92" s="1" t="s">
        <v>74</v>
      </c>
      <c r="BD92" s="1" t="s">
        <v>74</v>
      </c>
      <c r="BE92" s="1" t="s">
        <v>74</v>
      </c>
      <c r="BF92" s="1" t="s">
        <v>74</v>
      </c>
      <c r="BG92" s="1" t="s">
        <v>74</v>
      </c>
      <c r="BH92" s="1" t="s">
        <v>74</v>
      </c>
      <c r="BI92" s="1" t="s">
        <v>74</v>
      </c>
      <c r="BJ92" s="1" t="s">
        <v>74</v>
      </c>
      <c r="BK92" s="1" t="s">
        <v>74</v>
      </c>
      <c r="BL92" s="1" t="s">
        <v>74</v>
      </c>
      <c r="BM92" s="1" t="s">
        <v>74</v>
      </c>
      <c r="BN92" s="1" t="s">
        <v>74</v>
      </c>
      <c r="BO92" s="1" t="s">
        <v>74</v>
      </c>
      <c r="BP92" s="1" t="s">
        <v>74</v>
      </c>
      <c r="BQ92" s="1" t="s">
        <v>74</v>
      </c>
      <c r="BR92" s="1" t="s">
        <v>74</v>
      </c>
      <c r="BS92" s="1" t="s">
        <v>1047</v>
      </c>
      <c r="BT92" s="1" t="str">
        <f>HYPERLINK("https%3A%2F%2Fwww.webofscience.com%2Fwos%2Fwoscc%2Ffull-record%2FWOS:000458417600091","View Full Record in Web of Science")</f>
        <v>View Full Record in Web of Science</v>
      </c>
    </row>
    <row r="93" ht="12.75" customHeight="1">
      <c r="A93" s="1" t="s">
        <v>72</v>
      </c>
      <c r="B93" s="1" t="s">
        <v>1048</v>
      </c>
      <c r="C93" s="1" t="s">
        <v>74</v>
      </c>
      <c r="D93" s="1" t="s">
        <v>74</v>
      </c>
      <c r="E93" s="1" t="s">
        <v>74</v>
      </c>
      <c r="F93" s="1" t="s">
        <v>1049</v>
      </c>
      <c r="G93" s="1" t="s">
        <v>74</v>
      </c>
      <c r="H93" s="1" t="s">
        <v>74</v>
      </c>
      <c r="I93" s="1" t="s">
        <v>1050</v>
      </c>
      <c r="J93" s="1" t="s">
        <v>1051</v>
      </c>
      <c r="K93" s="1" t="s">
        <v>74</v>
      </c>
      <c r="L93" s="1" t="s">
        <v>74</v>
      </c>
      <c r="M93" s="1" t="s">
        <v>74</v>
      </c>
      <c r="N93" s="1" t="s">
        <v>74</v>
      </c>
      <c r="O93" s="1" t="s">
        <v>74</v>
      </c>
      <c r="P93" s="1" t="s">
        <v>74</v>
      </c>
      <c r="Q93" s="1" t="s">
        <v>74</v>
      </c>
      <c r="R93" s="1" t="s">
        <v>74</v>
      </c>
      <c r="S93" s="1" t="s">
        <v>74</v>
      </c>
      <c r="T93" s="1" t="s">
        <v>74</v>
      </c>
      <c r="U93" s="1" t="s">
        <v>74</v>
      </c>
      <c r="V93" s="1" t="s">
        <v>1052</v>
      </c>
      <c r="W93" s="1" t="s">
        <v>74</v>
      </c>
      <c r="X93" s="1" t="s">
        <v>74</v>
      </c>
      <c r="Y93" s="1" t="s">
        <v>74</v>
      </c>
      <c r="Z93" s="1" t="s">
        <v>74</v>
      </c>
      <c r="AA93" s="1" t="s">
        <v>1053</v>
      </c>
      <c r="AB93" s="1" t="s">
        <v>1054</v>
      </c>
      <c r="AC93" s="1" t="s">
        <v>74</v>
      </c>
      <c r="AD93" s="1" t="s">
        <v>74</v>
      </c>
      <c r="AE93" s="1" t="s">
        <v>74</v>
      </c>
      <c r="AF93" s="1" t="s">
        <v>74</v>
      </c>
      <c r="AG93" s="1" t="s">
        <v>74</v>
      </c>
      <c r="AH93" s="1" t="s">
        <v>74</v>
      </c>
      <c r="AI93" s="1" t="s">
        <v>74</v>
      </c>
      <c r="AJ93" s="1" t="s">
        <v>74</v>
      </c>
      <c r="AK93" s="1" t="s">
        <v>74</v>
      </c>
      <c r="AL93" s="1" t="s">
        <v>74</v>
      </c>
      <c r="AM93" s="1" t="s">
        <v>74</v>
      </c>
      <c r="AN93" s="1" t="s">
        <v>74</v>
      </c>
      <c r="AO93" s="1" t="s">
        <v>1055</v>
      </c>
      <c r="AP93" s="1" t="s">
        <v>1056</v>
      </c>
      <c r="AQ93" s="1" t="s">
        <v>74</v>
      </c>
      <c r="AR93" s="1" t="s">
        <v>74</v>
      </c>
      <c r="AS93" s="1" t="s">
        <v>74</v>
      </c>
      <c r="AT93" s="1" t="s">
        <v>74</v>
      </c>
      <c r="AU93" s="1">
        <v>2018.0</v>
      </c>
      <c r="AV93" s="1">
        <v>31.0</v>
      </c>
      <c r="AW93" s="1">
        <v>2.0</v>
      </c>
      <c r="AX93" s="1" t="s">
        <v>74</v>
      </c>
      <c r="AY93" s="1" t="s">
        <v>74</v>
      </c>
      <c r="AZ93" s="1" t="s">
        <v>74</v>
      </c>
      <c r="BA93" s="1" t="s">
        <v>74</v>
      </c>
      <c r="BB93" s="1">
        <v>125.0</v>
      </c>
      <c r="BC93" s="1">
        <v>141.0</v>
      </c>
      <c r="BD93" s="1" t="s">
        <v>74</v>
      </c>
      <c r="BE93" s="1" t="s">
        <v>1057</v>
      </c>
      <c r="BF93" s="2" t="str">
        <f>HYPERLINK("http://dx.doi.org/10.1080/13511610.2017.1326304","http://dx.doi.org/10.1080/13511610.2017.1326304")</f>
        <v>http://dx.doi.org/10.1080/13511610.2017.1326304</v>
      </c>
      <c r="BG93" s="1" t="s">
        <v>74</v>
      </c>
      <c r="BH93" s="1" t="s">
        <v>74</v>
      </c>
      <c r="BI93" s="1" t="s">
        <v>74</v>
      </c>
      <c r="BJ93" s="1" t="s">
        <v>74</v>
      </c>
      <c r="BK93" s="1" t="s">
        <v>74</v>
      </c>
      <c r="BL93" s="1" t="s">
        <v>74</v>
      </c>
      <c r="BM93" s="1" t="s">
        <v>74</v>
      </c>
      <c r="BN93" s="1" t="s">
        <v>74</v>
      </c>
      <c r="BO93" s="1" t="s">
        <v>74</v>
      </c>
      <c r="BP93" s="1" t="s">
        <v>74</v>
      </c>
      <c r="BQ93" s="1" t="s">
        <v>74</v>
      </c>
      <c r="BR93" s="1" t="s">
        <v>74</v>
      </c>
      <c r="BS93" s="1" t="s">
        <v>1058</v>
      </c>
      <c r="BT93" s="1" t="str">
        <f>HYPERLINK("https%3A%2F%2Fwww.webofscience.com%2Fwos%2Fwoscc%2Ffull-record%2FWOS:000432724200003","View Full Record in Web of Science")</f>
        <v>View Full Record in Web of Science</v>
      </c>
    </row>
    <row r="94" ht="12.75" customHeight="1">
      <c r="A94" s="1" t="s">
        <v>72</v>
      </c>
      <c r="B94" s="1" t="s">
        <v>1059</v>
      </c>
      <c r="C94" s="1" t="s">
        <v>74</v>
      </c>
      <c r="D94" s="1" t="s">
        <v>74</v>
      </c>
      <c r="E94" s="1" t="s">
        <v>74</v>
      </c>
      <c r="F94" s="1" t="s">
        <v>1060</v>
      </c>
      <c r="G94" s="1" t="s">
        <v>74</v>
      </c>
      <c r="H94" s="1" t="s">
        <v>74</v>
      </c>
      <c r="I94" s="1" t="s">
        <v>1061</v>
      </c>
      <c r="J94" s="1" t="s">
        <v>1062</v>
      </c>
      <c r="K94" s="1" t="s">
        <v>74</v>
      </c>
      <c r="L94" s="1" t="s">
        <v>74</v>
      </c>
      <c r="M94" s="1" t="s">
        <v>74</v>
      </c>
      <c r="N94" s="1" t="s">
        <v>74</v>
      </c>
      <c r="O94" s="1" t="s">
        <v>74</v>
      </c>
      <c r="P94" s="1" t="s">
        <v>74</v>
      </c>
      <c r="Q94" s="1" t="s">
        <v>74</v>
      </c>
      <c r="R94" s="1" t="s">
        <v>74</v>
      </c>
      <c r="S94" s="1" t="s">
        <v>74</v>
      </c>
      <c r="T94" s="1" t="s">
        <v>74</v>
      </c>
      <c r="U94" s="1" t="s">
        <v>74</v>
      </c>
      <c r="V94" s="1" t="s">
        <v>1063</v>
      </c>
      <c r="W94" s="1" t="s">
        <v>74</v>
      </c>
      <c r="X94" s="1" t="s">
        <v>74</v>
      </c>
      <c r="Y94" s="1" t="s">
        <v>74</v>
      </c>
      <c r="Z94" s="1" t="s">
        <v>74</v>
      </c>
      <c r="AA94" s="1" t="s">
        <v>1064</v>
      </c>
      <c r="AB94" s="1" t="s">
        <v>1065</v>
      </c>
      <c r="AC94" s="1" t="s">
        <v>74</v>
      </c>
      <c r="AD94" s="1" t="s">
        <v>74</v>
      </c>
      <c r="AE94" s="1" t="s">
        <v>74</v>
      </c>
      <c r="AF94" s="1" t="s">
        <v>74</v>
      </c>
      <c r="AG94" s="1" t="s">
        <v>74</v>
      </c>
      <c r="AH94" s="1" t="s">
        <v>74</v>
      </c>
      <c r="AI94" s="1" t="s">
        <v>74</v>
      </c>
      <c r="AJ94" s="1" t="s">
        <v>74</v>
      </c>
      <c r="AK94" s="1" t="s">
        <v>74</v>
      </c>
      <c r="AL94" s="1" t="s">
        <v>74</v>
      </c>
      <c r="AM94" s="1" t="s">
        <v>74</v>
      </c>
      <c r="AN94" s="1" t="s">
        <v>74</v>
      </c>
      <c r="AO94" s="1" t="s">
        <v>1066</v>
      </c>
      <c r="AP94" s="1" t="s">
        <v>1067</v>
      </c>
      <c r="AQ94" s="1" t="s">
        <v>74</v>
      </c>
      <c r="AR94" s="1" t="s">
        <v>74</v>
      </c>
      <c r="AS94" s="1" t="s">
        <v>74</v>
      </c>
      <c r="AT94" s="1" t="s">
        <v>95</v>
      </c>
      <c r="AU94" s="1">
        <v>2017.0</v>
      </c>
      <c r="AV94" s="1">
        <v>181.0</v>
      </c>
      <c r="AW94" s="1" t="s">
        <v>74</v>
      </c>
      <c r="AX94" s="1" t="s">
        <v>74</v>
      </c>
      <c r="AY94" s="1" t="s">
        <v>74</v>
      </c>
      <c r="AZ94" s="1" t="s">
        <v>74</v>
      </c>
      <c r="BA94" s="1" t="s">
        <v>74</v>
      </c>
      <c r="BB94" s="1">
        <v>229.0</v>
      </c>
      <c r="BC94" s="1">
        <v>239.0</v>
      </c>
      <c r="BD94" s="1" t="s">
        <v>74</v>
      </c>
      <c r="BE94" s="1" t="s">
        <v>1068</v>
      </c>
      <c r="BF94" s="2" t="str">
        <f>HYPERLINK("http://dx.doi.org/10.1016/j.compstruct.2017.08.105","http://dx.doi.org/10.1016/j.compstruct.2017.08.105")</f>
        <v>http://dx.doi.org/10.1016/j.compstruct.2017.08.105</v>
      </c>
      <c r="BG94" s="1" t="s">
        <v>74</v>
      </c>
      <c r="BH94" s="1" t="s">
        <v>74</v>
      </c>
      <c r="BI94" s="1" t="s">
        <v>74</v>
      </c>
      <c r="BJ94" s="1" t="s">
        <v>74</v>
      </c>
      <c r="BK94" s="1" t="s">
        <v>74</v>
      </c>
      <c r="BL94" s="1" t="s">
        <v>74</v>
      </c>
      <c r="BM94" s="1" t="s">
        <v>74</v>
      </c>
      <c r="BN94" s="1" t="s">
        <v>74</v>
      </c>
      <c r="BO94" s="1" t="s">
        <v>74</v>
      </c>
      <c r="BP94" s="1" t="s">
        <v>74</v>
      </c>
      <c r="BQ94" s="1" t="s">
        <v>74</v>
      </c>
      <c r="BR94" s="1" t="s">
        <v>74</v>
      </c>
      <c r="BS94" s="1" t="s">
        <v>1069</v>
      </c>
      <c r="BT94" s="1" t="str">
        <f>HYPERLINK("https%3A%2F%2Fwww.webofscience.com%2Fwos%2Fwoscc%2Ffull-record%2FWOS:000411761400019","View Full Record in Web of Science")</f>
        <v>View Full Record in Web of Science</v>
      </c>
    </row>
    <row r="95" ht="12.75" customHeight="1">
      <c r="A95" s="1" t="s">
        <v>72</v>
      </c>
      <c r="B95" s="1" t="s">
        <v>1070</v>
      </c>
      <c r="C95" s="1" t="s">
        <v>74</v>
      </c>
      <c r="D95" s="1" t="s">
        <v>74</v>
      </c>
      <c r="E95" s="1" t="s">
        <v>74</v>
      </c>
      <c r="F95" s="1" t="s">
        <v>1071</v>
      </c>
      <c r="G95" s="1" t="s">
        <v>74</v>
      </c>
      <c r="H95" s="1" t="s">
        <v>74</v>
      </c>
      <c r="I95" s="1" t="s">
        <v>1072</v>
      </c>
      <c r="J95" s="1" t="s">
        <v>1073</v>
      </c>
      <c r="K95" s="1" t="s">
        <v>74</v>
      </c>
      <c r="L95" s="1" t="s">
        <v>74</v>
      </c>
      <c r="M95" s="1" t="s">
        <v>74</v>
      </c>
      <c r="N95" s="1" t="s">
        <v>74</v>
      </c>
      <c r="O95" s="1" t="s">
        <v>74</v>
      </c>
      <c r="P95" s="1" t="s">
        <v>74</v>
      </c>
      <c r="Q95" s="1" t="s">
        <v>74</v>
      </c>
      <c r="R95" s="1" t="s">
        <v>74</v>
      </c>
      <c r="S95" s="1" t="s">
        <v>74</v>
      </c>
      <c r="T95" s="1" t="s">
        <v>74</v>
      </c>
      <c r="U95" s="1" t="s">
        <v>74</v>
      </c>
      <c r="V95" s="1" t="s">
        <v>1074</v>
      </c>
      <c r="W95" s="1" t="s">
        <v>74</v>
      </c>
      <c r="X95" s="1" t="s">
        <v>74</v>
      </c>
      <c r="Y95" s="1" t="s">
        <v>74</v>
      </c>
      <c r="Z95" s="1" t="s">
        <v>74</v>
      </c>
      <c r="AA95" s="1" t="s">
        <v>1075</v>
      </c>
      <c r="AB95" s="1" t="s">
        <v>1076</v>
      </c>
      <c r="AC95" s="1" t="s">
        <v>74</v>
      </c>
      <c r="AD95" s="1" t="s">
        <v>74</v>
      </c>
      <c r="AE95" s="1" t="s">
        <v>74</v>
      </c>
      <c r="AF95" s="1" t="s">
        <v>74</v>
      </c>
      <c r="AG95" s="1" t="s">
        <v>74</v>
      </c>
      <c r="AH95" s="1" t="s">
        <v>74</v>
      </c>
      <c r="AI95" s="1" t="s">
        <v>74</v>
      </c>
      <c r="AJ95" s="1" t="s">
        <v>74</v>
      </c>
      <c r="AK95" s="1" t="s">
        <v>74</v>
      </c>
      <c r="AL95" s="1" t="s">
        <v>74</v>
      </c>
      <c r="AM95" s="1" t="s">
        <v>74</v>
      </c>
      <c r="AN95" s="1" t="s">
        <v>74</v>
      </c>
      <c r="AO95" s="1" t="s">
        <v>74</v>
      </c>
      <c r="AP95" s="1" t="s">
        <v>1077</v>
      </c>
      <c r="AQ95" s="1" t="s">
        <v>74</v>
      </c>
      <c r="AR95" s="1" t="s">
        <v>74</v>
      </c>
      <c r="AS95" s="1" t="s">
        <v>74</v>
      </c>
      <c r="AT95" s="1" t="s">
        <v>1078</v>
      </c>
      <c r="AU95" s="1">
        <v>2017.0</v>
      </c>
      <c r="AV95" s="1">
        <v>2017.0</v>
      </c>
      <c r="AW95" s="1">
        <v>2.0</v>
      </c>
      <c r="AX95" s="1" t="s">
        <v>74</v>
      </c>
      <c r="AY95" s="1" t="s">
        <v>74</v>
      </c>
      <c r="AZ95" s="1" t="s">
        <v>74</v>
      </c>
      <c r="BA95" s="1" t="s">
        <v>74</v>
      </c>
      <c r="BB95" s="1" t="s">
        <v>74</v>
      </c>
      <c r="BC95" s="1" t="s">
        <v>74</v>
      </c>
      <c r="BD95" s="1" t="s">
        <v>1079</v>
      </c>
      <c r="BE95" s="1" t="s">
        <v>1080</v>
      </c>
      <c r="BF95" s="2" t="str">
        <f>HYPERLINK("http://dx.doi.org/10.1093/hropen/hox013","http://dx.doi.org/10.1093/hropen/hox013")</f>
        <v>http://dx.doi.org/10.1093/hropen/hox013</v>
      </c>
      <c r="BG95" s="1" t="s">
        <v>74</v>
      </c>
      <c r="BH95" s="1" t="s">
        <v>74</v>
      </c>
      <c r="BI95" s="1" t="s">
        <v>74</v>
      </c>
      <c r="BJ95" s="1" t="s">
        <v>74</v>
      </c>
      <c r="BK95" s="1" t="s">
        <v>74</v>
      </c>
      <c r="BL95" s="1" t="s">
        <v>74</v>
      </c>
      <c r="BM95" s="1" t="s">
        <v>74</v>
      </c>
      <c r="BN95" s="1">
        <v>3.0895229E7</v>
      </c>
      <c r="BO95" s="1" t="s">
        <v>74</v>
      </c>
      <c r="BP95" s="1" t="s">
        <v>74</v>
      </c>
      <c r="BQ95" s="1" t="s">
        <v>74</v>
      </c>
      <c r="BR95" s="1" t="s">
        <v>74</v>
      </c>
      <c r="BS95" s="1" t="s">
        <v>1081</v>
      </c>
      <c r="BT95" s="1" t="str">
        <f>HYPERLINK("https%3A%2F%2Fwww.webofscience.com%2Fwos%2Fwoscc%2Ffull-record%2FWOS:000661531700001","View Full Record in Web of Science")</f>
        <v>View Full Record in Web of Science</v>
      </c>
    </row>
    <row r="96" ht="12.75" customHeight="1">
      <c r="A96" s="1" t="s">
        <v>72</v>
      </c>
      <c r="B96" s="1" t="s">
        <v>1082</v>
      </c>
      <c r="C96" s="1" t="s">
        <v>74</v>
      </c>
      <c r="D96" s="1" t="s">
        <v>74</v>
      </c>
      <c r="E96" s="1" t="s">
        <v>74</v>
      </c>
      <c r="F96" s="1" t="s">
        <v>1083</v>
      </c>
      <c r="G96" s="1" t="s">
        <v>74</v>
      </c>
      <c r="H96" s="1" t="s">
        <v>74</v>
      </c>
      <c r="I96" s="1" t="s">
        <v>1084</v>
      </c>
      <c r="J96" s="1" t="s">
        <v>1085</v>
      </c>
      <c r="K96" s="1" t="s">
        <v>74</v>
      </c>
      <c r="L96" s="1" t="s">
        <v>74</v>
      </c>
      <c r="M96" s="1" t="s">
        <v>74</v>
      </c>
      <c r="N96" s="1" t="s">
        <v>74</v>
      </c>
      <c r="O96" s="1" t="s">
        <v>74</v>
      </c>
      <c r="P96" s="1" t="s">
        <v>74</v>
      </c>
      <c r="Q96" s="1" t="s">
        <v>74</v>
      </c>
      <c r="R96" s="1" t="s">
        <v>74</v>
      </c>
      <c r="S96" s="1" t="s">
        <v>74</v>
      </c>
      <c r="T96" s="1" t="s">
        <v>74</v>
      </c>
      <c r="U96" s="1" t="s">
        <v>74</v>
      </c>
      <c r="V96" s="1" t="s">
        <v>1086</v>
      </c>
      <c r="W96" s="1" t="s">
        <v>74</v>
      </c>
      <c r="X96" s="1" t="s">
        <v>74</v>
      </c>
      <c r="Y96" s="1" t="s">
        <v>74</v>
      </c>
      <c r="Z96" s="1" t="s">
        <v>74</v>
      </c>
      <c r="AA96" s="1" t="s">
        <v>1087</v>
      </c>
      <c r="AB96" s="1" t="s">
        <v>1088</v>
      </c>
      <c r="AC96" s="1" t="s">
        <v>74</v>
      </c>
      <c r="AD96" s="1" t="s">
        <v>74</v>
      </c>
      <c r="AE96" s="1" t="s">
        <v>74</v>
      </c>
      <c r="AF96" s="1" t="s">
        <v>74</v>
      </c>
      <c r="AG96" s="1" t="s">
        <v>74</v>
      </c>
      <c r="AH96" s="1" t="s">
        <v>74</v>
      </c>
      <c r="AI96" s="1" t="s">
        <v>74</v>
      </c>
      <c r="AJ96" s="1" t="s">
        <v>74</v>
      </c>
      <c r="AK96" s="1" t="s">
        <v>74</v>
      </c>
      <c r="AL96" s="1" t="s">
        <v>74</v>
      </c>
      <c r="AM96" s="1" t="s">
        <v>74</v>
      </c>
      <c r="AN96" s="1" t="s">
        <v>74</v>
      </c>
      <c r="AO96" s="1" t="s">
        <v>1089</v>
      </c>
      <c r="AP96" s="1" t="s">
        <v>1090</v>
      </c>
      <c r="AQ96" s="1" t="s">
        <v>74</v>
      </c>
      <c r="AR96" s="1" t="s">
        <v>74</v>
      </c>
      <c r="AS96" s="1" t="s">
        <v>74</v>
      </c>
      <c r="AT96" s="1" t="s">
        <v>1091</v>
      </c>
      <c r="AU96" s="1">
        <v>2016.0</v>
      </c>
      <c r="AV96" s="1">
        <v>94.0</v>
      </c>
      <c r="AW96" s="1">
        <v>6.0</v>
      </c>
      <c r="AX96" s="1" t="s">
        <v>74</v>
      </c>
      <c r="AY96" s="1" t="s">
        <v>74</v>
      </c>
      <c r="AZ96" s="1" t="s">
        <v>74</v>
      </c>
      <c r="BA96" s="1" t="s">
        <v>74</v>
      </c>
      <c r="BB96" s="1" t="s">
        <v>74</v>
      </c>
      <c r="BC96" s="1" t="s">
        <v>74</v>
      </c>
      <c r="BD96" s="1">
        <v>62113.0</v>
      </c>
      <c r="BE96" s="1" t="s">
        <v>1092</v>
      </c>
      <c r="BF96" s="2" t="str">
        <f>HYPERLINK("http://dx.doi.org/10.1103/PhysRevE.94.062113","http://dx.doi.org/10.1103/PhysRevE.94.062113")</f>
        <v>http://dx.doi.org/10.1103/PhysRevE.94.062113</v>
      </c>
      <c r="BG96" s="1" t="s">
        <v>74</v>
      </c>
      <c r="BH96" s="1" t="s">
        <v>74</v>
      </c>
      <c r="BI96" s="1" t="s">
        <v>74</v>
      </c>
      <c r="BJ96" s="1" t="s">
        <v>74</v>
      </c>
      <c r="BK96" s="1" t="s">
        <v>74</v>
      </c>
      <c r="BL96" s="1" t="s">
        <v>74</v>
      </c>
      <c r="BM96" s="1" t="s">
        <v>74</v>
      </c>
      <c r="BN96" s="1">
        <v>2.808544E7</v>
      </c>
      <c r="BO96" s="1" t="s">
        <v>74</v>
      </c>
      <c r="BP96" s="1" t="s">
        <v>74</v>
      </c>
      <c r="BQ96" s="1" t="s">
        <v>74</v>
      </c>
      <c r="BR96" s="1" t="s">
        <v>74</v>
      </c>
      <c r="BS96" s="1" t="s">
        <v>1093</v>
      </c>
      <c r="BT96" s="1" t="str">
        <f>HYPERLINK("https%3A%2F%2Fwww.webofscience.com%2Fwos%2Fwoscc%2Ffull-record%2FWOS:000389575900001","View Full Record in Web of Science")</f>
        <v>View Full Record in Web of Science</v>
      </c>
    </row>
    <row r="97" ht="12.75" customHeight="1">
      <c r="A97" s="1" t="s">
        <v>346</v>
      </c>
      <c r="B97" s="1" t="s">
        <v>1094</v>
      </c>
      <c r="C97" s="1" t="s">
        <v>74</v>
      </c>
      <c r="D97" s="1" t="s">
        <v>1095</v>
      </c>
      <c r="E97" s="1" t="s">
        <v>74</v>
      </c>
      <c r="F97" s="1" t="s">
        <v>1096</v>
      </c>
      <c r="G97" s="1" t="s">
        <v>74</v>
      </c>
      <c r="H97" s="1" t="s">
        <v>74</v>
      </c>
      <c r="I97" s="1" t="s">
        <v>1097</v>
      </c>
      <c r="J97" s="1" t="s">
        <v>1098</v>
      </c>
      <c r="K97" s="1" t="s">
        <v>676</v>
      </c>
      <c r="L97" s="1" t="s">
        <v>74</v>
      </c>
      <c r="M97" s="1" t="s">
        <v>74</v>
      </c>
      <c r="N97" s="1" t="s">
        <v>74</v>
      </c>
      <c r="O97" s="1" t="s">
        <v>1099</v>
      </c>
      <c r="P97" s="1" t="s">
        <v>1100</v>
      </c>
      <c r="Q97" s="1" t="s">
        <v>1101</v>
      </c>
      <c r="R97" s="1" t="s">
        <v>1102</v>
      </c>
      <c r="S97" s="1" t="s">
        <v>74</v>
      </c>
      <c r="T97" s="1" t="s">
        <v>74</v>
      </c>
      <c r="U97" s="1" t="s">
        <v>74</v>
      </c>
      <c r="V97" s="1" t="s">
        <v>1103</v>
      </c>
      <c r="W97" s="1" t="s">
        <v>74</v>
      </c>
      <c r="X97" s="1" t="s">
        <v>74</v>
      </c>
      <c r="Y97" s="1" t="s">
        <v>74</v>
      </c>
      <c r="Z97" s="1" t="s">
        <v>74</v>
      </c>
      <c r="AA97" s="1" t="s">
        <v>1104</v>
      </c>
      <c r="AB97" s="1" t="s">
        <v>1105</v>
      </c>
      <c r="AC97" s="1" t="s">
        <v>74</v>
      </c>
      <c r="AD97" s="1" t="s">
        <v>74</v>
      </c>
      <c r="AE97" s="1" t="s">
        <v>74</v>
      </c>
      <c r="AF97" s="1" t="s">
        <v>74</v>
      </c>
      <c r="AG97" s="1" t="s">
        <v>74</v>
      </c>
      <c r="AH97" s="1" t="s">
        <v>74</v>
      </c>
      <c r="AI97" s="1" t="s">
        <v>74</v>
      </c>
      <c r="AJ97" s="1" t="s">
        <v>74</v>
      </c>
      <c r="AK97" s="1" t="s">
        <v>74</v>
      </c>
      <c r="AL97" s="1" t="s">
        <v>74</v>
      </c>
      <c r="AM97" s="1" t="s">
        <v>74</v>
      </c>
      <c r="AN97" s="1" t="s">
        <v>74</v>
      </c>
      <c r="AO97" s="1" t="s">
        <v>684</v>
      </c>
      <c r="AP97" s="1" t="s">
        <v>685</v>
      </c>
      <c r="AQ97" s="1" t="s">
        <v>1106</v>
      </c>
      <c r="AR97" s="1" t="s">
        <v>74</v>
      </c>
      <c r="AS97" s="1" t="s">
        <v>74</v>
      </c>
      <c r="AT97" s="1" t="s">
        <v>74</v>
      </c>
      <c r="AU97" s="1">
        <v>2016.0</v>
      </c>
      <c r="AV97" s="1">
        <v>646.0</v>
      </c>
      <c r="AW97" s="1" t="s">
        <v>74</v>
      </c>
      <c r="AX97" s="1" t="s">
        <v>74</v>
      </c>
      <c r="AY97" s="1" t="s">
        <v>74</v>
      </c>
      <c r="AZ97" s="1" t="s">
        <v>74</v>
      </c>
      <c r="BA97" s="1" t="s">
        <v>74</v>
      </c>
      <c r="BB97" s="1">
        <v>180.0</v>
      </c>
      <c r="BC97" s="1">
        <v>190.0</v>
      </c>
      <c r="BD97" s="1" t="s">
        <v>74</v>
      </c>
      <c r="BE97" s="1" t="s">
        <v>1107</v>
      </c>
      <c r="BF97" s="2" t="str">
        <f>HYPERLINK("http://dx.doi.org/10.1007/978-981-10-2672-0_19","http://dx.doi.org/10.1007/978-981-10-2672-0_19")</f>
        <v>http://dx.doi.org/10.1007/978-981-10-2672-0_19</v>
      </c>
      <c r="BG97" s="1" t="s">
        <v>74</v>
      </c>
      <c r="BH97" s="1" t="s">
        <v>74</v>
      </c>
      <c r="BI97" s="1" t="s">
        <v>74</v>
      </c>
      <c r="BJ97" s="1" t="s">
        <v>74</v>
      </c>
      <c r="BK97" s="1" t="s">
        <v>74</v>
      </c>
      <c r="BL97" s="1" t="s">
        <v>74</v>
      </c>
      <c r="BM97" s="1" t="s">
        <v>74</v>
      </c>
      <c r="BN97" s="1" t="s">
        <v>74</v>
      </c>
      <c r="BO97" s="1" t="s">
        <v>74</v>
      </c>
      <c r="BP97" s="1" t="s">
        <v>74</v>
      </c>
      <c r="BQ97" s="1" t="s">
        <v>74</v>
      </c>
      <c r="BR97" s="1" t="s">
        <v>74</v>
      </c>
      <c r="BS97" s="1" t="s">
        <v>1108</v>
      </c>
      <c r="BT97" s="1" t="str">
        <f>HYPERLINK("https%3A%2F%2Fwww.webofscience.com%2Fwos%2Fwoscc%2Ffull-record%2FWOS:000392268000019","View Full Record in Web of Science")</f>
        <v>View Full Record in Web of Science</v>
      </c>
    </row>
    <row r="98" ht="12.75" customHeight="1">
      <c r="A98" s="1" t="s">
        <v>72</v>
      </c>
      <c r="B98" s="1" t="s">
        <v>1109</v>
      </c>
      <c r="C98" s="1" t="s">
        <v>74</v>
      </c>
      <c r="D98" s="1" t="s">
        <v>74</v>
      </c>
      <c r="E98" s="1" t="s">
        <v>74</v>
      </c>
      <c r="F98" s="1" t="s">
        <v>1110</v>
      </c>
      <c r="G98" s="1" t="s">
        <v>74</v>
      </c>
      <c r="H98" s="1" t="s">
        <v>74</v>
      </c>
      <c r="I98" s="1" t="s">
        <v>1111</v>
      </c>
      <c r="J98" s="1" t="s">
        <v>1112</v>
      </c>
      <c r="K98" s="1" t="s">
        <v>74</v>
      </c>
      <c r="L98" s="1" t="s">
        <v>74</v>
      </c>
      <c r="M98" s="1" t="s">
        <v>74</v>
      </c>
      <c r="N98" s="1" t="s">
        <v>74</v>
      </c>
      <c r="O98" s="1" t="s">
        <v>1113</v>
      </c>
      <c r="P98" s="1" t="s">
        <v>1114</v>
      </c>
      <c r="Q98" s="1" t="s">
        <v>1115</v>
      </c>
      <c r="R98" s="1" t="s">
        <v>74</v>
      </c>
      <c r="S98" s="1" t="s">
        <v>74</v>
      </c>
      <c r="T98" s="1" t="s">
        <v>74</v>
      </c>
      <c r="U98" s="1" t="s">
        <v>74</v>
      </c>
      <c r="V98" s="1" t="s">
        <v>1116</v>
      </c>
      <c r="W98" s="1" t="s">
        <v>74</v>
      </c>
      <c r="X98" s="1" t="s">
        <v>74</v>
      </c>
      <c r="Y98" s="1" t="s">
        <v>74</v>
      </c>
      <c r="Z98" s="1" t="s">
        <v>74</v>
      </c>
      <c r="AA98" s="1" t="s">
        <v>1117</v>
      </c>
      <c r="AB98" s="1" t="s">
        <v>1118</v>
      </c>
      <c r="AC98" s="1" t="s">
        <v>74</v>
      </c>
      <c r="AD98" s="1" t="s">
        <v>74</v>
      </c>
      <c r="AE98" s="1" t="s">
        <v>74</v>
      </c>
      <c r="AF98" s="1" t="s">
        <v>74</v>
      </c>
      <c r="AG98" s="1" t="s">
        <v>74</v>
      </c>
      <c r="AH98" s="1" t="s">
        <v>74</v>
      </c>
      <c r="AI98" s="1" t="s">
        <v>74</v>
      </c>
      <c r="AJ98" s="1" t="s">
        <v>74</v>
      </c>
      <c r="AK98" s="1" t="s">
        <v>74</v>
      </c>
      <c r="AL98" s="1" t="s">
        <v>74</v>
      </c>
      <c r="AM98" s="1" t="s">
        <v>74</v>
      </c>
      <c r="AN98" s="1" t="s">
        <v>74</v>
      </c>
      <c r="AO98" s="1" t="s">
        <v>1119</v>
      </c>
      <c r="AP98" s="1" t="s">
        <v>74</v>
      </c>
      <c r="AQ98" s="1" t="s">
        <v>74</v>
      </c>
      <c r="AR98" s="1" t="s">
        <v>74</v>
      </c>
      <c r="AS98" s="1" t="s">
        <v>74</v>
      </c>
      <c r="AT98" s="1" t="s">
        <v>1120</v>
      </c>
      <c r="AU98" s="1">
        <v>2015.0</v>
      </c>
      <c r="AV98" s="1">
        <v>90.0</v>
      </c>
      <c r="AW98" s="1" t="s">
        <v>74</v>
      </c>
      <c r="AX98" s="1" t="s">
        <v>74</v>
      </c>
      <c r="AY98" s="1" t="s">
        <v>74</v>
      </c>
      <c r="AZ98" s="1" t="s">
        <v>74</v>
      </c>
      <c r="BA98" s="1" t="s">
        <v>74</v>
      </c>
      <c r="BB98" s="1">
        <v>1109.0</v>
      </c>
      <c r="BC98" s="1">
        <v>1118.0</v>
      </c>
      <c r="BD98" s="1" t="s">
        <v>74</v>
      </c>
      <c r="BE98" s="1" t="s">
        <v>1121</v>
      </c>
      <c r="BF98" s="2" t="str">
        <f>HYPERLINK("http://dx.doi.org/10.1016/j.applthermaleng.2015.05.014","http://dx.doi.org/10.1016/j.applthermaleng.2015.05.014")</f>
        <v>http://dx.doi.org/10.1016/j.applthermaleng.2015.05.014</v>
      </c>
      <c r="BG98" s="1" t="s">
        <v>74</v>
      </c>
      <c r="BH98" s="1" t="s">
        <v>74</v>
      </c>
      <c r="BI98" s="1" t="s">
        <v>74</v>
      </c>
      <c r="BJ98" s="1" t="s">
        <v>74</v>
      </c>
      <c r="BK98" s="1" t="s">
        <v>74</v>
      </c>
      <c r="BL98" s="1" t="s">
        <v>74</v>
      </c>
      <c r="BM98" s="1" t="s">
        <v>74</v>
      </c>
      <c r="BN98" s="1" t="s">
        <v>74</v>
      </c>
      <c r="BO98" s="1" t="s">
        <v>74</v>
      </c>
      <c r="BP98" s="1" t="s">
        <v>74</v>
      </c>
      <c r="BQ98" s="1" t="s">
        <v>74</v>
      </c>
      <c r="BR98" s="1" t="s">
        <v>74</v>
      </c>
      <c r="BS98" s="1" t="s">
        <v>1122</v>
      </c>
      <c r="BT98" s="1" t="str">
        <f>HYPERLINK("https%3A%2F%2Fwww.webofscience.com%2Fwos%2Fwoscc%2Ffull-record%2FWOS:000364246500117","View Full Record in Web of Science")</f>
        <v>View Full Record in Web of Science</v>
      </c>
    </row>
    <row r="99" ht="12.75" customHeight="1">
      <c r="A99" s="1" t="s">
        <v>72</v>
      </c>
      <c r="B99" s="1" t="s">
        <v>1123</v>
      </c>
      <c r="C99" s="1" t="s">
        <v>74</v>
      </c>
      <c r="D99" s="1" t="s">
        <v>74</v>
      </c>
      <c r="E99" s="1" t="s">
        <v>74</v>
      </c>
      <c r="F99" s="1" t="s">
        <v>1124</v>
      </c>
      <c r="G99" s="1" t="s">
        <v>74</v>
      </c>
      <c r="H99" s="1" t="s">
        <v>74</v>
      </c>
      <c r="I99" s="1" t="s">
        <v>1125</v>
      </c>
      <c r="J99" s="1" t="s">
        <v>1126</v>
      </c>
      <c r="K99" s="1" t="s">
        <v>74</v>
      </c>
      <c r="L99" s="1" t="s">
        <v>74</v>
      </c>
      <c r="M99" s="1" t="s">
        <v>74</v>
      </c>
      <c r="N99" s="1" t="s">
        <v>74</v>
      </c>
      <c r="O99" s="1" t="s">
        <v>74</v>
      </c>
      <c r="P99" s="1" t="s">
        <v>74</v>
      </c>
      <c r="Q99" s="1" t="s">
        <v>74</v>
      </c>
      <c r="R99" s="1" t="s">
        <v>74</v>
      </c>
      <c r="S99" s="1" t="s">
        <v>74</v>
      </c>
      <c r="T99" s="1" t="s">
        <v>74</v>
      </c>
      <c r="U99" s="1" t="s">
        <v>74</v>
      </c>
      <c r="V99" s="1" t="s">
        <v>1127</v>
      </c>
      <c r="W99" s="1" t="s">
        <v>74</v>
      </c>
      <c r="X99" s="1" t="s">
        <v>74</v>
      </c>
      <c r="Y99" s="1" t="s">
        <v>74</v>
      </c>
      <c r="Z99" s="1" t="s">
        <v>74</v>
      </c>
      <c r="AA99" s="1" t="s">
        <v>1128</v>
      </c>
      <c r="AB99" s="1" t="s">
        <v>1129</v>
      </c>
      <c r="AC99" s="1" t="s">
        <v>74</v>
      </c>
      <c r="AD99" s="1" t="s">
        <v>74</v>
      </c>
      <c r="AE99" s="1" t="s">
        <v>74</v>
      </c>
      <c r="AF99" s="1" t="s">
        <v>74</v>
      </c>
      <c r="AG99" s="1" t="s">
        <v>74</v>
      </c>
      <c r="AH99" s="1" t="s">
        <v>74</v>
      </c>
      <c r="AI99" s="1" t="s">
        <v>74</v>
      </c>
      <c r="AJ99" s="1" t="s">
        <v>74</v>
      </c>
      <c r="AK99" s="1" t="s">
        <v>74</v>
      </c>
      <c r="AL99" s="1" t="s">
        <v>74</v>
      </c>
      <c r="AM99" s="1" t="s">
        <v>74</v>
      </c>
      <c r="AN99" s="1" t="s">
        <v>74</v>
      </c>
      <c r="AO99" s="1" t="s">
        <v>1130</v>
      </c>
      <c r="AP99" s="1" t="s">
        <v>1131</v>
      </c>
      <c r="AQ99" s="1" t="s">
        <v>74</v>
      </c>
      <c r="AR99" s="1" t="s">
        <v>74</v>
      </c>
      <c r="AS99" s="1" t="s">
        <v>74</v>
      </c>
      <c r="AT99" s="1" t="s">
        <v>95</v>
      </c>
      <c r="AU99" s="1">
        <v>2013.0</v>
      </c>
      <c r="AV99" s="1">
        <v>44.0</v>
      </c>
      <c r="AW99" s="1">
        <v>3.0</v>
      </c>
      <c r="AX99" s="1" t="s">
        <v>74</v>
      </c>
      <c r="AY99" s="1" t="s">
        <v>74</v>
      </c>
      <c r="AZ99" s="1" t="s">
        <v>74</v>
      </c>
      <c r="BA99" s="1" t="s">
        <v>74</v>
      </c>
      <c r="BB99" s="1">
        <v>773.0</v>
      </c>
      <c r="BC99" s="1">
        <v>783.0</v>
      </c>
      <c r="BD99" s="1" t="s">
        <v>74</v>
      </c>
      <c r="BE99" s="1" t="s">
        <v>1132</v>
      </c>
      <c r="BF99" s="2" t="str">
        <f>HYPERLINK("http://dx.doi.org/10.1007/s12020-013-9921-2","http://dx.doi.org/10.1007/s12020-013-9921-2")</f>
        <v>http://dx.doi.org/10.1007/s12020-013-9921-2</v>
      </c>
      <c r="BG99" s="1" t="s">
        <v>74</v>
      </c>
      <c r="BH99" s="1" t="s">
        <v>74</v>
      </c>
      <c r="BI99" s="1" t="s">
        <v>74</v>
      </c>
      <c r="BJ99" s="1" t="s">
        <v>74</v>
      </c>
      <c r="BK99" s="1" t="s">
        <v>74</v>
      </c>
      <c r="BL99" s="1" t="s">
        <v>74</v>
      </c>
      <c r="BM99" s="1" t="s">
        <v>74</v>
      </c>
      <c r="BN99" s="1">
        <v>2.3494413E7</v>
      </c>
      <c r="BO99" s="1" t="s">
        <v>74</v>
      </c>
      <c r="BP99" s="1" t="s">
        <v>74</v>
      </c>
      <c r="BQ99" s="1" t="s">
        <v>74</v>
      </c>
      <c r="BR99" s="1" t="s">
        <v>74</v>
      </c>
      <c r="BS99" s="1" t="s">
        <v>1133</v>
      </c>
      <c r="BT99" s="1" t="str">
        <f>HYPERLINK("https%3A%2F%2Fwww.webofscience.com%2Fwos%2Fwoscc%2Ffull-record%2FWOS:000327396300030","View Full Record in Web of Science")</f>
        <v>View Full Record in Web of Science</v>
      </c>
    </row>
    <row r="100" ht="12.75" customHeight="1">
      <c r="A100" s="1" t="s">
        <v>72</v>
      </c>
      <c r="B100" s="1" t="s">
        <v>1134</v>
      </c>
      <c r="C100" s="1" t="s">
        <v>74</v>
      </c>
      <c r="D100" s="1" t="s">
        <v>74</v>
      </c>
      <c r="E100" s="1" t="s">
        <v>74</v>
      </c>
      <c r="F100" s="1" t="s">
        <v>1135</v>
      </c>
      <c r="G100" s="1" t="s">
        <v>74</v>
      </c>
      <c r="H100" s="1" t="s">
        <v>74</v>
      </c>
      <c r="I100" s="1" t="s">
        <v>1136</v>
      </c>
      <c r="J100" s="1" t="s">
        <v>1062</v>
      </c>
      <c r="K100" s="1" t="s">
        <v>74</v>
      </c>
      <c r="L100" s="1" t="s">
        <v>74</v>
      </c>
      <c r="M100" s="1" t="s">
        <v>74</v>
      </c>
      <c r="N100" s="1" t="s">
        <v>74</v>
      </c>
      <c r="O100" s="1" t="s">
        <v>74</v>
      </c>
      <c r="P100" s="1" t="s">
        <v>74</v>
      </c>
      <c r="Q100" s="1" t="s">
        <v>74</v>
      </c>
      <c r="R100" s="1" t="s">
        <v>74</v>
      </c>
      <c r="S100" s="1" t="s">
        <v>74</v>
      </c>
      <c r="T100" s="1" t="s">
        <v>74</v>
      </c>
      <c r="U100" s="1" t="s">
        <v>74</v>
      </c>
      <c r="V100" s="1" t="s">
        <v>1137</v>
      </c>
      <c r="W100" s="1" t="s">
        <v>74</v>
      </c>
      <c r="X100" s="1" t="s">
        <v>74</v>
      </c>
      <c r="Y100" s="1" t="s">
        <v>74</v>
      </c>
      <c r="Z100" s="1" t="s">
        <v>74</v>
      </c>
      <c r="AA100" s="1" t="s">
        <v>1138</v>
      </c>
      <c r="AB100" s="1" t="s">
        <v>1139</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1066</v>
      </c>
      <c r="AP100" s="1" t="s">
        <v>74</v>
      </c>
      <c r="AQ100" s="1" t="s">
        <v>74</v>
      </c>
      <c r="AR100" s="1" t="s">
        <v>74</v>
      </c>
      <c r="AS100" s="1" t="s">
        <v>74</v>
      </c>
      <c r="AT100" s="1" t="s">
        <v>187</v>
      </c>
      <c r="AU100" s="1">
        <v>2012.0</v>
      </c>
      <c r="AV100" s="1">
        <v>94.0</v>
      </c>
      <c r="AW100" s="1">
        <v>5.0</v>
      </c>
      <c r="AX100" s="1" t="s">
        <v>74</v>
      </c>
      <c r="AY100" s="1" t="s">
        <v>74</v>
      </c>
      <c r="AZ100" s="1" t="s">
        <v>74</v>
      </c>
      <c r="BA100" s="1" t="s">
        <v>74</v>
      </c>
      <c r="BB100" s="1">
        <v>1626.0</v>
      </c>
      <c r="BC100" s="1">
        <v>1633.0</v>
      </c>
      <c r="BD100" s="1" t="s">
        <v>74</v>
      </c>
      <c r="BE100" s="1" t="s">
        <v>1140</v>
      </c>
      <c r="BF100" s="2" t="str">
        <f>HYPERLINK("http://dx.doi.org/10.1016/j.compstruct.2011.12.023","http://dx.doi.org/10.1016/j.compstruct.2011.12.023")</f>
        <v>http://dx.doi.org/10.1016/j.compstruct.2011.12.023</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1141</v>
      </c>
      <c r="BT100" s="1" t="str">
        <f>HYPERLINK("https%3A%2F%2Fwww.webofscience.com%2Fwos%2Fwoscc%2Ffull-record%2FWOS:000302980400015","View Full Record in Web of Science")</f>
        <v>View Full Record in Web of Science</v>
      </c>
    </row>
    <row r="101" ht="12.75" customHeight="1">
      <c r="A101" s="1" t="s">
        <v>72</v>
      </c>
      <c r="B101" s="1" t="s">
        <v>1142</v>
      </c>
      <c r="C101" s="1" t="s">
        <v>74</v>
      </c>
      <c r="D101" s="1" t="s">
        <v>74</v>
      </c>
      <c r="E101" s="1" t="s">
        <v>74</v>
      </c>
      <c r="F101" s="1" t="s">
        <v>1143</v>
      </c>
      <c r="G101" s="1" t="s">
        <v>74</v>
      </c>
      <c r="H101" s="1" t="s">
        <v>74</v>
      </c>
      <c r="I101" s="1" t="s">
        <v>1144</v>
      </c>
      <c r="J101" s="1" t="s">
        <v>1145</v>
      </c>
      <c r="K101" s="1" t="s">
        <v>74</v>
      </c>
      <c r="L101" s="1" t="s">
        <v>74</v>
      </c>
      <c r="M101" s="1" t="s">
        <v>74</v>
      </c>
      <c r="N101" s="1" t="s">
        <v>74</v>
      </c>
      <c r="O101" s="1" t="s">
        <v>74</v>
      </c>
      <c r="P101" s="1" t="s">
        <v>74</v>
      </c>
      <c r="Q101" s="1" t="s">
        <v>74</v>
      </c>
      <c r="R101" s="1" t="s">
        <v>74</v>
      </c>
      <c r="S101" s="1" t="s">
        <v>74</v>
      </c>
      <c r="T101" s="1" t="s">
        <v>74</v>
      </c>
      <c r="U101" s="1" t="s">
        <v>74</v>
      </c>
      <c r="V101" s="1" t="s">
        <v>1146</v>
      </c>
      <c r="W101" s="1" t="s">
        <v>74</v>
      </c>
      <c r="X101" s="1" t="s">
        <v>74</v>
      </c>
      <c r="Y101" s="1" t="s">
        <v>74</v>
      </c>
      <c r="Z101" s="1" t="s">
        <v>74</v>
      </c>
      <c r="AA101" s="1" t="s">
        <v>74</v>
      </c>
      <c r="AB101" s="1" t="s">
        <v>1147</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1148</v>
      </c>
      <c r="AP101" s="1" t="s">
        <v>74</v>
      </c>
      <c r="AQ101" s="1" t="s">
        <v>74</v>
      </c>
      <c r="AR101" s="1" t="s">
        <v>74</v>
      </c>
      <c r="AS101" s="1" t="s">
        <v>74</v>
      </c>
      <c r="AT101" s="1" t="s">
        <v>554</v>
      </c>
      <c r="AU101" s="1">
        <v>2010.0</v>
      </c>
      <c r="AV101" s="1">
        <v>55.0</v>
      </c>
      <c r="AW101" s="1">
        <v>2.0</v>
      </c>
      <c r="AX101" s="1" t="s">
        <v>74</v>
      </c>
      <c r="AY101" s="1" t="s">
        <v>74</v>
      </c>
      <c r="AZ101" s="1" t="s">
        <v>74</v>
      </c>
      <c r="BA101" s="1" t="s">
        <v>74</v>
      </c>
      <c r="BB101" s="1">
        <v>261.0</v>
      </c>
      <c r="BC101" s="1">
        <v>265.0</v>
      </c>
      <c r="BD101" s="1" t="s">
        <v>74</v>
      </c>
      <c r="BE101" s="1" t="s">
        <v>74</v>
      </c>
      <c r="BF101" s="1" t="s">
        <v>74</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1149</v>
      </c>
      <c r="BT101" s="1" t="str">
        <f>HYPERLINK("https%3A%2F%2Fwww.webofscience.com%2Fwos%2Fwoscc%2Ffull-record%2FWOS:000279984400026","View Full Record in Web of Science")</f>
        <v>View Full Record in Web of Science</v>
      </c>
    </row>
    <row r="102" ht="12.75" customHeight="1">
      <c r="A102" s="1" t="s">
        <v>346</v>
      </c>
      <c r="B102" s="1" t="s">
        <v>1150</v>
      </c>
      <c r="C102" s="1" t="s">
        <v>74</v>
      </c>
      <c r="D102" s="1" t="s">
        <v>1151</v>
      </c>
      <c r="E102" s="1" t="s">
        <v>74</v>
      </c>
      <c r="F102" s="1" t="s">
        <v>1152</v>
      </c>
      <c r="G102" s="1" t="s">
        <v>74</v>
      </c>
      <c r="H102" s="1" t="s">
        <v>74</v>
      </c>
      <c r="I102" s="1" t="s">
        <v>1153</v>
      </c>
      <c r="J102" s="1" t="s">
        <v>1154</v>
      </c>
      <c r="K102" s="1" t="s">
        <v>1155</v>
      </c>
      <c r="L102" s="1" t="s">
        <v>74</v>
      </c>
      <c r="M102" s="1" t="s">
        <v>74</v>
      </c>
      <c r="N102" s="1" t="s">
        <v>74</v>
      </c>
      <c r="O102" s="1" t="s">
        <v>1156</v>
      </c>
      <c r="P102" s="1" t="s">
        <v>1157</v>
      </c>
      <c r="Q102" s="1" t="s">
        <v>1158</v>
      </c>
      <c r="R102" s="1" t="s">
        <v>1159</v>
      </c>
      <c r="S102" s="1" t="s">
        <v>74</v>
      </c>
      <c r="T102" s="1" t="s">
        <v>74</v>
      </c>
      <c r="U102" s="1" t="s">
        <v>74</v>
      </c>
      <c r="V102" s="1" t="s">
        <v>1160</v>
      </c>
      <c r="W102" s="1" t="s">
        <v>74</v>
      </c>
      <c r="X102" s="1" t="s">
        <v>74</v>
      </c>
      <c r="Y102" s="1" t="s">
        <v>74</v>
      </c>
      <c r="Z102" s="1" t="s">
        <v>74</v>
      </c>
      <c r="AA102" s="1" t="s">
        <v>74</v>
      </c>
      <c r="AB102" s="1" t="s">
        <v>1161</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1162</v>
      </c>
      <c r="AP102" s="1" t="s">
        <v>74</v>
      </c>
      <c r="AQ102" s="1" t="s">
        <v>1163</v>
      </c>
      <c r="AR102" s="1" t="s">
        <v>74</v>
      </c>
      <c r="AS102" s="1" t="s">
        <v>74</v>
      </c>
      <c r="AT102" s="1" t="s">
        <v>74</v>
      </c>
      <c r="AU102" s="1">
        <v>2009.0</v>
      </c>
      <c r="AV102" s="1">
        <v>1122.0</v>
      </c>
      <c r="AW102" s="1" t="s">
        <v>74</v>
      </c>
      <c r="AX102" s="1" t="s">
        <v>74</v>
      </c>
      <c r="AY102" s="1" t="s">
        <v>74</v>
      </c>
      <c r="AZ102" s="1" t="s">
        <v>74</v>
      </c>
      <c r="BA102" s="1" t="s">
        <v>74</v>
      </c>
      <c r="BB102" s="1">
        <v>236.0</v>
      </c>
      <c r="BC102" s="1" t="s">
        <v>1164</v>
      </c>
      <c r="BD102" s="1" t="s">
        <v>74</v>
      </c>
      <c r="BE102" s="1" t="s">
        <v>74</v>
      </c>
      <c r="BF102" s="1" t="s">
        <v>74</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1165</v>
      </c>
      <c r="BT102" s="1" t="str">
        <f>HYPERLINK("https%3A%2F%2Fwww.webofscience.com%2Fwos%2Fwoscc%2Ffull-record%2FWOS:000268093500034","View Full Record in Web of Science")</f>
        <v>View Full Record in Web of Science</v>
      </c>
    </row>
    <row r="103" ht="12.75" customHeight="1">
      <c r="A103" s="1" t="s">
        <v>72</v>
      </c>
      <c r="B103" s="1" t="s">
        <v>1166</v>
      </c>
      <c r="C103" s="1" t="s">
        <v>74</v>
      </c>
      <c r="D103" s="1" t="s">
        <v>74</v>
      </c>
      <c r="E103" s="1" t="s">
        <v>74</v>
      </c>
      <c r="F103" s="1" t="s">
        <v>1166</v>
      </c>
      <c r="G103" s="1" t="s">
        <v>74</v>
      </c>
      <c r="H103" s="1" t="s">
        <v>74</v>
      </c>
      <c r="I103" s="1" t="s">
        <v>1167</v>
      </c>
      <c r="J103" s="1" t="s">
        <v>1168</v>
      </c>
      <c r="K103" s="1" t="s">
        <v>74</v>
      </c>
      <c r="L103" s="1" t="s">
        <v>74</v>
      </c>
      <c r="M103" s="1" t="s">
        <v>74</v>
      </c>
      <c r="N103" s="1" t="s">
        <v>74</v>
      </c>
      <c r="O103" s="1" t="s">
        <v>74</v>
      </c>
      <c r="P103" s="1" t="s">
        <v>74</v>
      </c>
      <c r="Q103" s="1" t="s">
        <v>74</v>
      </c>
      <c r="R103" s="1" t="s">
        <v>74</v>
      </c>
      <c r="S103" s="1" t="s">
        <v>74</v>
      </c>
      <c r="T103" s="1" t="s">
        <v>74</v>
      </c>
      <c r="U103" s="1" t="s">
        <v>74</v>
      </c>
      <c r="V103" s="1" t="s">
        <v>1169</v>
      </c>
      <c r="W103" s="1" t="s">
        <v>74</v>
      </c>
      <c r="X103" s="1" t="s">
        <v>74</v>
      </c>
      <c r="Y103" s="1" t="s">
        <v>74</v>
      </c>
      <c r="Z103" s="1" t="s">
        <v>74</v>
      </c>
      <c r="AA103" s="1" t="s">
        <v>1170</v>
      </c>
      <c r="AB103" s="1" t="s">
        <v>1171</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1172</v>
      </c>
      <c r="AP103" s="1" t="s">
        <v>1173</v>
      </c>
      <c r="AQ103" s="1" t="s">
        <v>74</v>
      </c>
      <c r="AR103" s="1" t="s">
        <v>74</v>
      </c>
      <c r="AS103" s="1" t="s">
        <v>74</v>
      </c>
      <c r="AT103" s="1" t="s">
        <v>1174</v>
      </c>
      <c r="AU103" s="1">
        <v>2005.0</v>
      </c>
      <c r="AV103" s="1">
        <v>289.0</v>
      </c>
      <c r="AW103" s="1">
        <v>2.0</v>
      </c>
      <c r="AX103" s="1" t="s">
        <v>74</v>
      </c>
      <c r="AY103" s="1" t="s">
        <v>74</v>
      </c>
      <c r="AZ103" s="1" t="s">
        <v>74</v>
      </c>
      <c r="BA103" s="1" t="s">
        <v>74</v>
      </c>
      <c r="BB103" s="1">
        <v>521.0</v>
      </c>
      <c r="BC103" s="1">
        <v>529.0</v>
      </c>
      <c r="BD103" s="1" t="s">
        <v>74</v>
      </c>
      <c r="BE103" s="1" t="s">
        <v>1175</v>
      </c>
      <c r="BF103" s="2" t="str">
        <f>HYPERLINK("http://dx.doi.org/10.1016/j.jcis.2005.03.084","http://dx.doi.org/10.1016/j.jcis.2005.03.084")</f>
        <v>http://dx.doi.org/10.1016/j.jcis.2005.03.084</v>
      </c>
      <c r="BG103" s="1" t="s">
        <v>74</v>
      </c>
      <c r="BH103" s="1" t="s">
        <v>74</v>
      </c>
      <c r="BI103" s="1" t="s">
        <v>74</v>
      </c>
      <c r="BJ103" s="1" t="s">
        <v>74</v>
      </c>
      <c r="BK103" s="1" t="s">
        <v>74</v>
      </c>
      <c r="BL103" s="1" t="s">
        <v>74</v>
      </c>
      <c r="BM103" s="1" t="s">
        <v>74</v>
      </c>
      <c r="BN103" s="1">
        <v>1.5907863E7</v>
      </c>
      <c r="BO103" s="1" t="s">
        <v>74</v>
      </c>
      <c r="BP103" s="1" t="s">
        <v>74</v>
      </c>
      <c r="BQ103" s="1" t="s">
        <v>74</v>
      </c>
      <c r="BR103" s="1" t="s">
        <v>74</v>
      </c>
      <c r="BS103" s="1" t="s">
        <v>1176</v>
      </c>
      <c r="BT103" s="1" t="str">
        <f>HYPERLINK("https%3A%2F%2Fwww.webofscience.com%2Fwos%2Fwoscc%2Ffull-record%2FWOS:000231571500026","View Full Record in Web of Science")</f>
        <v>View Full Record in Web of Science</v>
      </c>
    </row>
    <row r="104" ht="12.75" customHeight="1">
      <c r="A104" s="1" t="s">
        <v>72</v>
      </c>
      <c r="B104" s="1" t="s">
        <v>1177</v>
      </c>
      <c r="C104" s="1" t="s">
        <v>74</v>
      </c>
      <c r="D104" s="1" t="s">
        <v>74</v>
      </c>
      <c r="E104" s="1" t="s">
        <v>74</v>
      </c>
      <c r="F104" s="1" t="s">
        <v>1177</v>
      </c>
      <c r="G104" s="1" t="s">
        <v>74</v>
      </c>
      <c r="H104" s="1" t="s">
        <v>74</v>
      </c>
      <c r="I104" s="1" t="s">
        <v>1178</v>
      </c>
      <c r="J104" s="1" t="s">
        <v>1179</v>
      </c>
      <c r="K104" s="1" t="s">
        <v>74</v>
      </c>
      <c r="L104" s="1" t="s">
        <v>74</v>
      </c>
      <c r="M104" s="1" t="s">
        <v>74</v>
      </c>
      <c r="N104" s="1" t="s">
        <v>74</v>
      </c>
      <c r="O104" s="1" t="s">
        <v>74</v>
      </c>
      <c r="P104" s="1" t="s">
        <v>74</v>
      </c>
      <c r="Q104" s="1" t="s">
        <v>74</v>
      </c>
      <c r="R104" s="1" t="s">
        <v>74</v>
      </c>
      <c r="S104" s="1" t="s">
        <v>74</v>
      </c>
      <c r="T104" s="1" t="s">
        <v>74</v>
      </c>
      <c r="U104" s="1" t="s">
        <v>74</v>
      </c>
      <c r="V104" s="1" t="s">
        <v>74</v>
      </c>
      <c r="W104" s="1" t="s">
        <v>74</v>
      </c>
      <c r="X104" s="1" t="s">
        <v>74</v>
      </c>
      <c r="Y104" s="1" t="s">
        <v>74</v>
      </c>
      <c r="Z104" s="1" t="s">
        <v>74</v>
      </c>
      <c r="AA104" s="1" t="s">
        <v>74</v>
      </c>
      <c r="AB104" s="1" t="s">
        <v>74</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1180</v>
      </c>
      <c r="AP104" s="1" t="s">
        <v>1181</v>
      </c>
      <c r="AQ104" s="1" t="s">
        <v>74</v>
      </c>
      <c r="AR104" s="1" t="s">
        <v>74</v>
      </c>
      <c r="AS104" s="1" t="s">
        <v>74</v>
      </c>
      <c r="AT104" s="1" t="s">
        <v>83</v>
      </c>
      <c r="AU104" s="1">
        <v>2004.0</v>
      </c>
      <c r="AV104" s="1">
        <v>23.0</v>
      </c>
      <c r="AW104" s="1">
        <v>3.0</v>
      </c>
      <c r="AX104" s="1" t="s">
        <v>74</v>
      </c>
      <c r="AY104" s="1" t="s">
        <v>74</v>
      </c>
      <c r="AZ104" s="1" t="s">
        <v>74</v>
      </c>
      <c r="BA104" s="1" t="s">
        <v>74</v>
      </c>
      <c r="BB104" s="1">
        <v>312.0</v>
      </c>
      <c r="BC104" s="1">
        <v>314.0</v>
      </c>
      <c r="BD104" s="1" t="s">
        <v>74</v>
      </c>
      <c r="BE104" s="1" t="s">
        <v>1182</v>
      </c>
      <c r="BF104" s="2" t="str">
        <f>HYPERLINK("http://dx.doi.org/10.1002/uog.988","http://dx.doi.org/10.1002/uog.988")</f>
        <v>http://dx.doi.org/10.1002/uog.988</v>
      </c>
      <c r="BG104" s="1" t="s">
        <v>74</v>
      </c>
      <c r="BH104" s="1" t="s">
        <v>74</v>
      </c>
      <c r="BI104" s="1" t="s">
        <v>74</v>
      </c>
      <c r="BJ104" s="1" t="s">
        <v>74</v>
      </c>
      <c r="BK104" s="1" t="s">
        <v>74</v>
      </c>
      <c r="BL104" s="1" t="s">
        <v>74</v>
      </c>
      <c r="BM104" s="1" t="s">
        <v>74</v>
      </c>
      <c r="BN104" s="1">
        <v>1.5027028E7</v>
      </c>
      <c r="BO104" s="1" t="s">
        <v>74</v>
      </c>
      <c r="BP104" s="1" t="s">
        <v>74</v>
      </c>
      <c r="BQ104" s="1" t="s">
        <v>74</v>
      </c>
      <c r="BR104" s="1" t="s">
        <v>74</v>
      </c>
      <c r="BS104" s="1" t="s">
        <v>1183</v>
      </c>
      <c r="BT104" s="1" t="str">
        <f>HYPERLINK("https%3A%2F%2Fwww.webofscience.com%2Fwos%2Fwoscc%2Ffull-record%2FWOS:000220287300024","View Full Record in Web of Science")</f>
        <v>View Full Record in Web of Science</v>
      </c>
    </row>
    <row r="105" ht="12.75" customHeight="1">
      <c r="A105" s="1" t="s">
        <v>72</v>
      </c>
      <c r="B105" s="1" t="s">
        <v>1184</v>
      </c>
      <c r="C105" s="1" t="s">
        <v>74</v>
      </c>
      <c r="D105" s="1" t="s">
        <v>74</v>
      </c>
      <c r="E105" s="1" t="s">
        <v>74</v>
      </c>
      <c r="F105" s="1" t="s">
        <v>1184</v>
      </c>
      <c r="G105" s="1" t="s">
        <v>74</v>
      </c>
      <c r="H105" s="1" t="s">
        <v>74</v>
      </c>
      <c r="I105" s="1" t="s">
        <v>1185</v>
      </c>
      <c r="J105" s="1" t="s">
        <v>433</v>
      </c>
      <c r="K105" s="1" t="s">
        <v>74</v>
      </c>
      <c r="L105" s="1" t="s">
        <v>74</v>
      </c>
      <c r="M105" s="1" t="s">
        <v>74</v>
      </c>
      <c r="N105" s="1" t="s">
        <v>74</v>
      </c>
      <c r="O105" s="1" t="s">
        <v>74</v>
      </c>
      <c r="P105" s="1" t="s">
        <v>74</v>
      </c>
      <c r="Q105" s="1" t="s">
        <v>74</v>
      </c>
      <c r="R105" s="1" t="s">
        <v>74</v>
      </c>
      <c r="S105" s="1" t="s">
        <v>74</v>
      </c>
      <c r="T105" s="1" t="s">
        <v>74</v>
      </c>
      <c r="U105" s="1" t="s">
        <v>74</v>
      </c>
      <c r="V105" s="1" t="s">
        <v>1186</v>
      </c>
      <c r="W105" s="1" t="s">
        <v>74</v>
      </c>
      <c r="X105" s="1" t="s">
        <v>74</v>
      </c>
      <c r="Y105" s="1" t="s">
        <v>74</v>
      </c>
      <c r="Z105" s="1" t="s">
        <v>74</v>
      </c>
      <c r="AA105" s="1" t="s">
        <v>1187</v>
      </c>
      <c r="AB105" s="1" t="s">
        <v>74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437</v>
      </c>
      <c r="AP105" s="1" t="s">
        <v>438</v>
      </c>
      <c r="AQ105" s="1" t="s">
        <v>74</v>
      </c>
      <c r="AR105" s="1" t="s">
        <v>74</v>
      </c>
      <c r="AS105" s="1" t="s">
        <v>74</v>
      </c>
      <c r="AT105" s="1" t="s">
        <v>164</v>
      </c>
      <c r="AU105" s="1">
        <v>2003.0</v>
      </c>
      <c r="AV105" s="1">
        <v>120.0</v>
      </c>
      <c r="AW105" s="1">
        <v>1.0</v>
      </c>
      <c r="AX105" s="1" t="s">
        <v>74</v>
      </c>
      <c r="AY105" s="1" t="s">
        <v>74</v>
      </c>
      <c r="AZ105" s="1" t="s">
        <v>74</v>
      </c>
      <c r="BA105" s="1" t="s">
        <v>74</v>
      </c>
      <c r="BB105" s="1">
        <v>1.0</v>
      </c>
      <c r="BC105" s="1">
        <v>12.0</v>
      </c>
      <c r="BD105" s="1" t="s">
        <v>74</v>
      </c>
      <c r="BE105" s="1" t="s">
        <v>1188</v>
      </c>
      <c r="BF105" s="2" t="str">
        <f>HYPERLINK("http://dx.doi.org/10.1007/s00418-003-0534-3","http://dx.doi.org/10.1007/s00418-003-0534-3")</f>
        <v>http://dx.doi.org/10.1007/s00418-003-0534-3</v>
      </c>
      <c r="BG105" s="1" t="s">
        <v>74</v>
      </c>
      <c r="BH105" s="1" t="s">
        <v>74</v>
      </c>
      <c r="BI105" s="1" t="s">
        <v>74</v>
      </c>
      <c r="BJ105" s="1" t="s">
        <v>74</v>
      </c>
      <c r="BK105" s="1" t="s">
        <v>74</v>
      </c>
      <c r="BL105" s="1" t="s">
        <v>74</v>
      </c>
      <c r="BM105" s="1" t="s">
        <v>74</v>
      </c>
      <c r="BN105" s="1">
        <v>1.2811572E7</v>
      </c>
      <c r="BO105" s="1" t="s">
        <v>74</v>
      </c>
      <c r="BP105" s="1" t="s">
        <v>74</v>
      </c>
      <c r="BQ105" s="1" t="s">
        <v>74</v>
      </c>
      <c r="BR105" s="1" t="s">
        <v>74</v>
      </c>
      <c r="BS105" s="1" t="s">
        <v>1189</v>
      </c>
      <c r="BT105" s="1" t="str">
        <f>HYPERLINK("https%3A%2F%2Fwww.webofscience.com%2Fwos%2Fwoscc%2Ffull-record%2FWOS:000184771300001","View Full Record in Web of Science")</f>
        <v>View Full Record in Web of Science</v>
      </c>
    </row>
    <row r="106" ht="12.75" customHeight="1">
      <c r="A106" s="1" t="s">
        <v>72</v>
      </c>
      <c r="B106" s="1" t="s">
        <v>1190</v>
      </c>
      <c r="C106" s="1" t="s">
        <v>74</v>
      </c>
      <c r="D106" s="1" t="s">
        <v>74</v>
      </c>
      <c r="E106" s="1" t="s">
        <v>74</v>
      </c>
      <c r="F106" s="1" t="s">
        <v>1190</v>
      </c>
      <c r="G106" s="1" t="s">
        <v>74</v>
      </c>
      <c r="H106" s="1" t="s">
        <v>74</v>
      </c>
      <c r="I106" s="1" t="s">
        <v>1191</v>
      </c>
      <c r="J106" s="1" t="s">
        <v>1192</v>
      </c>
      <c r="K106" s="1" t="s">
        <v>74</v>
      </c>
      <c r="L106" s="1" t="s">
        <v>74</v>
      </c>
      <c r="M106" s="1" t="s">
        <v>74</v>
      </c>
      <c r="N106" s="1" t="s">
        <v>74</v>
      </c>
      <c r="O106" s="1" t="s">
        <v>74</v>
      </c>
      <c r="P106" s="1" t="s">
        <v>74</v>
      </c>
      <c r="Q106" s="1" t="s">
        <v>74</v>
      </c>
      <c r="R106" s="1" t="s">
        <v>74</v>
      </c>
      <c r="S106" s="1" t="s">
        <v>74</v>
      </c>
      <c r="T106" s="1" t="s">
        <v>74</v>
      </c>
      <c r="U106" s="1" t="s">
        <v>74</v>
      </c>
      <c r="V106" s="1" t="s">
        <v>1193</v>
      </c>
      <c r="W106" s="1" t="s">
        <v>74</v>
      </c>
      <c r="X106" s="1" t="s">
        <v>74</v>
      </c>
      <c r="Y106" s="1" t="s">
        <v>74</v>
      </c>
      <c r="Z106" s="1" t="s">
        <v>74</v>
      </c>
      <c r="AA106" s="1" t="s">
        <v>74</v>
      </c>
      <c r="AB106" s="1" t="s">
        <v>1194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1195</v>
      </c>
      <c r="AP106" s="1" t="s">
        <v>74</v>
      </c>
      <c r="AQ106" s="1" t="s">
        <v>74</v>
      </c>
      <c r="AR106" s="1" t="s">
        <v>74</v>
      </c>
      <c r="AS106" s="1" t="s">
        <v>74</v>
      </c>
      <c r="AT106" s="1" t="s">
        <v>164</v>
      </c>
      <c r="AU106" s="1">
        <v>2001.0</v>
      </c>
      <c r="AV106" s="1">
        <v>61.0</v>
      </c>
      <c r="AW106" s="1">
        <v>2.0</v>
      </c>
      <c r="AX106" s="1" t="s">
        <v>74</v>
      </c>
      <c r="AY106" s="1" t="s">
        <v>74</v>
      </c>
      <c r="AZ106" s="1" t="s">
        <v>74</v>
      </c>
      <c r="BA106" s="1" t="s">
        <v>74</v>
      </c>
      <c r="BB106" s="1">
        <v>137.0</v>
      </c>
      <c r="BC106" s="1">
        <v>142.0</v>
      </c>
      <c r="BD106" s="1" t="s">
        <v>74</v>
      </c>
      <c r="BE106" s="1" t="s">
        <v>1196</v>
      </c>
      <c r="BF106" s="2" t="str">
        <f>HYPERLINK("http://dx.doi.org/10.1016/S0304-386X(01)00163-3","http://dx.doi.org/10.1016/S0304-386X(01)00163-3")</f>
        <v>http://dx.doi.org/10.1016/S0304-386X(01)00163-3</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1197</v>
      </c>
      <c r="BT106" s="1" t="str">
        <f>HYPERLINK("https%3A%2F%2Fwww.webofscience.com%2Fwos%2Fwoscc%2Ffull-record%2FWOS:000170071700007","View Full Record in Web of Science")</f>
        <v>View Full Record in Web of Science</v>
      </c>
    </row>
    <row r="107" ht="12.75" customHeight="1">
      <c r="A107" s="1" t="s">
        <v>72</v>
      </c>
      <c r="B107" s="1" t="s">
        <v>1198</v>
      </c>
      <c r="C107" s="1" t="s">
        <v>74</v>
      </c>
      <c r="D107" s="1" t="s">
        <v>74</v>
      </c>
      <c r="E107" s="1" t="s">
        <v>74</v>
      </c>
      <c r="F107" s="1" t="s">
        <v>1198</v>
      </c>
      <c r="G107" s="1" t="s">
        <v>74</v>
      </c>
      <c r="H107" s="1" t="s">
        <v>74</v>
      </c>
      <c r="I107" s="1" t="s">
        <v>1199</v>
      </c>
      <c r="J107" s="1" t="s">
        <v>1200</v>
      </c>
      <c r="K107" s="1" t="s">
        <v>74</v>
      </c>
      <c r="L107" s="1" t="s">
        <v>74</v>
      </c>
      <c r="M107" s="1" t="s">
        <v>74</v>
      </c>
      <c r="N107" s="1" t="s">
        <v>74</v>
      </c>
      <c r="O107" s="1" t="s">
        <v>74</v>
      </c>
      <c r="P107" s="1" t="s">
        <v>74</v>
      </c>
      <c r="Q107" s="1" t="s">
        <v>74</v>
      </c>
      <c r="R107" s="1" t="s">
        <v>74</v>
      </c>
      <c r="S107" s="1" t="s">
        <v>74</v>
      </c>
      <c r="T107" s="1" t="s">
        <v>74</v>
      </c>
      <c r="U107" s="1" t="s">
        <v>74</v>
      </c>
      <c r="V107" s="1" t="s">
        <v>1201</v>
      </c>
      <c r="W107" s="1" t="s">
        <v>74</v>
      </c>
      <c r="X107" s="1" t="s">
        <v>74</v>
      </c>
      <c r="Y107" s="1" t="s">
        <v>74</v>
      </c>
      <c r="Z107" s="1" t="s">
        <v>74</v>
      </c>
      <c r="AA107" s="1" t="s">
        <v>74</v>
      </c>
      <c r="AB107" s="1" t="s">
        <v>74</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1202</v>
      </c>
      <c r="AP107" s="1" t="s">
        <v>1203</v>
      </c>
      <c r="AQ107" s="1" t="s">
        <v>74</v>
      </c>
      <c r="AR107" s="1" t="s">
        <v>74</v>
      </c>
      <c r="AS107" s="1" t="s">
        <v>74</v>
      </c>
      <c r="AT107" s="1" t="s">
        <v>1204</v>
      </c>
      <c r="AU107" s="1">
        <v>2000.0</v>
      </c>
      <c r="AV107" s="1">
        <v>589.0</v>
      </c>
      <c r="AW107" s="1" t="s">
        <v>428</v>
      </c>
      <c r="AX107" s="1" t="s">
        <v>74</v>
      </c>
      <c r="AY107" s="1" t="s">
        <v>74</v>
      </c>
      <c r="AZ107" s="1" t="s">
        <v>74</v>
      </c>
      <c r="BA107" s="1" t="s">
        <v>74</v>
      </c>
      <c r="BB107" s="1">
        <v>413.0</v>
      </c>
      <c r="BC107" s="1">
        <v>439.0</v>
      </c>
      <c r="BD107" s="1" t="s">
        <v>74</v>
      </c>
      <c r="BE107" s="1" t="s">
        <v>1205</v>
      </c>
      <c r="BF107" s="2" t="str">
        <f>HYPERLINK("http://dx.doi.org/10.1016/S0550-3213(00)00530-7","http://dx.doi.org/10.1016/S0550-3213(00)00530-7")</f>
        <v>http://dx.doi.org/10.1016/S0550-3213(00)00530-7</v>
      </c>
      <c r="BG107" s="1" t="s">
        <v>74</v>
      </c>
      <c r="BH107" s="1" t="s">
        <v>74</v>
      </c>
      <c r="BI107" s="1" t="s">
        <v>74</v>
      </c>
      <c r="BJ107" s="1" t="s">
        <v>74</v>
      </c>
      <c r="BK107" s="1" t="s">
        <v>74</v>
      </c>
      <c r="BL107" s="1" t="s">
        <v>74</v>
      </c>
      <c r="BM107" s="1" t="s">
        <v>74</v>
      </c>
      <c r="BN107" s="1" t="s">
        <v>74</v>
      </c>
      <c r="BO107" s="1" t="s">
        <v>74</v>
      </c>
      <c r="BP107" s="1" t="s">
        <v>74</v>
      </c>
      <c r="BQ107" s="1" t="s">
        <v>74</v>
      </c>
      <c r="BR107" s="1" t="s">
        <v>74</v>
      </c>
      <c r="BS107" s="1" t="s">
        <v>1206</v>
      </c>
      <c r="BT107" s="1" t="str">
        <f>HYPERLINK("https%3A%2F%2Fwww.webofscience.com%2Fwos%2Fwoscc%2Ffull-record%2FWOS:000165109100015","View Full Record in Web of Science")</f>
        <v>View Full Record in Web of Science</v>
      </c>
    </row>
    <row r="108" ht="12.75" customHeight="1">
      <c r="A108" s="1" t="s">
        <v>72</v>
      </c>
      <c r="B108" s="1" t="s">
        <v>1207</v>
      </c>
      <c r="C108" s="1" t="s">
        <v>74</v>
      </c>
      <c r="D108" s="1" t="s">
        <v>74</v>
      </c>
      <c r="E108" s="1" t="s">
        <v>74</v>
      </c>
      <c r="F108" s="1" t="s">
        <v>1207</v>
      </c>
      <c r="G108" s="1" t="s">
        <v>74</v>
      </c>
      <c r="H108" s="1" t="s">
        <v>74</v>
      </c>
      <c r="I108" s="1" t="s">
        <v>1208</v>
      </c>
      <c r="J108" s="1" t="s">
        <v>1209</v>
      </c>
      <c r="K108" s="1" t="s">
        <v>74</v>
      </c>
      <c r="L108" s="1" t="s">
        <v>74</v>
      </c>
      <c r="M108" s="1" t="s">
        <v>74</v>
      </c>
      <c r="N108" s="1" t="s">
        <v>74</v>
      </c>
      <c r="O108" s="1" t="s">
        <v>74</v>
      </c>
      <c r="P108" s="1" t="s">
        <v>74</v>
      </c>
      <c r="Q108" s="1" t="s">
        <v>74</v>
      </c>
      <c r="R108" s="1" t="s">
        <v>74</v>
      </c>
      <c r="S108" s="1" t="s">
        <v>74</v>
      </c>
      <c r="T108" s="1" t="s">
        <v>74</v>
      </c>
      <c r="U108" s="1" t="s">
        <v>74</v>
      </c>
      <c r="V108" s="1" t="s">
        <v>1210</v>
      </c>
      <c r="W108" s="1" t="s">
        <v>74</v>
      </c>
      <c r="X108" s="1" t="s">
        <v>74</v>
      </c>
      <c r="Y108" s="1" t="s">
        <v>74</v>
      </c>
      <c r="Z108" s="1" t="s">
        <v>74</v>
      </c>
      <c r="AA108" s="1" t="s">
        <v>74</v>
      </c>
      <c r="AB108" s="1" t="s">
        <v>74</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1211</v>
      </c>
      <c r="AP108" s="1" t="s">
        <v>74</v>
      </c>
      <c r="AQ108" s="1" t="s">
        <v>74</v>
      </c>
      <c r="AR108" s="1" t="s">
        <v>74</v>
      </c>
      <c r="AS108" s="1" t="s">
        <v>74</v>
      </c>
      <c r="AT108" s="1" t="s">
        <v>164</v>
      </c>
      <c r="AU108" s="1">
        <v>1999.0</v>
      </c>
      <c r="AV108" s="1">
        <v>67.0</v>
      </c>
      <c r="AW108" s="1">
        <v>2.0</v>
      </c>
      <c r="AX108" s="1" t="s">
        <v>74</v>
      </c>
      <c r="AY108" s="1" t="s">
        <v>74</v>
      </c>
      <c r="AZ108" s="1" t="s">
        <v>74</v>
      </c>
      <c r="BA108" s="1" t="s">
        <v>74</v>
      </c>
      <c r="BB108" s="1">
        <v>325.0</v>
      </c>
      <c r="BC108" s="1">
        <v>331.0</v>
      </c>
      <c r="BD108" s="1" t="s">
        <v>74</v>
      </c>
      <c r="BE108" s="1" t="s">
        <v>1212</v>
      </c>
      <c r="BF108" s="2" t="str">
        <f>HYPERLINK("http://dx.doi.org/10.1007/BF02475779","http://dx.doi.org/10.1007/BF02475779")</f>
        <v>http://dx.doi.org/10.1007/BF02475779</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1213</v>
      </c>
      <c r="BT108" s="1" t="str">
        <f>HYPERLINK("https%3A%2F%2Fwww.webofscience.com%2Fwos%2Fwoscc%2Ffull-record%2FWOS:000081626500017","View Full Record in Web of Science")</f>
        <v>View Full Record in Web of Science</v>
      </c>
    </row>
    <row r="109" ht="12.75" customHeight="1">
      <c r="A109" s="1" t="s">
        <v>72</v>
      </c>
      <c r="B109" s="1" t="s">
        <v>1214</v>
      </c>
      <c r="C109" s="1" t="s">
        <v>74</v>
      </c>
      <c r="D109" s="1" t="s">
        <v>74</v>
      </c>
      <c r="E109" s="1" t="s">
        <v>74</v>
      </c>
      <c r="F109" s="1" t="s">
        <v>1214</v>
      </c>
      <c r="G109" s="1" t="s">
        <v>74</v>
      </c>
      <c r="H109" s="1" t="s">
        <v>74</v>
      </c>
      <c r="I109" s="1" t="s">
        <v>1215</v>
      </c>
      <c r="J109" s="1" t="s">
        <v>1216</v>
      </c>
      <c r="K109" s="1" t="s">
        <v>74</v>
      </c>
      <c r="L109" s="1" t="s">
        <v>74</v>
      </c>
      <c r="M109" s="1" t="s">
        <v>74</v>
      </c>
      <c r="N109" s="1" t="s">
        <v>74</v>
      </c>
      <c r="O109" s="1" t="s">
        <v>74</v>
      </c>
      <c r="P109" s="1" t="s">
        <v>74</v>
      </c>
      <c r="Q109" s="1" t="s">
        <v>74</v>
      </c>
      <c r="R109" s="1" t="s">
        <v>74</v>
      </c>
      <c r="S109" s="1" t="s">
        <v>74</v>
      </c>
      <c r="T109" s="1" t="s">
        <v>74</v>
      </c>
      <c r="U109" s="1" t="s">
        <v>74</v>
      </c>
      <c r="V109" s="1" t="s">
        <v>1217</v>
      </c>
      <c r="W109" s="1" t="s">
        <v>74</v>
      </c>
      <c r="X109" s="1" t="s">
        <v>74</v>
      </c>
      <c r="Y109" s="1" t="s">
        <v>74</v>
      </c>
      <c r="Z109" s="1" t="s">
        <v>74</v>
      </c>
      <c r="AA109" s="1" t="s">
        <v>1218</v>
      </c>
      <c r="AB109" s="1" t="s">
        <v>1219</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1220</v>
      </c>
      <c r="AP109" s="1" t="s">
        <v>74</v>
      </c>
      <c r="AQ109" s="1" t="s">
        <v>74</v>
      </c>
      <c r="AR109" s="1" t="s">
        <v>74</v>
      </c>
      <c r="AS109" s="1" t="s">
        <v>74</v>
      </c>
      <c r="AT109" s="1" t="s">
        <v>1221</v>
      </c>
      <c r="AU109" s="1">
        <v>1997.0</v>
      </c>
      <c r="AV109" s="1">
        <v>395.0</v>
      </c>
      <c r="AW109" s="1" t="s">
        <v>1222</v>
      </c>
      <c r="AX109" s="1" t="s">
        <v>74</v>
      </c>
      <c r="AY109" s="1" t="s">
        <v>74</v>
      </c>
      <c r="AZ109" s="1" t="s">
        <v>74</v>
      </c>
      <c r="BA109" s="1" t="s">
        <v>74</v>
      </c>
      <c r="BB109" s="1">
        <v>264.0</v>
      </c>
      <c r="BC109" s="1">
        <v>268.0</v>
      </c>
      <c r="BD109" s="1" t="s">
        <v>74</v>
      </c>
      <c r="BE109" s="1" t="s">
        <v>1223</v>
      </c>
      <c r="BF109" s="2" t="str">
        <f>HYPERLINK("http://dx.doi.org/10.1016/S0370-2693(97)00042-7","http://dx.doi.org/10.1016/S0370-2693(97)00042-7")</f>
        <v>http://dx.doi.org/10.1016/S0370-2693(97)00042-7</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1224</v>
      </c>
      <c r="BT109" s="1" t="str">
        <f>HYPERLINK("https%3A%2F%2Fwww.webofscience.com%2Fwos%2Fwoscc%2Ffull-record%2FWOS:A1997WM73800019","View Full Record in Web of Science")</f>
        <v>View Full Record in Web of Science</v>
      </c>
    </row>
    <row r="110" ht="12.75" customHeight="1">
      <c r="A110" s="1" t="s">
        <v>72</v>
      </c>
      <c r="B110" s="1" t="s">
        <v>1225</v>
      </c>
      <c r="C110" s="1" t="s">
        <v>74</v>
      </c>
      <c r="D110" s="1" t="s">
        <v>74</v>
      </c>
      <c r="E110" s="1" t="s">
        <v>74</v>
      </c>
      <c r="F110" s="1" t="s">
        <v>1226</v>
      </c>
      <c r="G110" s="1" t="s">
        <v>74</v>
      </c>
      <c r="H110" s="1" t="s">
        <v>74</v>
      </c>
      <c r="I110" s="1" t="s">
        <v>1227</v>
      </c>
      <c r="J110" s="1" t="s">
        <v>1228</v>
      </c>
      <c r="K110" s="1" t="s">
        <v>74</v>
      </c>
      <c r="L110" s="1" t="s">
        <v>74</v>
      </c>
      <c r="M110" s="1" t="s">
        <v>74</v>
      </c>
      <c r="N110" s="1" t="s">
        <v>74</v>
      </c>
      <c r="O110" s="1" t="s">
        <v>74</v>
      </c>
      <c r="P110" s="1" t="s">
        <v>74</v>
      </c>
      <c r="Q110" s="1" t="s">
        <v>74</v>
      </c>
      <c r="R110" s="1" t="s">
        <v>74</v>
      </c>
      <c r="S110" s="1" t="s">
        <v>74</v>
      </c>
      <c r="T110" s="1" t="s">
        <v>74</v>
      </c>
      <c r="U110" s="1" t="s">
        <v>74</v>
      </c>
      <c r="V110" s="1" t="s">
        <v>1229</v>
      </c>
      <c r="W110" s="1" t="s">
        <v>74</v>
      </c>
      <c r="X110" s="1" t="s">
        <v>74</v>
      </c>
      <c r="Y110" s="1" t="s">
        <v>74</v>
      </c>
      <c r="Z110" s="1" t="s">
        <v>74</v>
      </c>
      <c r="AA110" s="1" t="s">
        <v>1230</v>
      </c>
      <c r="AB110" s="1" t="s">
        <v>1231</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1232</v>
      </c>
      <c r="AP110" s="1" t="s">
        <v>1233</v>
      </c>
      <c r="AQ110" s="1" t="s">
        <v>74</v>
      </c>
      <c r="AR110" s="1" t="s">
        <v>74</v>
      </c>
      <c r="AS110" s="1" t="s">
        <v>74</v>
      </c>
      <c r="AT110" s="1" t="s">
        <v>554</v>
      </c>
      <c r="AU110" s="1">
        <v>2024.0</v>
      </c>
      <c r="AV110" s="1">
        <v>43.0</v>
      </c>
      <c r="AW110" s="1">
        <v>6.0</v>
      </c>
      <c r="AX110" s="1" t="s">
        <v>74</v>
      </c>
      <c r="AY110" s="1" t="s">
        <v>74</v>
      </c>
      <c r="AZ110" s="1" t="s">
        <v>74</v>
      </c>
      <c r="BA110" s="1" t="s">
        <v>74</v>
      </c>
      <c r="BB110" s="1">
        <v>1891.0</v>
      </c>
      <c r="BC110" s="1">
        <v>1901.0</v>
      </c>
      <c r="BD110" s="1" t="s">
        <v>74</v>
      </c>
      <c r="BE110" s="1" t="s">
        <v>1234</v>
      </c>
      <c r="BF110" s="2" t="str">
        <f>HYPERLINK("http://dx.doi.org/10.1007/s00344-023-11229-z","http://dx.doi.org/10.1007/s00344-023-11229-z")</f>
        <v>http://dx.doi.org/10.1007/s00344-023-11229-z</v>
      </c>
      <c r="BG110" s="1" t="s">
        <v>74</v>
      </c>
      <c r="BH110" s="1" t="s">
        <v>1235</v>
      </c>
      <c r="BI110" s="1" t="s">
        <v>74</v>
      </c>
      <c r="BJ110" s="1" t="s">
        <v>74</v>
      </c>
      <c r="BK110" s="1" t="s">
        <v>74</v>
      </c>
      <c r="BL110" s="1" t="s">
        <v>74</v>
      </c>
      <c r="BM110" s="1" t="s">
        <v>74</v>
      </c>
      <c r="BN110" s="1" t="s">
        <v>74</v>
      </c>
      <c r="BO110" s="1" t="s">
        <v>74</v>
      </c>
      <c r="BP110" s="1" t="s">
        <v>74</v>
      </c>
      <c r="BQ110" s="1" t="s">
        <v>74</v>
      </c>
      <c r="BR110" s="1" t="s">
        <v>74</v>
      </c>
      <c r="BS110" s="1" t="s">
        <v>1236</v>
      </c>
      <c r="BT110" s="1" t="str">
        <f>HYPERLINK("https%3A%2F%2Fwww.webofscience.com%2Fwos%2Fwoscc%2Ffull-record%2FWOS:001136115000002","View Full Record in Web of Science")</f>
        <v>View Full Record in Web of Science</v>
      </c>
    </row>
    <row r="111" ht="12.75" customHeight="1">
      <c r="A111" s="1" t="s">
        <v>72</v>
      </c>
      <c r="B111" s="1" t="s">
        <v>1237</v>
      </c>
      <c r="C111" s="1" t="s">
        <v>74</v>
      </c>
      <c r="D111" s="1" t="s">
        <v>74</v>
      </c>
      <c r="E111" s="1" t="s">
        <v>74</v>
      </c>
      <c r="F111" s="1" t="s">
        <v>1238</v>
      </c>
      <c r="G111" s="1" t="s">
        <v>74</v>
      </c>
      <c r="H111" s="1" t="s">
        <v>74</v>
      </c>
      <c r="I111" s="1" t="s">
        <v>1239</v>
      </c>
      <c r="J111" s="1" t="s">
        <v>1240</v>
      </c>
      <c r="K111" s="1" t="s">
        <v>74</v>
      </c>
      <c r="L111" s="1" t="s">
        <v>74</v>
      </c>
      <c r="M111" s="1" t="s">
        <v>74</v>
      </c>
      <c r="N111" s="1" t="s">
        <v>74</v>
      </c>
      <c r="O111" s="1" t="s">
        <v>74</v>
      </c>
      <c r="P111" s="1" t="s">
        <v>74</v>
      </c>
      <c r="Q111" s="1" t="s">
        <v>74</v>
      </c>
      <c r="R111" s="1" t="s">
        <v>74</v>
      </c>
      <c r="S111" s="1" t="s">
        <v>74</v>
      </c>
      <c r="T111" s="1" t="s">
        <v>74</v>
      </c>
      <c r="U111" s="1" t="s">
        <v>74</v>
      </c>
      <c r="V111" s="1" t="s">
        <v>1241</v>
      </c>
      <c r="W111" s="1" t="s">
        <v>74</v>
      </c>
      <c r="X111" s="1" t="s">
        <v>74</v>
      </c>
      <c r="Y111" s="1" t="s">
        <v>74</v>
      </c>
      <c r="Z111" s="1" t="s">
        <v>74</v>
      </c>
      <c r="AA111" s="1" t="s">
        <v>1242</v>
      </c>
      <c r="AB111" s="1" t="s">
        <v>1243</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1244</v>
      </c>
      <c r="AP111" s="1" t="s">
        <v>1245</v>
      </c>
      <c r="AQ111" s="1" t="s">
        <v>74</v>
      </c>
      <c r="AR111" s="1" t="s">
        <v>74</v>
      </c>
      <c r="AS111" s="1" t="s">
        <v>74</v>
      </c>
      <c r="AT111" s="1" t="s">
        <v>74</v>
      </c>
      <c r="AU111" s="1">
        <v>2024.0</v>
      </c>
      <c r="AV111" s="1">
        <v>84.0</v>
      </c>
      <c r="AW111" s="1">
        <v>5.0</v>
      </c>
      <c r="AX111" s="1" t="s">
        <v>74</v>
      </c>
      <c r="AY111" s="1" t="s">
        <v>74</v>
      </c>
      <c r="AZ111" s="1" t="s">
        <v>74</v>
      </c>
      <c r="BA111" s="1" t="s">
        <v>74</v>
      </c>
      <c r="BB111" s="1">
        <v>1910.0</v>
      </c>
      <c r="BC111" s="1">
        <v>1936.0</v>
      </c>
      <c r="BD111" s="1" t="s">
        <v>74</v>
      </c>
      <c r="BE111" s="1" t="s">
        <v>1246</v>
      </c>
      <c r="BF111" s="2" t="str">
        <f>HYPERLINK("http://dx.doi.org/10.1137/24M1645632","http://dx.doi.org/10.1137/24M1645632")</f>
        <v>http://dx.doi.org/10.1137/24M1645632</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1247</v>
      </c>
      <c r="BT111" s="1" t="str">
        <f>HYPERLINK("https%3A%2F%2Fwww.webofscience.com%2Fwos%2Fwoscc%2Ffull-record%2FWOS:001380638100002","View Full Record in Web of Science")</f>
        <v>View Full Record in Web of Science</v>
      </c>
    </row>
    <row r="112" ht="12.75" customHeight="1">
      <c r="A112" s="1" t="s">
        <v>72</v>
      </c>
      <c r="B112" s="1" t="s">
        <v>1248</v>
      </c>
      <c r="C112" s="1" t="s">
        <v>74</v>
      </c>
      <c r="D112" s="1" t="s">
        <v>74</v>
      </c>
      <c r="E112" s="1" t="s">
        <v>74</v>
      </c>
      <c r="F112" s="1" t="s">
        <v>1249</v>
      </c>
      <c r="G112" s="1" t="s">
        <v>74</v>
      </c>
      <c r="H112" s="1" t="s">
        <v>74</v>
      </c>
      <c r="I112" s="1" t="s">
        <v>1250</v>
      </c>
      <c r="J112" s="1" t="s">
        <v>1251</v>
      </c>
      <c r="K112" s="1" t="s">
        <v>74</v>
      </c>
      <c r="L112" s="1" t="s">
        <v>74</v>
      </c>
      <c r="M112" s="1" t="s">
        <v>74</v>
      </c>
      <c r="N112" s="1" t="s">
        <v>74</v>
      </c>
      <c r="O112" s="1" t="s">
        <v>74</v>
      </c>
      <c r="P112" s="1" t="s">
        <v>74</v>
      </c>
      <c r="Q112" s="1" t="s">
        <v>74</v>
      </c>
      <c r="R112" s="1" t="s">
        <v>74</v>
      </c>
      <c r="S112" s="1" t="s">
        <v>74</v>
      </c>
      <c r="T112" s="1" t="s">
        <v>74</v>
      </c>
      <c r="U112" s="1" t="s">
        <v>74</v>
      </c>
      <c r="V112" s="1" t="s">
        <v>1252</v>
      </c>
      <c r="W112" s="1" t="s">
        <v>74</v>
      </c>
      <c r="X112" s="1" t="s">
        <v>74</v>
      </c>
      <c r="Y112" s="1" t="s">
        <v>74</v>
      </c>
      <c r="Z112" s="1" t="s">
        <v>74</v>
      </c>
      <c r="AA112" s="1" t="s">
        <v>1253</v>
      </c>
      <c r="AB112" s="1" t="s">
        <v>1254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1255</v>
      </c>
      <c r="AP112" s="1" t="s">
        <v>1256</v>
      </c>
      <c r="AQ112" s="1" t="s">
        <v>74</v>
      </c>
      <c r="AR112" s="1" t="s">
        <v>74</v>
      </c>
      <c r="AS112" s="1" t="s">
        <v>74</v>
      </c>
      <c r="AT112" s="1" t="s">
        <v>1257</v>
      </c>
      <c r="AU112" s="1">
        <v>2024.0</v>
      </c>
      <c r="AV112" s="1">
        <v>34.0</v>
      </c>
      <c r="AW112" s="1">
        <v>1.0</v>
      </c>
      <c r="AX112" s="1" t="s">
        <v>74</v>
      </c>
      <c r="AY112" s="1" t="s">
        <v>74</v>
      </c>
      <c r="AZ112" s="1" t="s">
        <v>74</v>
      </c>
      <c r="BA112" s="1" t="s">
        <v>74</v>
      </c>
      <c r="BB112" s="1">
        <v>280.0</v>
      </c>
      <c r="BC112" s="1">
        <v>308.0</v>
      </c>
      <c r="BD112" s="1" t="s">
        <v>74</v>
      </c>
      <c r="BE112" s="1" t="s">
        <v>1258</v>
      </c>
      <c r="BF112" s="2" t="str">
        <f>HYPERLINK("http://dx.doi.org/10.1108/HFF-01-2023-0040","http://dx.doi.org/10.1108/HFF-01-2023-0040")</f>
        <v>http://dx.doi.org/10.1108/HFF-01-2023-0040</v>
      </c>
      <c r="BG112" s="1" t="s">
        <v>74</v>
      </c>
      <c r="BH112" s="1" t="s">
        <v>1259</v>
      </c>
      <c r="BI112" s="1" t="s">
        <v>74</v>
      </c>
      <c r="BJ112" s="1" t="s">
        <v>74</v>
      </c>
      <c r="BK112" s="1" t="s">
        <v>74</v>
      </c>
      <c r="BL112" s="1" t="s">
        <v>74</v>
      </c>
      <c r="BM112" s="1" t="s">
        <v>74</v>
      </c>
      <c r="BN112" s="1" t="s">
        <v>74</v>
      </c>
      <c r="BO112" s="1" t="s">
        <v>74</v>
      </c>
      <c r="BP112" s="1" t="s">
        <v>74</v>
      </c>
      <c r="BQ112" s="1" t="s">
        <v>74</v>
      </c>
      <c r="BR112" s="1" t="s">
        <v>74</v>
      </c>
      <c r="BS112" s="1" t="s">
        <v>1260</v>
      </c>
      <c r="BT112" s="1" t="str">
        <f>HYPERLINK("https%3A%2F%2Fwww.webofscience.com%2Fwos%2Fwoscc%2Ffull-record%2FWOS:001093454900001","View Full Record in Web of Science")</f>
        <v>View Full Record in Web of Science</v>
      </c>
    </row>
    <row r="113" ht="12.75" customHeight="1">
      <c r="A113" s="1" t="s">
        <v>72</v>
      </c>
      <c r="B113" s="1" t="s">
        <v>1261</v>
      </c>
      <c r="C113" s="1" t="s">
        <v>74</v>
      </c>
      <c r="D113" s="1" t="s">
        <v>74</v>
      </c>
      <c r="E113" s="1" t="s">
        <v>74</v>
      </c>
      <c r="F113" s="1" t="s">
        <v>1262</v>
      </c>
      <c r="G113" s="1" t="s">
        <v>74</v>
      </c>
      <c r="H113" s="1" t="s">
        <v>74</v>
      </c>
      <c r="I113" s="1" t="s">
        <v>1263</v>
      </c>
      <c r="J113" s="1" t="s">
        <v>1264</v>
      </c>
      <c r="K113" s="1" t="s">
        <v>74</v>
      </c>
      <c r="L113" s="1" t="s">
        <v>74</v>
      </c>
      <c r="M113" s="1" t="s">
        <v>74</v>
      </c>
      <c r="N113" s="1" t="s">
        <v>74</v>
      </c>
      <c r="O113" s="1" t="s">
        <v>74</v>
      </c>
      <c r="P113" s="1" t="s">
        <v>74</v>
      </c>
      <c r="Q113" s="1" t="s">
        <v>74</v>
      </c>
      <c r="R113" s="1" t="s">
        <v>74</v>
      </c>
      <c r="S113" s="1" t="s">
        <v>74</v>
      </c>
      <c r="T113" s="1" t="s">
        <v>74</v>
      </c>
      <c r="U113" s="1" t="s">
        <v>74</v>
      </c>
      <c r="V113" s="1" t="s">
        <v>74</v>
      </c>
      <c r="W113" s="1" t="s">
        <v>74</v>
      </c>
      <c r="X113" s="1" t="s">
        <v>74</v>
      </c>
      <c r="Y113" s="1" t="s">
        <v>74</v>
      </c>
      <c r="Z113" s="1" t="s">
        <v>74</v>
      </c>
      <c r="AA113" s="1" t="s">
        <v>1265</v>
      </c>
      <c r="AB113" s="1" t="s">
        <v>74</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1266</v>
      </c>
      <c r="AP113" s="1" t="s">
        <v>1267</v>
      </c>
      <c r="AQ113" s="1" t="s">
        <v>74</v>
      </c>
      <c r="AR113" s="1" t="s">
        <v>74</v>
      </c>
      <c r="AS113" s="1" t="s">
        <v>74</v>
      </c>
      <c r="AT113" s="1" t="s">
        <v>647</v>
      </c>
      <c r="AU113" s="1">
        <v>2023.0</v>
      </c>
      <c r="AV113" s="1">
        <v>113.0</v>
      </c>
      <c r="AW113" s="1" t="s">
        <v>74</v>
      </c>
      <c r="AX113" s="1" t="s">
        <v>74</v>
      </c>
      <c r="AY113" s="1" t="s">
        <v>475</v>
      </c>
      <c r="AZ113" s="1" t="s">
        <v>74</v>
      </c>
      <c r="BA113" s="1" t="s">
        <v>1268</v>
      </c>
      <c r="BB113" s="1">
        <v>49.0</v>
      </c>
      <c r="BC113" s="1">
        <v>49.0</v>
      </c>
      <c r="BD113" s="1" t="s">
        <v>74</v>
      </c>
      <c r="BE113" s="1" t="s">
        <v>74</v>
      </c>
      <c r="BF113" s="1" t="s">
        <v>74</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1269</v>
      </c>
      <c r="BT113" s="1" t="str">
        <f>HYPERLINK("https%3A%2F%2Fwww.webofscience.com%2Fwos%2Fwoscc%2Ffull-record%2FWOS:001056372700150","View Full Record in Web of Science")</f>
        <v>View Full Record in Web of Science</v>
      </c>
    </row>
    <row r="114" ht="12.75" customHeight="1">
      <c r="A114" s="1" t="s">
        <v>72</v>
      </c>
      <c r="B114" s="1" t="s">
        <v>1270</v>
      </c>
      <c r="C114" s="1" t="s">
        <v>74</v>
      </c>
      <c r="D114" s="1" t="s">
        <v>74</v>
      </c>
      <c r="E114" s="1" t="s">
        <v>74</v>
      </c>
      <c r="F114" s="1" t="s">
        <v>1271</v>
      </c>
      <c r="G114" s="1" t="s">
        <v>74</v>
      </c>
      <c r="H114" s="1" t="s">
        <v>74</v>
      </c>
      <c r="I114" s="1" t="s">
        <v>1272</v>
      </c>
      <c r="J114" s="1" t="s">
        <v>326</v>
      </c>
      <c r="K114" s="1" t="s">
        <v>74</v>
      </c>
      <c r="L114" s="1" t="s">
        <v>74</v>
      </c>
      <c r="M114" s="1" t="s">
        <v>74</v>
      </c>
      <c r="N114" s="1" t="s">
        <v>74</v>
      </c>
      <c r="O114" s="1" t="s">
        <v>74</v>
      </c>
      <c r="P114" s="1" t="s">
        <v>74</v>
      </c>
      <c r="Q114" s="1" t="s">
        <v>74</v>
      </c>
      <c r="R114" s="1" t="s">
        <v>74</v>
      </c>
      <c r="S114" s="1" t="s">
        <v>74</v>
      </c>
      <c r="T114" s="1" t="s">
        <v>74</v>
      </c>
      <c r="U114" s="1" t="s">
        <v>74</v>
      </c>
      <c r="V114" s="1" t="s">
        <v>1273</v>
      </c>
      <c r="W114" s="1" t="s">
        <v>74</v>
      </c>
      <c r="X114" s="1" t="s">
        <v>74</v>
      </c>
      <c r="Y114" s="1" t="s">
        <v>74</v>
      </c>
      <c r="Z114" s="1" t="s">
        <v>74</v>
      </c>
      <c r="AA114" s="1" t="s">
        <v>74</v>
      </c>
      <c r="AB114" s="1" t="s">
        <v>1274</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330</v>
      </c>
      <c r="AP114" s="1" t="s">
        <v>331</v>
      </c>
      <c r="AQ114" s="1" t="s">
        <v>74</v>
      </c>
      <c r="AR114" s="1" t="s">
        <v>74</v>
      </c>
      <c r="AS114" s="1" t="s">
        <v>74</v>
      </c>
      <c r="AT114" s="1" t="s">
        <v>1275</v>
      </c>
      <c r="AU114" s="1">
        <v>2023.0</v>
      </c>
      <c r="AV114" s="1">
        <v>445.0</v>
      </c>
      <c r="AW114" s="1" t="s">
        <v>74</v>
      </c>
      <c r="AX114" s="1" t="s">
        <v>74</v>
      </c>
      <c r="AY114" s="1" t="s">
        <v>74</v>
      </c>
      <c r="AZ114" s="1" t="s">
        <v>74</v>
      </c>
      <c r="BA114" s="1" t="s">
        <v>74</v>
      </c>
      <c r="BB114" s="1" t="s">
        <v>74</v>
      </c>
      <c r="BC114" s="1" t="s">
        <v>74</v>
      </c>
      <c r="BD114" s="1">
        <v>141936.0</v>
      </c>
      <c r="BE114" s="1" t="s">
        <v>1276</v>
      </c>
      <c r="BF114" s="2" t="str">
        <f>HYPERLINK("http://dx.doi.org/10.1016/j.electacta.2023.141936","http://dx.doi.org/10.1016/j.electacta.2023.141936")</f>
        <v>http://dx.doi.org/10.1016/j.electacta.2023.141936</v>
      </c>
      <c r="BG114" s="1" t="s">
        <v>74</v>
      </c>
      <c r="BH114" s="1" t="s">
        <v>1277</v>
      </c>
      <c r="BI114" s="1" t="s">
        <v>74</v>
      </c>
      <c r="BJ114" s="1" t="s">
        <v>74</v>
      </c>
      <c r="BK114" s="1" t="s">
        <v>74</v>
      </c>
      <c r="BL114" s="1" t="s">
        <v>74</v>
      </c>
      <c r="BM114" s="1" t="s">
        <v>74</v>
      </c>
      <c r="BN114" s="1" t="s">
        <v>74</v>
      </c>
      <c r="BO114" s="1" t="s">
        <v>74</v>
      </c>
      <c r="BP114" s="1" t="s">
        <v>74</v>
      </c>
      <c r="BQ114" s="1" t="s">
        <v>74</v>
      </c>
      <c r="BR114" s="1" t="s">
        <v>74</v>
      </c>
      <c r="BS114" s="1" t="s">
        <v>1278</v>
      </c>
      <c r="BT114" s="1" t="str">
        <f>HYPERLINK("https%3A%2F%2Fwww.webofscience.com%2Fwos%2Fwoscc%2Ffull-record%2FWOS:000991850700001","View Full Record in Web of Science")</f>
        <v>View Full Record in Web of Science</v>
      </c>
    </row>
    <row r="115" ht="12.75" customHeight="1">
      <c r="A115" s="1" t="s">
        <v>72</v>
      </c>
      <c r="B115" s="1" t="s">
        <v>1279</v>
      </c>
      <c r="C115" s="1" t="s">
        <v>74</v>
      </c>
      <c r="D115" s="1" t="s">
        <v>74</v>
      </c>
      <c r="E115" s="1" t="s">
        <v>74</v>
      </c>
      <c r="F115" s="1" t="s">
        <v>1280</v>
      </c>
      <c r="G115" s="1" t="s">
        <v>74</v>
      </c>
      <c r="H115" s="1" t="s">
        <v>74</v>
      </c>
      <c r="I115" s="1" t="s">
        <v>1281</v>
      </c>
      <c r="J115" s="1" t="s">
        <v>1282</v>
      </c>
      <c r="K115" s="1" t="s">
        <v>74</v>
      </c>
      <c r="L115" s="1" t="s">
        <v>74</v>
      </c>
      <c r="M115" s="1" t="s">
        <v>74</v>
      </c>
      <c r="N115" s="1" t="s">
        <v>74</v>
      </c>
      <c r="O115" s="1" t="s">
        <v>74</v>
      </c>
      <c r="P115" s="1" t="s">
        <v>74</v>
      </c>
      <c r="Q115" s="1" t="s">
        <v>74</v>
      </c>
      <c r="R115" s="1" t="s">
        <v>74</v>
      </c>
      <c r="S115" s="1" t="s">
        <v>74</v>
      </c>
      <c r="T115" s="1" t="s">
        <v>74</v>
      </c>
      <c r="U115" s="1" t="s">
        <v>74</v>
      </c>
      <c r="V115" s="1" t="s">
        <v>1283</v>
      </c>
      <c r="W115" s="1" t="s">
        <v>74</v>
      </c>
      <c r="X115" s="1" t="s">
        <v>74</v>
      </c>
      <c r="Y115" s="1" t="s">
        <v>74</v>
      </c>
      <c r="Z115" s="1" t="s">
        <v>74</v>
      </c>
      <c r="AA115" s="1" t="s">
        <v>1284</v>
      </c>
      <c r="AB115" s="1" t="s">
        <v>1285</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1286</v>
      </c>
      <c r="AP115" s="1" t="s">
        <v>1287</v>
      </c>
      <c r="AQ115" s="1" t="s">
        <v>74</v>
      </c>
      <c r="AR115" s="1" t="s">
        <v>74</v>
      </c>
      <c r="AS115" s="1" t="s">
        <v>74</v>
      </c>
      <c r="AT115" s="1" t="s">
        <v>496</v>
      </c>
      <c r="AU115" s="1">
        <v>2023.0</v>
      </c>
      <c r="AV115" s="1">
        <v>166.0</v>
      </c>
      <c r="AW115" s="1" t="s">
        <v>74</v>
      </c>
      <c r="AX115" s="1" t="s">
        <v>74</v>
      </c>
      <c r="AY115" s="1" t="s">
        <v>74</v>
      </c>
      <c r="AZ115" s="1" t="s">
        <v>74</v>
      </c>
      <c r="BA115" s="1" t="s">
        <v>74</v>
      </c>
      <c r="BB115" s="1" t="s">
        <v>74</v>
      </c>
      <c r="BC115" s="1" t="s">
        <v>74</v>
      </c>
      <c r="BD115" s="1">
        <v>112964.0</v>
      </c>
      <c r="BE115" s="1" t="s">
        <v>1288</v>
      </c>
      <c r="BF115" s="2" t="str">
        <f>HYPERLINK("http://dx.doi.org/10.1016/j.chaos.2022.112964","http://dx.doi.org/10.1016/j.chaos.2022.112964")</f>
        <v>http://dx.doi.org/10.1016/j.chaos.2022.112964</v>
      </c>
      <c r="BG115" s="1" t="s">
        <v>74</v>
      </c>
      <c r="BH115" s="1" t="s">
        <v>530</v>
      </c>
      <c r="BI115" s="1" t="s">
        <v>74</v>
      </c>
      <c r="BJ115" s="1" t="s">
        <v>74</v>
      </c>
      <c r="BK115" s="1" t="s">
        <v>74</v>
      </c>
      <c r="BL115" s="1" t="s">
        <v>74</v>
      </c>
      <c r="BM115" s="1" t="s">
        <v>74</v>
      </c>
      <c r="BN115" s="1">
        <v>3.6474823E7</v>
      </c>
      <c r="BO115" s="1" t="s">
        <v>74</v>
      </c>
      <c r="BP115" s="1" t="s">
        <v>74</v>
      </c>
      <c r="BQ115" s="1" t="s">
        <v>74</v>
      </c>
      <c r="BR115" s="1" t="s">
        <v>74</v>
      </c>
      <c r="BS115" s="1" t="s">
        <v>1289</v>
      </c>
      <c r="BT115" s="1" t="str">
        <f>HYPERLINK("https%3A%2F%2Fwww.webofscience.com%2Fwos%2Fwoscc%2Ffull-record%2FWOS:000993860200001","View Full Record in Web of Science")</f>
        <v>View Full Record in Web of Science</v>
      </c>
    </row>
    <row r="116" ht="12.75" customHeight="1">
      <c r="A116" s="1" t="s">
        <v>72</v>
      </c>
      <c r="B116" s="1" t="s">
        <v>1290</v>
      </c>
      <c r="C116" s="1" t="s">
        <v>74</v>
      </c>
      <c r="D116" s="1" t="s">
        <v>74</v>
      </c>
      <c r="E116" s="1" t="s">
        <v>74</v>
      </c>
      <c r="F116" s="1" t="s">
        <v>1291</v>
      </c>
      <c r="G116" s="1" t="s">
        <v>74</v>
      </c>
      <c r="H116" s="1" t="s">
        <v>74</v>
      </c>
      <c r="I116" s="1" t="s">
        <v>1292</v>
      </c>
      <c r="J116" s="1" t="s">
        <v>1293</v>
      </c>
      <c r="K116" s="1" t="s">
        <v>74</v>
      </c>
      <c r="L116" s="1" t="s">
        <v>74</v>
      </c>
      <c r="M116" s="1" t="s">
        <v>74</v>
      </c>
      <c r="N116" s="1" t="s">
        <v>74</v>
      </c>
      <c r="O116" s="1" t="s">
        <v>74</v>
      </c>
      <c r="P116" s="1" t="s">
        <v>74</v>
      </c>
      <c r="Q116" s="1" t="s">
        <v>74</v>
      </c>
      <c r="R116" s="1" t="s">
        <v>74</v>
      </c>
      <c r="S116" s="1" t="s">
        <v>74</v>
      </c>
      <c r="T116" s="1" t="s">
        <v>74</v>
      </c>
      <c r="U116" s="1" t="s">
        <v>74</v>
      </c>
      <c r="V116" s="1" t="s">
        <v>74</v>
      </c>
      <c r="W116" s="1" t="s">
        <v>74</v>
      </c>
      <c r="X116" s="1" t="s">
        <v>74</v>
      </c>
      <c r="Y116" s="1" t="s">
        <v>74</v>
      </c>
      <c r="Z116" s="1" t="s">
        <v>74</v>
      </c>
      <c r="AA116" s="1" t="s">
        <v>1294</v>
      </c>
      <c r="AB116" s="1" t="s">
        <v>74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1295</v>
      </c>
      <c r="AP116" s="1" t="s">
        <v>1296</v>
      </c>
      <c r="AQ116" s="1" t="s">
        <v>74</v>
      </c>
      <c r="AR116" s="1" t="s">
        <v>74</v>
      </c>
      <c r="AS116" s="1" t="s">
        <v>74</v>
      </c>
      <c r="AT116" s="1" t="s">
        <v>596</v>
      </c>
      <c r="AU116" s="1">
        <v>2022.0</v>
      </c>
      <c r="AV116" s="1">
        <v>37.0</v>
      </c>
      <c r="AW116" s="1">
        <v>106.0</v>
      </c>
      <c r="AX116" s="1" t="s">
        <v>74</v>
      </c>
      <c r="AY116" s="1" t="s">
        <v>74</v>
      </c>
      <c r="AZ116" s="1" t="s">
        <v>74</v>
      </c>
      <c r="BA116" s="1" t="s">
        <v>74</v>
      </c>
      <c r="BB116" s="1">
        <v>1.0</v>
      </c>
      <c r="BC116" s="1">
        <v>23.0</v>
      </c>
      <c r="BD116" s="1" t="s">
        <v>74</v>
      </c>
      <c r="BE116" s="1" t="s">
        <v>1297</v>
      </c>
      <c r="BF116" s="2" t="str">
        <f>HYPERLINK("http://dx.doi.org/10.5354/0718-8358.2022.68886","http://dx.doi.org/10.5354/0718-8358.2022.68886")</f>
        <v>http://dx.doi.org/10.5354/0718-8358.2022.68886</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1298</v>
      </c>
      <c r="BT116" s="1" t="str">
        <f>HYPERLINK("https%3A%2F%2Fwww.webofscience.com%2Fwos%2Fwoscc%2Ffull-record%2FWOS:000890056400001","View Full Record in Web of Science")</f>
        <v>View Full Record in Web of Science</v>
      </c>
    </row>
    <row r="117" ht="12.75" customHeight="1">
      <c r="A117" s="1" t="s">
        <v>72</v>
      </c>
      <c r="B117" s="1" t="s">
        <v>1299</v>
      </c>
      <c r="C117" s="1" t="s">
        <v>74</v>
      </c>
      <c r="D117" s="1" t="s">
        <v>74</v>
      </c>
      <c r="E117" s="1" t="s">
        <v>74</v>
      </c>
      <c r="F117" s="1" t="s">
        <v>1300</v>
      </c>
      <c r="G117" s="1" t="s">
        <v>74</v>
      </c>
      <c r="H117" s="1" t="s">
        <v>74</v>
      </c>
      <c r="I117" s="1" t="s">
        <v>1301</v>
      </c>
      <c r="J117" s="1" t="s">
        <v>1302</v>
      </c>
      <c r="K117" s="1" t="s">
        <v>74</v>
      </c>
      <c r="L117" s="1" t="s">
        <v>74</v>
      </c>
      <c r="M117" s="1" t="s">
        <v>74</v>
      </c>
      <c r="N117" s="1" t="s">
        <v>74</v>
      </c>
      <c r="O117" s="1" t="s">
        <v>74</v>
      </c>
      <c r="P117" s="1" t="s">
        <v>74</v>
      </c>
      <c r="Q117" s="1" t="s">
        <v>74</v>
      </c>
      <c r="R117" s="1" t="s">
        <v>74</v>
      </c>
      <c r="S117" s="1" t="s">
        <v>74</v>
      </c>
      <c r="T117" s="1" t="s">
        <v>74</v>
      </c>
      <c r="U117" s="1" t="s">
        <v>74</v>
      </c>
      <c r="V117" s="1" t="s">
        <v>1303</v>
      </c>
      <c r="W117" s="1" t="s">
        <v>74</v>
      </c>
      <c r="X117" s="1" t="s">
        <v>74</v>
      </c>
      <c r="Y117" s="1" t="s">
        <v>74</v>
      </c>
      <c r="Z117" s="1" t="s">
        <v>74</v>
      </c>
      <c r="AA117" s="1" t="s">
        <v>1304</v>
      </c>
      <c r="AB117" s="1" t="s">
        <v>74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1305</v>
      </c>
      <c r="AP117" s="1" t="s">
        <v>1306</v>
      </c>
      <c r="AQ117" s="1" t="s">
        <v>74</v>
      </c>
      <c r="AR117" s="1" t="s">
        <v>74</v>
      </c>
      <c r="AS117" s="1" t="s">
        <v>74</v>
      </c>
      <c r="AT117" s="1" t="s">
        <v>1307</v>
      </c>
      <c r="AU117" s="1">
        <v>2022.0</v>
      </c>
      <c r="AV117" s="1" t="s">
        <v>74</v>
      </c>
      <c r="AW117" s="1">
        <v>149.0</v>
      </c>
      <c r="AX117" s="1" t="s">
        <v>74</v>
      </c>
      <c r="AY117" s="1" t="s">
        <v>74</v>
      </c>
      <c r="AZ117" s="1" t="s">
        <v>74</v>
      </c>
      <c r="BA117" s="1" t="s">
        <v>74</v>
      </c>
      <c r="BB117" s="1">
        <v>45.0</v>
      </c>
      <c r="BC117" s="1">
        <v>52.0</v>
      </c>
      <c r="BD117" s="1" t="s">
        <v>74</v>
      </c>
      <c r="BE117" s="1" t="s">
        <v>1308</v>
      </c>
      <c r="BF117" s="2" t="str">
        <f>HYPERLINK("http://dx.doi.org/10.5672/apunts.2014-0983.es.(2022/3).149.05","http://dx.doi.org/10.5672/apunts.2014-0983.es.(2022/3).149.05")</f>
        <v>http://dx.doi.org/10.5672/apunts.2014-0983.es.(2022/3).149.05</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1309</v>
      </c>
      <c r="BT117" s="1" t="str">
        <f>HYPERLINK("https%3A%2F%2Fwww.webofscience.com%2Fwos%2Fwoscc%2Ffull-record%2FWOS:000822508800002","View Full Record in Web of Science")</f>
        <v>View Full Record in Web of Science</v>
      </c>
    </row>
    <row r="118" ht="12.75" customHeight="1">
      <c r="A118" s="1" t="s">
        <v>72</v>
      </c>
      <c r="B118" s="1" t="s">
        <v>1310</v>
      </c>
      <c r="C118" s="1" t="s">
        <v>74</v>
      </c>
      <c r="D118" s="1" t="s">
        <v>74</v>
      </c>
      <c r="E118" s="1" t="s">
        <v>74</v>
      </c>
      <c r="F118" s="1" t="s">
        <v>1311</v>
      </c>
      <c r="G118" s="1" t="s">
        <v>74</v>
      </c>
      <c r="H118" s="1" t="s">
        <v>74</v>
      </c>
      <c r="I118" s="1" t="s">
        <v>1312</v>
      </c>
      <c r="J118" s="1" t="s">
        <v>206</v>
      </c>
      <c r="K118" s="1" t="s">
        <v>74</v>
      </c>
      <c r="L118" s="1" t="s">
        <v>74</v>
      </c>
      <c r="M118" s="1" t="s">
        <v>74</v>
      </c>
      <c r="N118" s="1" t="s">
        <v>74</v>
      </c>
      <c r="O118" s="1" t="s">
        <v>74</v>
      </c>
      <c r="P118" s="1" t="s">
        <v>74</v>
      </c>
      <c r="Q118" s="1" t="s">
        <v>74</v>
      </c>
      <c r="R118" s="1" t="s">
        <v>74</v>
      </c>
      <c r="S118" s="1" t="s">
        <v>74</v>
      </c>
      <c r="T118" s="1" t="s">
        <v>74</v>
      </c>
      <c r="U118" s="1" t="s">
        <v>74</v>
      </c>
      <c r="V118" s="1" t="s">
        <v>1313</v>
      </c>
      <c r="W118" s="1" t="s">
        <v>74</v>
      </c>
      <c r="X118" s="1" t="s">
        <v>74</v>
      </c>
      <c r="Y118" s="1" t="s">
        <v>74</v>
      </c>
      <c r="Z118" s="1" t="s">
        <v>74</v>
      </c>
      <c r="AA118" s="1" t="s">
        <v>1314</v>
      </c>
      <c r="AB118" s="1" t="s">
        <v>1315</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210</v>
      </c>
      <c r="AP118" s="1" t="s">
        <v>211</v>
      </c>
      <c r="AQ118" s="1" t="s">
        <v>74</v>
      </c>
      <c r="AR118" s="1" t="s">
        <v>74</v>
      </c>
      <c r="AS118" s="1" t="s">
        <v>74</v>
      </c>
      <c r="AT118" s="1" t="s">
        <v>1316</v>
      </c>
      <c r="AU118" s="1">
        <v>2022.0</v>
      </c>
      <c r="AV118" s="1">
        <v>541.0</v>
      </c>
      <c r="AW118" s="1" t="s">
        <v>74</v>
      </c>
      <c r="AX118" s="1" t="s">
        <v>74</v>
      </c>
      <c r="AY118" s="1" t="s">
        <v>74</v>
      </c>
      <c r="AZ118" s="1" t="s">
        <v>74</v>
      </c>
      <c r="BA118" s="1" t="s">
        <v>74</v>
      </c>
      <c r="BB118" s="1" t="s">
        <v>74</v>
      </c>
      <c r="BC118" s="1" t="s">
        <v>74</v>
      </c>
      <c r="BD118" s="1">
        <v>168493.0</v>
      </c>
      <c r="BE118" s="1" t="s">
        <v>1317</v>
      </c>
      <c r="BF118" s="2" t="str">
        <f>HYPERLINK("http://dx.doi.org/10.1016/j.jmmm.2021.168493","http://dx.doi.org/10.1016/j.jmmm.2021.168493")</f>
        <v>http://dx.doi.org/10.1016/j.jmmm.2021.168493</v>
      </c>
      <c r="BG118" s="1" t="s">
        <v>74</v>
      </c>
      <c r="BH118" s="1" t="s">
        <v>543</v>
      </c>
      <c r="BI118" s="1" t="s">
        <v>74</v>
      </c>
      <c r="BJ118" s="1" t="s">
        <v>74</v>
      </c>
      <c r="BK118" s="1" t="s">
        <v>74</v>
      </c>
      <c r="BL118" s="1" t="s">
        <v>74</v>
      </c>
      <c r="BM118" s="1" t="s">
        <v>74</v>
      </c>
      <c r="BN118" s="1" t="s">
        <v>74</v>
      </c>
      <c r="BO118" s="1" t="s">
        <v>74</v>
      </c>
      <c r="BP118" s="1" t="s">
        <v>74</v>
      </c>
      <c r="BQ118" s="1" t="s">
        <v>74</v>
      </c>
      <c r="BR118" s="1" t="s">
        <v>74</v>
      </c>
      <c r="BS118" s="1" t="s">
        <v>1318</v>
      </c>
      <c r="BT118" s="1" t="str">
        <f>HYPERLINK("https%3A%2F%2Fwww.webofscience.com%2Fwos%2Fwoscc%2Ffull-record%2FWOS:000705052500011","View Full Record in Web of Science")</f>
        <v>View Full Record in Web of Science</v>
      </c>
    </row>
    <row r="119" ht="12.75" customHeight="1">
      <c r="A119" s="1" t="s">
        <v>72</v>
      </c>
      <c r="B119" s="1" t="s">
        <v>1319</v>
      </c>
      <c r="C119" s="1" t="s">
        <v>74</v>
      </c>
      <c r="D119" s="1" t="s">
        <v>74</v>
      </c>
      <c r="E119" s="1" t="s">
        <v>74</v>
      </c>
      <c r="F119" s="1" t="s">
        <v>1320</v>
      </c>
      <c r="G119" s="1" t="s">
        <v>74</v>
      </c>
      <c r="H119" s="1" t="s">
        <v>74</v>
      </c>
      <c r="I119" s="1" t="s">
        <v>1321</v>
      </c>
      <c r="J119" s="1" t="s">
        <v>908</v>
      </c>
      <c r="K119" s="1" t="s">
        <v>74</v>
      </c>
      <c r="L119" s="1" t="s">
        <v>74</v>
      </c>
      <c r="M119" s="1" t="s">
        <v>74</v>
      </c>
      <c r="N119" s="1" t="s">
        <v>74</v>
      </c>
      <c r="O119" s="1" t="s">
        <v>74</v>
      </c>
      <c r="P119" s="1" t="s">
        <v>74</v>
      </c>
      <c r="Q119" s="1" t="s">
        <v>74</v>
      </c>
      <c r="R119" s="1" t="s">
        <v>74</v>
      </c>
      <c r="S119" s="1" t="s">
        <v>74</v>
      </c>
      <c r="T119" s="1" t="s">
        <v>74</v>
      </c>
      <c r="U119" s="1" t="s">
        <v>74</v>
      </c>
      <c r="V119" s="1" t="s">
        <v>1322</v>
      </c>
      <c r="W119" s="1" t="s">
        <v>74</v>
      </c>
      <c r="X119" s="1" t="s">
        <v>74</v>
      </c>
      <c r="Y119" s="1" t="s">
        <v>74</v>
      </c>
      <c r="Z119" s="1" t="s">
        <v>74</v>
      </c>
      <c r="AA119" s="1" t="s">
        <v>1323</v>
      </c>
      <c r="AB119" s="1" t="s">
        <v>1324</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74</v>
      </c>
      <c r="AP119" s="1" t="s">
        <v>912</v>
      </c>
      <c r="AQ119" s="1" t="s">
        <v>74</v>
      </c>
      <c r="AR119" s="1" t="s">
        <v>74</v>
      </c>
      <c r="AS119" s="1" t="s">
        <v>74</v>
      </c>
      <c r="AT119" s="1" t="s">
        <v>107</v>
      </c>
      <c r="AU119" s="1">
        <v>2021.0</v>
      </c>
      <c r="AV119" s="1">
        <v>13.0</v>
      </c>
      <c r="AW119" s="1">
        <v>9.0</v>
      </c>
      <c r="AX119" s="1" t="s">
        <v>74</v>
      </c>
      <c r="AY119" s="1" t="s">
        <v>74</v>
      </c>
      <c r="AZ119" s="1" t="s">
        <v>74</v>
      </c>
      <c r="BA119" s="1" t="s">
        <v>74</v>
      </c>
      <c r="BB119" s="1" t="s">
        <v>74</v>
      </c>
      <c r="BC119" s="1" t="s">
        <v>74</v>
      </c>
      <c r="BD119" s="1">
        <v>1482.0</v>
      </c>
      <c r="BE119" s="1" t="s">
        <v>1325</v>
      </c>
      <c r="BF119" s="2" t="str">
        <f>HYPERLINK("http://dx.doi.org/10.3390/polym13091482","http://dx.doi.org/10.3390/polym13091482")</f>
        <v>http://dx.doi.org/10.3390/polym13091482</v>
      </c>
      <c r="BG119" s="1" t="s">
        <v>74</v>
      </c>
      <c r="BH119" s="1" t="s">
        <v>74</v>
      </c>
      <c r="BI119" s="1" t="s">
        <v>74</v>
      </c>
      <c r="BJ119" s="1" t="s">
        <v>74</v>
      </c>
      <c r="BK119" s="1" t="s">
        <v>74</v>
      </c>
      <c r="BL119" s="1" t="s">
        <v>74</v>
      </c>
      <c r="BM119" s="1" t="s">
        <v>74</v>
      </c>
      <c r="BN119" s="1">
        <v>3.4064442E7</v>
      </c>
      <c r="BO119" s="1" t="s">
        <v>74</v>
      </c>
      <c r="BP119" s="1" t="s">
        <v>74</v>
      </c>
      <c r="BQ119" s="1" t="s">
        <v>74</v>
      </c>
      <c r="BR119" s="1" t="s">
        <v>74</v>
      </c>
      <c r="BS119" s="1" t="s">
        <v>1326</v>
      </c>
      <c r="BT119" s="1" t="str">
        <f>HYPERLINK("https%3A%2F%2Fwww.webofscience.com%2Fwos%2Fwoscc%2Ffull-record%2FWOS:000650705300001","View Full Record in Web of Science")</f>
        <v>View Full Record in Web of Science</v>
      </c>
    </row>
    <row r="120" ht="12.75" customHeight="1">
      <c r="A120" s="1" t="s">
        <v>72</v>
      </c>
      <c r="B120" s="1" t="s">
        <v>1327</v>
      </c>
      <c r="C120" s="1" t="s">
        <v>74</v>
      </c>
      <c r="D120" s="1" t="s">
        <v>74</v>
      </c>
      <c r="E120" s="1" t="s">
        <v>74</v>
      </c>
      <c r="F120" s="1" t="s">
        <v>1328</v>
      </c>
      <c r="G120" s="1" t="s">
        <v>74</v>
      </c>
      <c r="H120" s="1" t="s">
        <v>74</v>
      </c>
      <c r="I120" s="1" t="s">
        <v>1329</v>
      </c>
      <c r="J120" s="1" t="s">
        <v>1330</v>
      </c>
      <c r="K120" s="1" t="s">
        <v>74</v>
      </c>
      <c r="L120" s="1" t="s">
        <v>74</v>
      </c>
      <c r="M120" s="1" t="s">
        <v>74</v>
      </c>
      <c r="N120" s="1" t="s">
        <v>74</v>
      </c>
      <c r="O120" s="1" t="s">
        <v>74</v>
      </c>
      <c r="P120" s="1" t="s">
        <v>74</v>
      </c>
      <c r="Q120" s="1" t="s">
        <v>74</v>
      </c>
      <c r="R120" s="1" t="s">
        <v>74</v>
      </c>
      <c r="S120" s="1" t="s">
        <v>74</v>
      </c>
      <c r="T120" s="1" t="s">
        <v>74</v>
      </c>
      <c r="U120" s="1" t="s">
        <v>74</v>
      </c>
      <c r="V120" s="1" t="s">
        <v>1331</v>
      </c>
      <c r="W120" s="1" t="s">
        <v>74</v>
      </c>
      <c r="X120" s="1" t="s">
        <v>74</v>
      </c>
      <c r="Y120" s="1" t="s">
        <v>74</v>
      </c>
      <c r="Z120" s="1" t="s">
        <v>74</v>
      </c>
      <c r="AA120" s="1" t="s">
        <v>1332</v>
      </c>
      <c r="AB120" s="1" t="s">
        <v>1333</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1334</v>
      </c>
      <c r="AP120" s="1" t="s">
        <v>1335</v>
      </c>
      <c r="AQ120" s="1" t="s">
        <v>74</v>
      </c>
      <c r="AR120" s="1" t="s">
        <v>74</v>
      </c>
      <c r="AS120" s="1" t="s">
        <v>74</v>
      </c>
      <c r="AT120" s="1" t="s">
        <v>95</v>
      </c>
      <c r="AU120" s="1">
        <v>2020.0</v>
      </c>
      <c r="AV120" s="1">
        <v>53.0</v>
      </c>
      <c r="AW120" s="1">
        <v>4.0</v>
      </c>
      <c r="AX120" s="1" t="s">
        <v>74</v>
      </c>
      <c r="AY120" s="1" t="s">
        <v>74</v>
      </c>
      <c r="AZ120" s="1" t="s">
        <v>74</v>
      </c>
      <c r="BA120" s="1" t="s">
        <v>74</v>
      </c>
      <c r="BB120" s="1">
        <v>515.0</v>
      </c>
      <c r="BC120" s="1">
        <v>535.0</v>
      </c>
      <c r="BD120" s="1">
        <v>4.865820954466E12</v>
      </c>
      <c r="BE120" s="1" t="s">
        <v>1336</v>
      </c>
      <c r="BF120" s="2" t="str">
        <f>HYPERLINK("http://dx.doi.org/10.1177/0004865820954466","http://dx.doi.org/10.1177/0004865820954466")</f>
        <v>http://dx.doi.org/10.1177/0004865820954466</v>
      </c>
      <c r="BG120" s="1" t="s">
        <v>74</v>
      </c>
      <c r="BH120" s="1" t="s">
        <v>1337</v>
      </c>
      <c r="BI120" s="1" t="s">
        <v>74</v>
      </c>
      <c r="BJ120" s="1" t="s">
        <v>74</v>
      </c>
      <c r="BK120" s="1" t="s">
        <v>74</v>
      </c>
      <c r="BL120" s="1" t="s">
        <v>74</v>
      </c>
      <c r="BM120" s="1" t="s">
        <v>74</v>
      </c>
      <c r="BN120" s="1" t="s">
        <v>74</v>
      </c>
      <c r="BO120" s="1" t="s">
        <v>74</v>
      </c>
      <c r="BP120" s="1" t="s">
        <v>74</v>
      </c>
      <c r="BQ120" s="1" t="s">
        <v>74</v>
      </c>
      <c r="BR120" s="1" t="s">
        <v>74</v>
      </c>
      <c r="BS120" s="1" t="s">
        <v>1338</v>
      </c>
      <c r="BT120" s="1" t="str">
        <f>HYPERLINK("https%3A%2F%2Fwww.webofscience.com%2Fwos%2Fwoscc%2Ffull-record%2FWOS:000566909500001","View Full Record in Web of Science")</f>
        <v>View Full Record in Web of Science</v>
      </c>
    </row>
    <row r="121" ht="12.75" customHeight="1">
      <c r="A121" s="1" t="s">
        <v>72</v>
      </c>
      <c r="B121" s="1" t="s">
        <v>1339</v>
      </c>
      <c r="C121" s="1" t="s">
        <v>74</v>
      </c>
      <c r="D121" s="1" t="s">
        <v>74</v>
      </c>
      <c r="E121" s="1" t="s">
        <v>74</v>
      </c>
      <c r="F121" s="1" t="s">
        <v>1340</v>
      </c>
      <c r="G121" s="1" t="s">
        <v>74</v>
      </c>
      <c r="H121" s="1" t="s">
        <v>74</v>
      </c>
      <c r="I121" s="1" t="s">
        <v>1341</v>
      </c>
      <c r="J121" s="1" t="s">
        <v>1342</v>
      </c>
      <c r="K121" s="1" t="s">
        <v>74</v>
      </c>
      <c r="L121" s="1" t="s">
        <v>74</v>
      </c>
      <c r="M121" s="1" t="s">
        <v>74</v>
      </c>
      <c r="N121" s="1" t="s">
        <v>74</v>
      </c>
      <c r="O121" s="1" t="s">
        <v>74</v>
      </c>
      <c r="P121" s="1" t="s">
        <v>74</v>
      </c>
      <c r="Q121" s="1" t="s">
        <v>74</v>
      </c>
      <c r="R121" s="1" t="s">
        <v>74</v>
      </c>
      <c r="S121" s="1" t="s">
        <v>74</v>
      </c>
      <c r="T121" s="1" t="s">
        <v>74</v>
      </c>
      <c r="U121" s="1" t="s">
        <v>74</v>
      </c>
      <c r="V121" s="1" t="s">
        <v>1343</v>
      </c>
      <c r="W121" s="1" t="s">
        <v>74</v>
      </c>
      <c r="X121" s="1" t="s">
        <v>74</v>
      </c>
      <c r="Y121" s="1" t="s">
        <v>74</v>
      </c>
      <c r="Z121" s="1" t="s">
        <v>74</v>
      </c>
      <c r="AA121" s="1" t="s">
        <v>1344</v>
      </c>
      <c r="AB121" s="1" t="s">
        <v>1345</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1346</v>
      </c>
      <c r="AP121" s="1" t="s">
        <v>1347</v>
      </c>
      <c r="AQ121" s="1" t="s">
        <v>74</v>
      </c>
      <c r="AR121" s="1" t="s">
        <v>74</v>
      </c>
      <c r="AS121" s="1" t="s">
        <v>74</v>
      </c>
      <c r="AT121" s="1" t="s">
        <v>1348</v>
      </c>
      <c r="AU121" s="1">
        <v>2020.0</v>
      </c>
      <c r="AV121" s="1">
        <v>274.0</v>
      </c>
      <c r="AW121" s="1" t="s">
        <v>74</v>
      </c>
      <c r="AX121" s="1" t="s">
        <v>74</v>
      </c>
      <c r="AY121" s="1" t="s">
        <v>74</v>
      </c>
      <c r="AZ121" s="1" t="s">
        <v>74</v>
      </c>
      <c r="BA121" s="1" t="s">
        <v>74</v>
      </c>
      <c r="BB121" s="1" t="s">
        <v>74</v>
      </c>
      <c r="BC121" s="1" t="s">
        <v>74</v>
      </c>
      <c r="BD121" s="1">
        <v>127983.0</v>
      </c>
      <c r="BE121" s="1" t="s">
        <v>1349</v>
      </c>
      <c r="BF121" s="2" t="str">
        <f>HYPERLINK("http://dx.doi.org/10.1016/j.matlet.2020.127983","http://dx.doi.org/10.1016/j.matlet.2020.127983")</f>
        <v>http://dx.doi.org/10.1016/j.matlet.2020.127983</v>
      </c>
      <c r="BG121" s="1" t="s">
        <v>74</v>
      </c>
      <c r="BH121" s="1" t="s">
        <v>74</v>
      </c>
      <c r="BI121" s="1" t="s">
        <v>74</v>
      </c>
      <c r="BJ121" s="1" t="s">
        <v>74</v>
      </c>
      <c r="BK121" s="1" t="s">
        <v>74</v>
      </c>
      <c r="BL121" s="1" t="s">
        <v>74</v>
      </c>
      <c r="BM121" s="1" t="s">
        <v>74</v>
      </c>
      <c r="BN121" s="1" t="s">
        <v>74</v>
      </c>
      <c r="BO121" s="1" t="s">
        <v>74</v>
      </c>
      <c r="BP121" s="1" t="s">
        <v>74</v>
      </c>
      <c r="BQ121" s="1" t="s">
        <v>74</v>
      </c>
      <c r="BR121" s="1" t="s">
        <v>74</v>
      </c>
      <c r="BS121" s="1" t="s">
        <v>1350</v>
      </c>
      <c r="BT121" s="1" t="str">
        <f>HYPERLINK("https%3A%2F%2Fwww.webofscience.com%2Fwos%2Fwoscc%2Ffull-record%2FWOS:000539960000017","View Full Record in Web of Science")</f>
        <v>View Full Record in Web of Science</v>
      </c>
    </row>
    <row r="122" ht="12.75" customHeight="1">
      <c r="A122" s="1" t="s">
        <v>72</v>
      </c>
      <c r="B122" s="1" t="s">
        <v>1351</v>
      </c>
      <c r="C122" s="1" t="s">
        <v>74</v>
      </c>
      <c r="D122" s="1" t="s">
        <v>74</v>
      </c>
      <c r="E122" s="1" t="s">
        <v>74</v>
      </c>
      <c r="F122" s="1" t="s">
        <v>1352</v>
      </c>
      <c r="G122" s="1" t="s">
        <v>74</v>
      </c>
      <c r="H122" s="1" t="s">
        <v>74</v>
      </c>
      <c r="I122" s="1" t="s">
        <v>1353</v>
      </c>
      <c r="J122" s="1" t="s">
        <v>1354</v>
      </c>
      <c r="K122" s="1" t="s">
        <v>74</v>
      </c>
      <c r="L122" s="1" t="s">
        <v>74</v>
      </c>
      <c r="M122" s="1" t="s">
        <v>74</v>
      </c>
      <c r="N122" s="1" t="s">
        <v>74</v>
      </c>
      <c r="O122" s="1" t="s">
        <v>74</v>
      </c>
      <c r="P122" s="1" t="s">
        <v>74</v>
      </c>
      <c r="Q122" s="1" t="s">
        <v>74</v>
      </c>
      <c r="R122" s="1" t="s">
        <v>74</v>
      </c>
      <c r="S122" s="1" t="s">
        <v>74</v>
      </c>
      <c r="T122" s="1" t="s">
        <v>74</v>
      </c>
      <c r="U122" s="1" t="s">
        <v>74</v>
      </c>
      <c r="V122" s="1" t="s">
        <v>1355</v>
      </c>
      <c r="W122" s="1" t="s">
        <v>74</v>
      </c>
      <c r="X122" s="1" t="s">
        <v>74</v>
      </c>
      <c r="Y122" s="1" t="s">
        <v>74</v>
      </c>
      <c r="Z122" s="1" t="s">
        <v>74</v>
      </c>
      <c r="AA122" s="1" t="s">
        <v>74</v>
      </c>
      <c r="AB122" s="1" t="s">
        <v>1356</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1357</v>
      </c>
      <c r="AP122" s="1" t="s">
        <v>1358</v>
      </c>
      <c r="AQ122" s="1" t="s">
        <v>74</v>
      </c>
      <c r="AR122" s="1" t="s">
        <v>74</v>
      </c>
      <c r="AS122" s="1" t="s">
        <v>74</v>
      </c>
      <c r="AT122" s="1" t="s">
        <v>647</v>
      </c>
      <c r="AU122" s="1">
        <v>2020.0</v>
      </c>
      <c r="AV122" s="1">
        <v>90.0</v>
      </c>
      <c r="AW122" s="1" t="s">
        <v>74</v>
      </c>
      <c r="AX122" s="1" t="s">
        <v>74</v>
      </c>
      <c r="AY122" s="1" t="s">
        <v>74</v>
      </c>
      <c r="AZ122" s="1" t="s">
        <v>74</v>
      </c>
      <c r="BA122" s="1" t="s">
        <v>74</v>
      </c>
      <c r="BB122" s="1">
        <v>445.0</v>
      </c>
      <c r="BC122" s="1">
        <v>464.0</v>
      </c>
      <c r="BD122" s="1" t="s">
        <v>74</v>
      </c>
      <c r="BE122" s="1" t="s">
        <v>1359</v>
      </c>
      <c r="BF122" s="2" t="str">
        <f>HYPERLINK("http://dx.doi.org/10.1016/j.econmod.2019.11.029","http://dx.doi.org/10.1016/j.econmod.2019.11.029")</f>
        <v>http://dx.doi.org/10.1016/j.econmod.2019.11.029</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1360</v>
      </c>
      <c r="BT122" s="1" t="str">
        <f>HYPERLINK("https%3A%2F%2Fwww.webofscience.com%2Fwos%2Fwoscc%2Ffull-record%2FWOS:000540674000033","View Full Record in Web of Science")</f>
        <v>View Full Record in Web of Science</v>
      </c>
    </row>
    <row r="123" ht="12.75" customHeight="1">
      <c r="A123" s="1" t="s">
        <v>72</v>
      </c>
      <c r="B123" s="1" t="s">
        <v>1361</v>
      </c>
      <c r="C123" s="1" t="s">
        <v>74</v>
      </c>
      <c r="D123" s="1" t="s">
        <v>74</v>
      </c>
      <c r="E123" s="1" t="s">
        <v>74</v>
      </c>
      <c r="F123" s="1" t="s">
        <v>1362</v>
      </c>
      <c r="G123" s="1" t="s">
        <v>74</v>
      </c>
      <c r="H123" s="1" t="s">
        <v>74</v>
      </c>
      <c r="I123" s="1" t="s">
        <v>1363</v>
      </c>
      <c r="J123" s="1" t="s">
        <v>1364</v>
      </c>
      <c r="K123" s="1" t="s">
        <v>74</v>
      </c>
      <c r="L123" s="1" t="s">
        <v>74</v>
      </c>
      <c r="M123" s="1" t="s">
        <v>74</v>
      </c>
      <c r="N123" s="1" t="s">
        <v>74</v>
      </c>
      <c r="O123" s="1" t="s">
        <v>74</v>
      </c>
      <c r="P123" s="1" t="s">
        <v>74</v>
      </c>
      <c r="Q123" s="1" t="s">
        <v>74</v>
      </c>
      <c r="R123" s="1" t="s">
        <v>74</v>
      </c>
      <c r="S123" s="1" t="s">
        <v>74</v>
      </c>
      <c r="T123" s="1" t="s">
        <v>74</v>
      </c>
      <c r="U123" s="1" t="s">
        <v>74</v>
      </c>
      <c r="V123" s="1" t="s">
        <v>1365</v>
      </c>
      <c r="W123" s="1" t="s">
        <v>74</v>
      </c>
      <c r="X123" s="1" t="s">
        <v>74</v>
      </c>
      <c r="Y123" s="1" t="s">
        <v>74</v>
      </c>
      <c r="Z123" s="1" t="s">
        <v>74</v>
      </c>
      <c r="AA123" s="1" t="s">
        <v>1366</v>
      </c>
      <c r="AB123" s="1" t="s">
        <v>1367</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1368</v>
      </c>
      <c r="AP123" s="1" t="s">
        <v>1369</v>
      </c>
      <c r="AQ123" s="1" t="s">
        <v>74</v>
      </c>
      <c r="AR123" s="1" t="s">
        <v>74</v>
      </c>
      <c r="AS123" s="1" t="s">
        <v>74</v>
      </c>
      <c r="AT123" s="1" t="s">
        <v>1370</v>
      </c>
      <c r="AU123" s="1">
        <v>2020.0</v>
      </c>
      <c r="AV123" s="1">
        <v>26.0</v>
      </c>
      <c r="AW123" s="1" t="s">
        <v>74</v>
      </c>
      <c r="AX123" s="1" t="s">
        <v>74</v>
      </c>
      <c r="AY123" s="1" t="s">
        <v>74</v>
      </c>
      <c r="AZ123" s="1" t="s">
        <v>74</v>
      </c>
      <c r="BA123" s="1" t="s">
        <v>74</v>
      </c>
      <c r="BB123" s="1" t="s">
        <v>74</v>
      </c>
      <c r="BC123" s="1" t="s">
        <v>74</v>
      </c>
      <c r="BD123" s="1">
        <v>42.0</v>
      </c>
      <c r="BE123" s="1" t="s">
        <v>1371</v>
      </c>
      <c r="BF123" s="2" t="str">
        <f>HYPERLINK("http://dx.doi.org/10.1051/cocv/2019028","http://dx.doi.org/10.1051/cocv/2019028")</f>
        <v>http://dx.doi.org/10.1051/cocv/2019028</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1372</v>
      </c>
      <c r="BT123" s="1" t="str">
        <f>HYPERLINK("https%3A%2F%2Fwww.webofscience.com%2Fwos%2Fwoscc%2Ffull-record%2FWOS:000553129900001","View Full Record in Web of Science")</f>
        <v>View Full Record in Web of Science</v>
      </c>
    </row>
    <row r="124" ht="12.75" customHeight="1">
      <c r="A124" s="1" t="s">
        <v>72</v>
      </c>
      <c r="B124" s="1" t="s">
        <v>1373</v>
      </c>
      <c r="C124" s="1" t="s">
        <v>74</v>
      </c>
      <c r="D124" s="1" t="s">
        <v>74</v>
      </c>
      <c r="E124" s="1" t="s">
        <v>74</v>
      </c>
      <c r="F124" s="1" t="s">
        <v>1374</v>
      </c>
      <c r="G124" s="1" t="s">
        <v>74</v>
      </c>
      <c r="H124" s="1" t="s">
        <v>74</v>
      </c>
      <c r="I124" s="1" t="s">
        <v>1375</v>
      </c>
      <c r="J124" s="1" t="s">
        <v>1376</v>
      </c>
      <c r="K124" s="1" t="s">
        <v>74</v>
      </c>
      <c r="L124" s="1" t="s">
        <v>74</v>
      </c>
      <c r="M124" s="1" t="s">
        <v>74</v>
      </c>
      <c r="N124" s="1" t="s">
        <v>74</v>
      </c>
      <c r="O124" s="1" t="s">
        <v>74</v>
      </c>
      <c r="P124" s="1" t="s">
        <v>74</v>
      </c>
      <c r="Q124" s="1" t="s">
        <v>74</v>
      </c>
      <c r="R124" s="1" t="s">
        <v>74</v>
      </c>
      <c r="S124" s="1" t="s">
        <v>74</v>
      </c>
      <c r="T124" s="1" t="s">
        <v>74</v>
      </c>
      <c r="U124" s="1" t="s">
        <v>74</v>
      </c>
      <c r="V124" s="1" t="s">
        <v>1377</v>
      </c>
      <c r="W124" s="1" t="s">
        <v>74</v>
      </c>
      <c r="X124" s="1" t="s">
        <v>74</v>
      </c>
      <c r="Y124" s="1" t="s">
        <v>74</v>
      </c>
      <c r="Z124" s="1" t="s">
        <v>74</v>
      </c>
      <c r="AA124" s="1" t="s">
        <v>1378</v>
      </c>
      <c r="AB124" s="1" t="s">
        <v>1379</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1380</v>
      </c>
      <c r="AP124" s="1" t="s">
        <v>1381</v>
      </c>
      <c r="AQ124" s="1" t="s">
        <v>74</v>
      </c>
      <c r="AR124" s="1" t="s">
        <v>74</v>
      </c>
      <c r="AS124" s="1" t="s">
        <v>74</v>
      </c>
      <c r="AT124" s="1" t="s">
        <v>1382</v>
      </c>
      <c r="AU124" s="1">
        <v>2019.0</v>
      </c>
      <c r="AV124" s="1">
        <v>123.0</v>
      </c>
      <c r="AW124" s="1">
        <v>49.0</v>
      </c>
      <c r="AX124" s="1" t="s">
        <v>74</v>
      </c>
      <c r="AY124" s="1" t="s">
        <v>74</v>
      </c>
      <c r="AZ124" s="1" t="s">
        <v>297</v>
      </c>
      <c r="BA124" s="1" t="s">
        <v>74</v>
      </c>
      <c r="BB124" s="1">
        <v>10556.0</v>
      </c>
      <c r="BC124" s="1">
        <v>10562.0</v>
      </c>
      <c r="BD124" s="1" t="s">
        <v>74</v>
      </c>
      <c r="BE124" s="1" t="s">
        <v>1383</v>
      </c>
      <c r="BF124" s="2" t="str">
        <f>HYPERLINK("http://dx.doi.org/10.1021/acs.jpca.9b07516","http://dx.doi.org/10.1021/acs.jpca.9b07516")</f>
        <v>http://dx.doi.org/10.1021/acs.jpca.9b07516</v>
      </c>
      <c r="BG124" s="1" t="s">
        <v>74</v>
      </c>
      <c r="BH124" s="1" t="s">
        <v>74</v>
      </c>
      <c r="BI124" s="1" t="s">
        <v>74</v>
      </c>
      <c r="BJ124" s="1" t="s">
        <v>74</v>
      </c>
      <c r="BK124" s="1" t="s">
        <v>74</v>
      </c>
      <c r="BL124" s="1" t="s">
        <v>74</v>
      </c>
      <c r="BM124" s="1" t="s">
        <v>74</v>
      </c>
      <c r="BN124" s="1">
        <v>3.1710492E7</v>
      </c>
      <c r="BO124" s="1" t="s">
        <v>74</v>
      </c>
      <c r="BP124" s="1" t="s">
        <v>74</v>
      </c>
      <c r="BQ124" s="1" t="s">
        <v>74</v>
      </c>
      <c r="BR124" s="1" t="s">
        <v>74</v>
      </c>
      <c r="BS124" s="1" t="s">
        <v>1384</v>
      </c>
      <c r="BT124" s="1" t="str">
        <f>HYPERLINK("https%3A%2F%2Fwww.webofscience.com%2Fwos%2Fwoscc%2Ffull-record%2FWOS:000503114800011","View Full Record in Web of Science")</f>
        <v>View Full Record in Web of Science</v>
      </c>
    </row>
    <row r="125" ht="12.75" customHeight="1">
      <c r="A125" s="1" t="s">
        <v>72</v>
      </c>
      <c r="B125" s="1" t="s">
        <v>1385</v>
      </c>
      <c r="C125" s="1" t="s">
        <v>74</v>
      </c>
      <c r="D125" s="1" t="s">
        <v>74</v>
      </c>
      <c r="E125" s="1" t="s">
        <v>74</v>
      </c>
      <c r="F125" s="1" t="s">
        <v>1386</v>
      </c>
      <c r="G125" s="1" t="s">
        <v>74</v>
      </c>
      <c r="H125" s="1" t="s">
        <v>74</v>
      </c>
      <c r="I125" s="1" t="s">
        <v>1387</v>
      </c>
      <c r="J125" s="1" t="s">
        <v>1388</v>
      </c>
      <c r="K125" s="1" t="s">
        <v>74</v>
      </c>
      <c r="L125" s="1" t="s">
        <v>74</v>
      </c>
      <c r="M125" s="1" t="s">
        <v>74</v>
      </c>
      <c r="N125" s="1" t="s">
        <v>74</v>
      </c>
      <c r="O125" s="1" t="s">
        <v>1389</v>
      </c>
      <c r="P125" s="1" t="s">
        <v>1390</v>
      </c>
      <c r="Q125" s="1" t="s">
        <v>1391</v>
      </c>
      <c r="R125" s="1" t="s">
        <v>74</v>
      </c>
      <c r="S125" s="1" t="s">
        <v>74</v>
      </c>
      <c r="T125" s="1" t="s">
        <v>74</v>
      </c>
      <c r="U125" s="1" t="s">
        <v>74</v>
      </c>
      <c r="V125" s="1" t="s">
        <v>1392</v>
      </c>
      <c r="W125" s="1" t="s">
        <v>74</v>
      </c>
      <c r="X125" s="1" t="s">
        <v>74</v>
      </c>
      <c r="Y125" s="1" t="s">
        <v>74</v>
      </c>
      <c r="Z125" s="1" t="s">
        <v>74</v>
      </c>
      <c r="AA125" s="1" t="s">
        <v>1393</v>
      </c>
      <c r="AB125" s="1" t="s">
        <v>1394</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1395</v>
      </c>
      <c r="AP125" s="1" t="s">
        <v>1396</v>
      </c>
      <c r="AQ125" s="1" t="s">
        <v>74</v>
      </c>
      <c r="AR125" s="1" t="s">
        <v>74</v>
      </c>
      <c r="AS125" s="1" t="s">
        <v>74</v>
      </c>
      <c r="AT125" s="1" t="s">
        <v>1397</v>
      </c>
      <c r="AU125" s="1">
        <v>2019.0</v>
      </c>
      <c r="AV125" s="1">
        <v>40.0</v>
      </c>
      <c r="AW125" s="1" t="s">
        <v>1398</v>
      </c>
      <c r="AX125" s="1" t="s">
        <v>74</v>
      </c>
      <c r="AY125" s="1" t="s">
        <v>74</v>
      </c>
      <c r="AZ125" s="1" t="s">
        <v>74</v>
      </c>
      <c r="BA125" s="1" t="s">
        <v>74</v>
      </c>
      <c r="BB125" s="1">
        <v>1196.0</v>
      </c>
      <c r="BC125" s="1">
        <v>1210.0</v>
      </c>
      <c r="BD125" s="1" t="s">
        <v>74</v>
      </c>
      <c r="BE125" s="1" t="s">
        <v>1399</v>
      </c>
      <c r="BF125" s="2" t="str">
        <f>HYPERLINK("http://dx.doi.org/10.1080/01457632.2018.1457278","http://dx.doi.org/10.1080/01457632.2018.1457278")</f>
        <v>http://dx.doi.org/10.1080/01457632.2018.1457278</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1400</v>
      </c>
      <c r="BT125" s="1" t="str">
        <f>HYPERLINK("https%3A%2F%2Fwww.webofscience.com%2Fwos%2Fwoscc%2Ffull-record%2FWOS:000472768800012","View Full Record in Web of Science")</f>
        <v>View Full Record in Web of Science</v>
      </c>
    </row>
    <row r="126" ht="12.75" customHeight="1">
      <c r="A126" s="1" t="s">
        <v>380</v>
      </c>
      <c r="B126" s="1" t="s">
        <v>1401</v>
      </c>
      <c r="C126" s="1" t="s">
        <v>74</v>
      </c>
      <c r="D126" s="1" t="s">
        <v>1402</v>
      </c>
      <c r="E126" s="1" t="s">
        <v>74</v>
      </c>
      <c r="F126" s="1" t="s">
        <v>1403</v>
      </c>
      <c r="G126" s="1" t="s">
        <v>74</v>
      </c>
      <c r="H126" s="1" t="s">
        <v>74</v>
      </c>
      <c r="I126" s="1" t="s">
        <v>1404</v>
      </c>
      <c r="J126" s="1" t="s">
        <v>1405</v>
      </c>
      <c r="K126" s="1" t="s">
        <v>74</v>
      </c>
      <c r="L126" s="1" t="s">
        <v>74</v>
      </c>
      <c r="M126" s="1" t="s">
        <v>74</v>
      </c>
      <c r="N126" s="1" t="s">
        <v>74</v>
      </c>
      <c r="O126" s="1" t="s">
        <v>74</v>
      </c>
      <c r="P126" s="1" t="s">
        <v>74</v>
      </c>
      <c r="Q126" s="1" t="s">
        <v>74</v>
      </c>
      <c r="R126" s="1" t="s">
        <v>74</v>
      </c>
      <c r="S126" s="1" t="s">
        <v>74</v>
      </c>
      <c r="T126" s="1" t="s">
        <v>74</v>
      </c>
      <c r="U126" s="1" t="s">
        <v>74</v>
      </c>
      <c r="V126" s="1" t="s">
        <v>74</v>
      </c>
      <c r="W126" s="1" t="s">
        <v>74</v>
      </c>
      <c r="X126" s="1" t="s">
        <v>74</v>
      </c>
      <c r="Y126" s="1" t="s">
        <v>74</v>
      </c>
      <c r="Z126" s="1" t="s">
        <v>74</v>
      </c>
      <c r="AA126" s="1" t="s">
        <v>74</v>
      </c>
      <c r="AB126" s="1" t="s">
        <v>74</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74</v>
      </c>
      <c r="AP126" s="1" t="s">
        <v>74</v>
      </c>
      <c r="AQ126" s="1" t="s">
        <v>1406</v>
      </c>
      <c r="AR126" s="1" t="s">
        <v>74</v>
      </c>
      <c r="AS126" s="1" t="s">
        <v>74</v>
      </c>
      <c r="AT126" s="1" t="s">
        <v>74</v>
      </c>
      <c r="AU126" s="1">
        <v>2018.0</v>
      </c>
      <c r="AV126" s="1" t="s">
        <v>74</v>
      </c>
      <c r="AW126" s="1" t="s">
        <v>74</v>
      </c>
      <c r="AX126" s="1" t="s">
        <v>74</v>
      </c>
      <c r="AY126" s="1" t="s">
        <v>74</v>
      </c>
      <c r="AZ126" s="1" t="s">
        <v>74</v>
      </c>
      <c r="BA126" s="1" t="s">
        <v>74</v>
      </c>
      <c r="BB126" s="1">
        <v>21.0</v>
      </c>
      <c r="BC126" s="1">
        <v>44.0</v>
      </c>
      <c r="BD126" s="1" t="s">
        <v>74</v>
      </c>
      <c r="BE126" s="1" t="s">
        <v>74</v>
      </c>
      <c r="BF126" s="1" t="s">
        <v>74</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1407</v>
      </c>
      <c r="BT126" s="1" t="str">
        <f>HYPERLINK("https%3A%2F%2Fwww.webofscience.com%2Fwos%2Fwoscc%2Ffull-record%2FWOS:000668284400002","View Full Record in Web of Science")</f>
        <v>View Full Record in Web of Science</v>
      </c>
    </row>
    <row r="127" ht="12.75" customHeight="1">
      <c r="A127" s="1" t="s">
        <v>72</v>
      </c>
      <c r="B127" s="1" t="s">
        <v>1408</v>
      </c>
      <c r="C127" s="1" t="s">
        <v>74</v>
      </c>
      <c r="D127" s="1" t="s">
        <v>74</v>
      </c>
      <c r="E127" s="1" t="s">
        <v>74</v>
      </c>
      <c r="F127" s="1" t="s">
        <v>1409</v>
      </c>
      <c r="G127" s="1" t="s">
        <v>74</v>
      </c>
      <c r="H127" s="1" t="s">
        <v>74</v>
      </c>
      <c r="I127" s="1" t="s">
        <v>1410</v>
      </c>
      <c r="J127" s="1" t="s">
        <v>1411</v>
      </c>
      <c r="K127" s="1" t="s">
        <v>74</v>
      </c>
      <c r="L127" s="1" t="s">
        <v>74</v>
      </c>
      <c r="M127" s="1" t="s">
        <v>74</v>
      </c>
      <c r="N127" s="1" t="s">
        <v>74</v>
      </c>
      <c r="O127" s="1" t="s">
        <v>74</v>
      </c>
      <c r="P127" s="1" t="s">
        <v>74</v>
      </c>
      <c r="Q127" s="1" t="s">
        <v>74</v>
      </c>
      <c r="R127" s="1" t="s">
        <v>74</v>
      </c>
      <c r="S127" s="1" t="s">
        <v>74</v>
      </c>
      <c r="T127" s="1" t="s">
        <v>74</v>
      </c>
      <c r="U127" s="1" t="s">
        <v>74</v>
      </c>
      <c r="V127" s="1" t="s">
        <v>1412</v>
      </c>
      <c r="W127" s="1" t="s">
        <v>74</v>
      </c>
      <c r="X127" s="1" t="s">
        <v>74</v>
      </c>
      <c r="Y127" s="1" t="s">
        <v>74</v>
      </c>
      <c r="Z127" s="1" t="s">
        <v>74</v>
      </c>
      <c r="AA127" s="1" t="s">
        <v>1413</v>
      </c>
      <c r="AB127" s="1" t="s">
        <v>1414</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1415</v>
      </c>
      <c r="AP127" s="1" t="s">
        <v>74</v>
      </c>
      <c r="AQ127" s="1" t="s">
        <v>74</v>
      </c>
      <c r="AR127" s="1" t="s">
        <v>74</v>
      </c>
      <c r="AS127" s="1" t="s">
        <v>74</v>
      </c>
      <c r="AT127" s="1" t="s">
        <v>74</v>
      </c>
      <c r="AU127" s="1">
        <v>2018.0</v>
      </c>
      <c r="AV127" s="1">
        <v>23.0</v>
      </c>
      <c r="AW127" s="1">
        <v>4.0</v>
      </c>
      <c r="AX127" s="1" t="s">
        <v>74</v>
      </c>
      <c r="AY127" s="1" t="s">
        <v>74</v>
      </c>
      <c r="AZ127" s="1" t="s">
        <v>74</v>
      </c>
      <c r="BA127" s="1" t="s">
        <v>74</v>
      </c>
      <c r="BB127" s="1" t="s">
        <v>74</v>
      </c>
      <c r="BC127" s="1" t="s">
        <v>74</v>
      </c>
      <c r="BD127" s="1" t="s">
        <v>1416</v>
      </c>
      <c r="BE127" s="1" t="s">
        <v>1417</v>
      </c>
      <c r="BF127" s="2" t="str">
        <f>HYPERLINK("http://dx.doi.org/10.1590/S1517-707620180004.0570","http://dx.doi.org/10.1590/S1517-707620180004.0570")</f>
        <v>http://dx.doi.org/10.1590/S1517-707620180004.0570</v>
      </c>
      <c r="BG127" s="1" t="s">
        <v>74</v>
      </c>
      <c r="BH127" s="1" t="s">
        <v>74</v>
      </c>
      <c r="BI127" s="1" t="s">
        <v>74</v>
      </c>
      <c r="BJ127" s="1" t="s">
        <v>74</v>
      </c>
      <c r="BK127" s="1" t="s">
        <v>74</v>
      </c>
      <c r="BL127" s="1" t="s">
        <v>74</v>
      </c>
      <c r="BM127" s="1" t="s">
        <v>74</v>
      </c>
      <c r="BN127" s="1" t="s">
        <v>74</v>
      </c>
      <c r="BO127" s="1" t="s">
        <v>74</v>
      </c>
      <c r="BP127" s="1" t="s">
        <v>74</v>
      </c>
      <c r="BQ127" s="1" t="s">
        <v>74</v>
      </c>
      <c r="BR127" s="1" t="s">
        <v>74</v>
      </c>
      <c r="BS127" s="1" t="s">
        <v>1418</v>
      </c>
      <c r="BT127" s="1" t="str">
        <f>HYPERLINK("https%3A%2F%2Fwww.webofscience.com%2Fwos%2Fwoscc%2Ffull-record%2FWOS:000452418700027","View Full Record in Web of Science")</f>
        <v>View Full Record in Web of Science</v>
      </c>
    </row>
    <row r="128" ht="12.75" customHeight="1">
      <c r="A128" s="1" t="s">
        <v>72</v>
      </c>
      <c r="B128" s="1" t="s">
        <v>1419</v>
      </c>
      <c r="C128" s="1" t="s">
        <v>74</v>
      </c>
      <c r="D128" s="1" t="s">
        <v>74</v>
      </c>
      <c r="E128" s="1" t="s">
        <v>74</v>
      </c>
      <c r="F128" s="1" t="s">
        <v>1420</v>
      </c>
      <c r="G128" s="1" t="s">
        <v>74</v>
      </c>
      <c r="H128" s="1" t="s">
        <v>74</v>
      </c>
      <c r="I128" s="1" t="s">
        <v>1421</v>
      </c>
      <c r="J128" s="1" t="s">
        <v>1422</v>
      </c>
      <c r="K128" s="1" t="s">
        <v>74</v>
      </c>
      <c r="L128" s="1" t="s">
        <v>74</v>
      </c>
      <c r="M128" s="1" t="s">
        <v>74</v>
      </c>
      <c r="N128" s="1" t="s">
        <v>74</v>
      </c>
      <c r="O128" s="1" t="s">
        <v>74</v>
      </c>
      <c r="P128" s="1" t="s">
        <v>74</v>
      </c>
      <c r="Q128" s="1" t="s">
        <v>74</v>
      </c>
      <c r="R128" s="1" t="s">
        <v>74</v>
      </c>
      <c r="S128" s="1" t="s">
        <v>74</v>
      </c>
      <c r="T128" s="1" t="s">
        <v>74</v>
      </c>
      <c r="U128" s="1" t="s">
        <v>74</v>
      </c>
      <c r="V128" s="1" t="s">
        <v>1423</v>
      </c>
      <c r="W128" s="1" t="s">
        <v>74</v>
      </c>
      <c r="X128" s="1" t="s">
        <v>74</v>
      </c>
      <c r="Y128" s="1" t="s">
        <v>74</v>
      </c>
      <c r="Z128" s="1" t="s">
        <v>74</v>
      </c>
      <c r="AA128" s="1" t="s">
        <v>74</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1424</v>
      </c>
      <c r="AP128" s="1" t="s">
        <v>1425</v>
      </c>
      <c r="AQ128" s="1" t="s">
        <v>74</v>
      </c>
      <c r="AR128" s="1" t="s">
        <v>74</v>
      </c>
      <c r="AS128" s="1" t="s">
        <v>74</v>
      </c>
      <c r="AT128" s="1" t="s">
        <v>95</v>
      </c>
      <c r="AU128" s="1">
        <v>2017.0</v>
      </c>
      <c r="AV128" s="1">
        <v>35.0</v>
      </c>
      <c r="AW128" s="1">
        <v>4.0</v>
      </c>
      <c r="AX128" s="1" t="s">
        <v>74</v>
      </c>
      <c r="AY128" s="1" t="s">
        <v>74</v>
      </c>
      <c r="AZ128" s="1" t="s">
        <v>74</v>
      </c>
      <c r="BA128" s="1" t="s">
        <v>74</v>
      </c>
      <c r="BB128" s="1">
        <v>1403.0</v>
      </c>
      <c r="BC128" s="1">
        <v>1408.0</v>
      </c>
      <c r="BD128" s="1" t="s">
        <v>74</v>
      </c>
      <c r="BE128" s="1" t="s">
        <v>1426</v>
      </c>
      <c r="BF128" s="2" t="str">
        <f>HYPERLINK("http://dx.doi.org/10.4067/S0717-95022017000401403","http://dx.doi.org/10.4067/S0717-95022017000401403")</f>
        <v>http://dx.doi.org/10.4067/S0717-95022017000401403</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1427</v>
      </c>
      <c r="BT128" s="1" t="str">
        <f>HYPERLINK("https%3A%2F%2Fwww.webofscience.com%2Fwos%2Fwoscc%2Ffull-record%2FWOS:000428048400036","View Full Record in Web of Science")</f>
        <v>View Full Record in Web of Science</v>
      </c>
    </row>
    <row r="129" ht="12.75" customHeight="1">
      <c r="A129" s="1" t="s">
        <v>72</v>
      </c>
      <c r="B129" s="1" t="s">
        <v>1428</v>
      </c>
      <c r="C129" s="1" t="s">
        <v>74</v>
      </c>
      <c r="D129" s="1" t="s">
        <v>74</v>
      </c>
      <c r="E129" s="1" t="s">
        <v>74</v>
      </c>
      <c r="F129" s="1" t="s">
        <v>1429</v>
      </c>
      <c r="G129" s="1" t="s">
        <v>74</v>
      </c>
      <c r="H129" s="1" t="s">
        <v>74</v>
      </c>
      <c r="I129" s="1" t="s">
        <v>1430</v>
      </c>
      <c r="J129" s="1" t="s">
        <v>1431</v>
      </c>
      <c r="K129" s="1" t="s">
        <v>74</v>
      </c>
      <c r="L129" s="1" t="s">
        <v>74</v>
      </c>
      <c r="M129" s="1" t="s">
        <v>74</v>
      </c>
      <c r="N129" s="1" t="s">
        <v>74</v>
      </c>
      <c r="O129" s="1" t="s">
        <v>74</v>
      </c>
      <c r="P129" s="1" t="s">
        <v>74</v>
      </c>
      <c r="Q129" s="1" t="s">
        <v>74</v>
      </c>
      <c r="R129" s="1" t="s">
        <v>74</v>
      </c>
      <c r="S129" s="1" t="s">
        <v>74</v>
      </c>
      <c r="T129" s="1" t="s">
        <v>74</v>
      </c>
      <c r="U129" s="1" t="s">
        <v>74</v>
      </c>
      <c r="V129" s="1" t="s">
        <v>1432</v>
      </c>
      <c r="W129" s="1" t="s">
        <v>74</v>
      </c>
      <c r="X129" s="1" t="s">
        <v>74</v>
      </c>
      <c r="Y129" s="1" t="s">
        <v>74</v>
      </c>
      <c r="Z129" s="1" t="s">
        <v>74</v>
      </c>
      <c r="AA129" s="1" t="s">
        <v>74</v>
      </c>
      <c r="AB129" s="1" t="s">
        <v>74</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1433</v>
      </c>
      <c r="AP129" s="1" t="s">
        <v>1434</v>
      </c>
      <c r="AQ129" s="1" t="s">
        <v>74</v>
      </c>
      <c r="AR129" s="1" t="s">
        <v>74</v>
      </c>
      <c r="AS129" s="1" t="s">
        <v>74</v>
      </c>
      <c r="AT129" s="1" t="s">
        <v>647</v>
      </c>
      <c r="AU129" s="1">
        <v>2017.0</v>
      </c>
      <c r="AV129" s="1">
        <v>143.0</v>
      </c>
      <c r="AW129" s="1">
        <v>8.0</v>
      </c>
      <c r="AX129" s="1" t="s">
        <v>74</v>
      </c>
      <c r="AY129" s="1" t="s">
        <v>74</v>
      </c>
      <c r="AZ129" s="1" t="s">
        <v>74</v>
      </c>
      <c r="BA129" s="1" t="s">
        <v>74</v>
      </c>
      <c r="BB129" s="1" t="s">
        <v>74</v>
      </c>
      <c r="BC129" s="1" t="s">
        <v>74</v>
      </c>
      <c r="BD129" s="1">
        <v>4017016.0</v>
      </c>
      <c r="BE129" s="1" t="s">
        <v>1435</v>
      </c>
      <c r="BF129" s="2" t="str">
        <f>HYPERLINK("http://dx.doi.org/10.1061/(ASCE)IR.1943-4774.0001185","http://dx.doi.org/10.1061/(ASCE)IR.1943-4774.0001185")</f>
        <v>http://dx.doi.org/10.1061/(ASCE)IR.1943-4774.0001185</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1436</v>
      </c>
      <c r="BT129" s="1" t="str">
        <f>HYPERLINK("https%3A%2F%2Fwww.webofscience.com%2Fwos%2Fwoscc%2Ffull-record%2FWOS:000408355300001","View Full Record in Web of Science")</f>
        <v>View Full Record in Web of Science</v>
      </c>
    </row>
    <row r="130" ht="12.75" customHeight="1">
      <c r="A130" s="1" t="s">
        <v>72</v>
      </c>
      <c r="B130" s="1" t="s">
        <v>1437</v>
      </c>
      <c r="C130" s="1" t="s">
        <v>74</v>
      </c>
      <c r="D130" s="1" t="s">
        <v>74</v>
      </c>
      <c r="E130" s="1" t="s">
        <v>74</v>
      </c>
      <c r="F130" s="1" t="s">
        <v>1438</v>
      </c>
      <c r="G130" s="1" t="s">
        <v>74</v>
      </c>
      <c r="H130" s="1" t="s">
        <v>74</v>
      </c>
      <c r="I130" s="1" t="s">
        <v>1439</v>
      </c>
      <c r="J130" s="1" t="s">
        <v>1440</v>
      </c>
      <c r="K130" s="1" t="s">
        <v>74</v>
      </c>
      <c r="L130" s="1" t="s">
        <v>74</v>
      </c>
      <c r="M130" s="1" t="s">
        <v>74</v>
      </c>
      <c r="N130" s="1" t="s">
        <v>74</v>
      </c>
      <c r="O130" s="1" t="s">
        <v>74</v>
      </c>
      <c r="P130" s="1" t="s">
        <v>74</v>
      </c>
      <c r="Q130" s="1" t="s">
        <v>74</v>
      </c>
      <c r="R130" s="1" t="s">
        <v>74</v>
      </c>
      <c r="S130" s="1" t="s">
        <v>74</v>
      </c>
      <c r="T130" s="1" t="s">
        <v>74</v>
      </c>
      <c r="U130" s="1" t="s">
        <v>74</v>
      </c>
      <c r="V130" s="1" t="s">
        <v>74</v>
      </c>
      <c r="W130" s="1" t="s">
        <v>74</v>
      </c>
      <c r="X130" s="1" t="s">
        <v>74</v>
      </c>
      <c r="Y130" s="1" t="s">
        <v>74</v>
      </c>
      <c r="Z130" s="1" t="s">
        <v>74</v>
      </c>
      <c r="AA130" s="1" t="s">
        <v>1441</v>
      </c>
      <c r="AB130" s="1" t="s">
        <v>1442</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1443</v>
      </c>
      <c r="AP130" s="1" t="s">
        <v>1444</v>
      </c>
      <c r="AQ130" s="1" t="s">
        <v>74</v>
      </c>
      <c r="AR130" s="1" t="s">
        <v>74</v>
      </c>
      <c r="AS130" s="1" t="s">
        <v>74</v>
      </c>
      <c r="AT130" s="1" t="s">
        <v>120</v>
      </c>
      <c r="AU130" s="1">
        <v>2017.0</v>
      </c>
      <c r="AV130" s="1">
        <v>145.0</v>
      </c>
      <c r="AW130" s="1">
        <v>2.0</v>
      </c>
      <c r="AX130" s="1" t="s">
        <v>74</v>
      </c>
      <c r="AY130" s="1" t="s">
        <v>74</v>
      </c>
      <c r="AZ130" s="1" t="s">
        <v>74</v>
      </c>
      <c r="BA130" s="1" t="s">
        <v>74</v>
      </c>
      <c r="BB130" s="1">
        <v>269.0</v>
      </c>
      <c r="BC130" s="1" t="s">
        <v>1164</v>
      </c>
      <c r="BD130" s="1" t="s">
        <v>74</v>
      </c>
      <c r="BE130" s="1" t="s">
        <v>1445</v>
      </c>
      <c r="BF130" s="2" t="str">
        <f>HYPERLINK("http://dx.doi.org/10.4067/S0034-98872017000200017","http://dx.doi.org/10.4067/S0034-98872017000200017")</f>
        <v>http://dx.doi.org/10.4067/S0034-98872017000200017</v>
      </c>
      <c r="BG130" s="1" t="s">
        <v>74</v>
      </c>
      <c r="BH130" s="1" t="s">
        <v>74</v>
      </c>
      <c r="BI130" s="1" t="s">
        <v>74</v>
      </c>
      <c r="BJ130" s="1" t="s">
        <v>74</v>
      </c>
      <c r="BK130" s="1" t="s">
        <v>74</v>
      </c>
      <c r="BL130" s="1" t="s">
        <v>74</v>
      </c>
      <c r="BM130" s="1" t="s">
        <v>74</v>
      </c>
      <c r="BN130" s="1">
        <v>2.8453596E7</v>
      </c>
      <c r="BO130" s="1" t="s">
        <v>74</v>
      </c>
      <c r="BP130" s="1" t="s">
        <v>74</v>
      </c>
      <c r="BQ130" s="1" t="s">
        <v>74</v>
      </c>
      <c r="BR130" s="1" t="s">
        <v>74</v>
      </c>
      <c r="BS130" s="1" t="s">
        <v>1446</v>
      </c>
      <c r="BT130" s="1" t="str">
        <f>HYPERLINK("https%3A%2F%2Fwww.webofscience.com%2Fwos%2Fwoscc%2Ffull-record%2FWOS:000396205300017","View Full Record in Web of Science")</f>
        <v>View Full Record in Web of Science</v>
      </c>
    </row>
    <row r="131" ht="12.75" customHeight="1">
      <c r="A131" s="1" t="s">
        <v>72</v>
      </c>
      <c r="B131" s="1" t="s">
        <v>1447</v>
      </c>
      <c r="C131" s="1" t="s">
        <v>74</v>
      </c>
      <c r="D131" s="1" t="s">
        <v>74</v>
      </c>
      <c r="E131" s="1" t="s">
        <v>74</v>
      </c>
      <c r="F131" s="1" t="s">
        <v>1448</v>
      </c>
      <c r="G131" s="1" t="s">
        <v>74</v>
      </c>
      <c r="H131" s="1" t="s">
        <v>74</v>
      </c>
      <c r="I131" s="1" t="s">
        <v>1449</v>
      </c>
      <c r="J131" s="1" t="s">
        <v>1450</v>
      </c>
      <c r="K131" s="1" t="s">
        <v>74</v>
      </c>
      <c r="L131" s="1" t="s">
        <v>74</v>
      </c>
      <c r="M131" s="1" t="s">
        <v>74</v>
      </c>
      <c r="N131" s="1" t="s">
        <v>74</v>
      </c>
      <c r="O131" s="1" t="s">
        <v>74</v>
      </c>
      <c r="P131" s="1" t="s">
        <v>74</v>
      </c>
      <c r="Q131" s="1" t="s">
        <v>74</v>
      </c>
      <c r="R131" s="1" t="s">
        <v>74</v>
      </c>
      <c r="S131" s="1" t="s">
        <v>74</v>
      </c>
      <c r="T131" s="1" t="s">
        <v>74</v>
      </c>
      <c r="U131" s="1" t="s">
        <v>74</v>
      </c>
      <c r="V131" s="1" t="s">
        <v>1451</v>
      </c>
      <c r="W131" s="1" t="s">
        <v>74</v>
      </c>
      <c r="X131" s="1" t="s">
        <v>74</v>
      </c>
      <c r="Y131" s="1" t="s">
        <v>74</v>
      </c>
      <c r="Z131" s="1" t="s">
        <v>74</v>
      </c>
      <c r="AA131" s="1" t="s">
        <v>1452</v>
      </c>
      <c r="AB131" s="1" t="s">
        <v>1453</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1454</v>
      </c>
      <c r="AP131" s="1" t="s">
        <v>1455</v>
      </c>
      <c r="AQ131" s="1" t="s">
        <v>74</v>
      </c>
      <c r="AR131" s="1" t="s">
        <v>74</v>
      </c>
      <c r="AS131" s="1" t="s">
        <v>74</v>
      </c>
      <c r="AT131" s="1" t="s">
        <v>596</v>
      </c>
      <c r="AU131" s="1">
        <v>2016.0</v>
      </c>
      <c r="AV131" s="1">
        <v>24.0</v>
      </c>
      <c r="AW131" s="1">
        <v>11.0</v>
      </c>
      <c r="AX131" s="1" t="s">
        <v>74</v>
      </c>
      <c r="AY131" s="1" t="s">
        <v>74</v>
      </c>
      <c r="AZ131" s="1" t="s">
        <v>74</v>
      </c>
      <c r="BA131" s="1" t="s">
        <v>74</v>
      </c>
      <c r="BB131" s="1">
        <v>1063.0</v>
      </c>
      <c r="BC131" s="1">
        <v>1073.0</v>
      </c>
      <c r="BD131" s="1" t="s">
        <v>74</v>
      </c>
      <c r="BE131" s="1" t="s">
        <v>1456</v>
      </c>
      <c r="BF131" s="2" t="str">
        <f>HYPERLINK("http://dx.doi.org/10.1016/j.jagp.2016.06.006","http://dx.doi.org/10.1016/j.jagp.2016.06.006")</f>
        <v>http://dx.doi.org/10.1016/j.jagp.2016.06.006</v>
      </c>
      <c r="BG131" s="1" t="s">
        <v>74</v>
      </c>
      <c r="BH131" s="1" t="s">
        <v>74</v>
      </c>
      <c r="BI131" s="1" t="s">
        <v>74</v>
      </c>
      <c r="BJ131" s="1" t="s">
        <v>74</v>
      </c>
      <c r="BK131" s="1" t="s">
        <v>74</v>
      </c>
      <c r="BL131" s="1" t="s">
        <v>74</v>
      </c>
      <c r="BM131" s="1" t="s">
        <v>74</v>
      </c>
      <c r="BN131" s="1">
        <v>2.7687212E7</v>
      </c>
      <c r="BO131" s="1" t="s">
        <v>74</v>
      </c>
      <c r="BP131" s="1" t="s">
        <v>74</v>
      </c>
      <c r="BQ131" s="1" t="s">
        <v>74</v>
      </c>
      <c r="BR131" s="1" t="s">
        <v>74</v>
      </c>
      <c r="BS131" s="1" t="s">
        <v>1457</v>
      </c>
      <c r="BT131" s="1" t="str">
        <f>HYPERLINK("https%3A%2F%2Fwww.webofscience.com%2Fwos%2Fwoscc%2Ffull-record%2FWOS:000386771200016","View Full Record in Web of Science")</f>
        <v>View Full Record in Web of Science</v>
      </c>
    </row>
    <row r="132" ht="12.75" customHeight="1">
      <c r="A132" s="1" t="s">
        <v>72</v>
      </c>
      <c r="B132" s="1" t="s">
        <v>1458</v>
      </c>
      <c r="C132" s="1" t="s">
        <v>74</v>
      </c>
      <c r="D132" s="1" t="s">
        <v>74</v>
      </c>
      <c r="E132" s="1" t="s">
        <v>74</v>
      </c>
      <c r="F132" s="1" t="s">
        <v>1459</v>
      </c>
      <c r="G132" s="1" t="s">
        <v>74</v>
      </c>
      <c r="H132" s="1" t="s">
        <v>74</v>
      </c>
      <c r="I132" s="1" t="s">
        <v>1460</v>
      </c>
      <c r="J132" s="1" t="s">
        <v>1461</v>
      </c>
      <c r="K132" s="1" t="s">
        <v>74</v>
      </c>
      <c r="L132" s="1" t="s">
        <v>74</v>
      </c>
      <c r="M132" s="1" t="s">
        <v>74</v>
      </c>
      <c r="N132" s="1" t="s">
        <v>74</v>
      </c>
      <c r="O132" s="1" t="s">
        <v>74</v>
      </c>
      <c r="P132" s="1" t="s">
        <v>74</v>
      </c>
      <c r="Q132" s="1" t="s">
        <v>74</v>
      </c>
      <c r="R132" s="1" t="s">
        <v>74</v>
      </c>
      <c r="S132" s="1" t="s">
        <v>74</v>
      </c>
      <c r="T132" s="1" t="s">
        <v>74</v>
      </c>
      <c r="U132" s="1" t="s">
        <v>74</v>
      </c>
      <c r="V132" s="1" t="s">
        <v>1462</v>
      </c>
      <c r="W132" s="1" t="s">
        <v>74</v>
      </c>
      <c r="X132" s="1" t="s">
        <v>74</v>
      </c>
      <c r="Y132" s="1" t="s">
        <v>74</v>
      </c>
      <c r="Z132" s="1" t="s">
        <v>74</v>
      </c>
      <c r="AA132" s="1" t="s">
        <v>1463</v>
      </c>
      <c r="AB132" s="1" t="s">
        <v>1464</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1465</v>
      </c>
      <c r="AP132" s="1" t="s">
        <v>1466</v>
      </c>
      <c r="AQ132" s="1" t="s">
        <v>74</v>
      </c>
      <c r="AR132" s="1" t="s">
        <v>74</v>
      </c>
      <c r="AS132" s="1" t="s">
        <v>74</v>
      </c>
      <c r="AT132" s="1" t="s">
        <v>1467</v>
      </c>
      <c r="AU132" s="1">
        <v>2013.0</v>
      </c>
      <c r="AV132" s="1">
        <v>224.0</v>
      </c>
      <c r="AW132" s="1" t="s">
        <v>74</v>
      </c>
      <c r="AX132" s="1" t="s">
        <v>74</v>
      </c>
      <c r="AY132" s="1" t="s">
        <v>74</v>
      </c>
      <c r="AZ132" s="1" t="s">
        <v>74</v>
      </c>
      <c r="BA132" s="1" t="s">
        <v>74</v>
      </c>
      <c r="BB132" s="1">
        <v>803.0</v>
      </c>
      <c r="BC132" s="1">
        <v>816.0</v>
      </c>
      <c r="BD132" s="1" t="s">
        <v>74</v>
      </c>
      <c r="BE132" s="1" t="s">
        <v>1468</v>
      </c>
      <c r="BF132" s="2" t="str">
        <f>HYPERLINK("http://dx.doi.org/10.1016/j.amc.2013.09.009","http://dx.doi.org/10.1016/j.amc.2013.09.009")</f>
        <v>http://dx.doi.org/10.1016/j.amc.2013.09.009</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1469</v>
      </c>
      <c r="BT132" s="1" t="str">
        <f>HYPERLINK("https%3A%2F%2Fwww.webofscience.com%2Fwos%2Fwoscc%2Ffull-record%2FWOS:000327734800072","View Full Record in Web of Science")</f>
        <v>View Full Record in Web of Science</v>
      </c>
    </row>
    <row r="133" ht="12.75" customHeight="1">
      <c r="A133" s="1" t="s">
        <v>72</v>
      </c>
      <c r="B133" s="1" t="s">
        <v>335</v>
      </c>
      <c r="C133" s="1" t="s">
        <v>74</v>
      </c>
      <c r="D133" s="1" t="s">
        <v>74</v>
      </c>
      <c r="E133" s="1" t="s">
        <v>74</v>
      </c>
      <c r="F133" s="1" t="s">
        <v>336</v>
      </c>
      <c r="G133" s="1" t="s">
        <v>74</v>
      </c>
      <c r="H133" s="1" t="s">
        <v>74</v>
      </c>
      <c r="I133" s="1" t="s">
        <v>1470</v>
      </c>
      <c r="J133" s="1" t="s">
        <v>1471</v>
      </c>
      <c r="K133" s="1" t="s">
        <v>74</v>
      </c>
      <c r="L133" s="1" t="s">
        <v>74</v>
      </c>
      <c r="M133" s="1" t="s">
        <v>74</v>
      </c>
      <c r="N133" s="1" t="s">
        <v>74</v>
      </c>
      <c r="O133" s="1" t="s">
        <v>74</v>
      </c>
      <c r="P133" s="1" t="s">
        <v>74</v>
      </c>
      <c r="Q133" s="1" t="s">
        <v>74</v>
      </c>
      <c r="R133" s="1" t="s">
        <v>74</v>
      </c>
      <c r="S133" s="1" t="s">
        <v>74</v>
      </c>
      <c r="T133" s="1" t="s">
        <v>74</v>
      </c>
      <c r="U133" s="1" t="s">
        <v>74</v>
      </c>
      <c r="V133" s="1" t="s">
        <v>1472</v>
      </c>
      <c r="W133" s="1" t="s">
        <v>74</v>
      </c>
      <c r="X133" s="1" t="s">
        <v>74</v>
      </c>
      <c r="Y133" s="1" t="s">
        <v>74</v>
      </c>
      <c r="Z133" s="1" t="s">
        <v>74</v>
      </c>
      <c r="AA133" s="1" t="s">
        <v>340</v>
      </c>
      <c r="AB133" s="1" t="s">
        <v>341</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1473</v>
      </c>
      <c r="AP133" s="1" t="s">
        <v>74</v>
      </c>
      <c r="AQ133" s="1" t="s">
        <v>74</v>
      </c>
      <c r="AR133" s="1" t="s">
        <v>74</v>
      </c>
      <c r="AS133" s="1" t="s">
        <v>74</v>
      </c>
      <c r="AT133" s="1" t="s">
        <v>1474</v>
      </c>
      <c r="AU133" s="1">
        <v>2013.0</v>
      </c>
      <c r="AV133" s="1">
        <v>26.0</v>
      </c>
      <c r="AW133" s="1" t="s">
        <v>1475</v>
      </c>
      <c r="AX133" s="1" t="s">
        <v>74</v>
      </c>
      <c r="AY133" s="1" t="s">
        <v>74</v>
      </c>
      <c r="AZ133" s="1" t="s">
        <v>74</v>
      </c>
      <c r="BA133" s="1" t="s">
        <v>74</v>
      </c>
      <c r="BB133" s="1">
        <v>757.0</v>
      </c>
      <c r="BC133" s="1">
        <v>780.0</v>
      </c>
      <c r="BD133" s="1" t="s">
        <v>74</v>
      </c>
      <c r="BE133" s="1" t="s">
        <v>74</v>
      </c>
      <c r="BF133" s="1" t="s">
        <v>74</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1476</v>
      </c>
      <c r="BT133" s="1" t="str">
        <f>HYPERLINK("https%3A%2F%2Fwww.webofscience.com%2Fwos%2Fwoscc%2Ffull-record%2FWOS:000320289000006","View Full Record in Web of Science")</f>
        <v>View Full Record in Web of Science</v>
      </c>
    </row>
    <row r="134" ht="12.75" customHeight="1">
      <c r="A134" s="1" t="s">
        <v>346</v>
      </c>
      <c r="B134" s="1" t="s">
        <v>1477</v>
      </c>
      <c r="C134" s="1" t="s">
        <v>74</v>
      </c>
      <c r="D134" s="1" t="s">
        <v>74</v>
      </c>
      <c r="E134" s="1" t="s">
        <v>348</v>
      </c>
      <c r="F134" s="1" t="s">
        <v>1478</v>
      </c>
      <c r="G134" s="1" t="s">
        <v>74</v>
      </c>
      <c r="H134" s="1" t="s">
        <v>74</v>
      </c>
      <c r="I134" s="1" t="s">
        <v>1479</v>
      </c>
      <c r="J134" s="1" t="s">
        <v>1480</v>
      </c>
      <c r="K134" s="1" t="s">
        <v>74</v>
      </c>
      <c r="L134" s="1" t="s">
        <v>74</v>
      </c>
      <c r="M134" s="1" t="s">
        <v>74</v>
      </c>
      <c r="N134" s="1" t="s">
        <v>74</v>
      </c>
      <c r="O134" s="1" t="s">
        <v>1481</v>
      </c>
      <c r="P134" s="1" t="s">
        <v>1482</v>
      </c>
      <c r="Q134" s="1" t="s">
        <v>1483</v>
      </c>
      <c r="R134" s="1" t="s">
        <v>1484</v>
      </c>
      <c r="S134" s="1" t="s">
        <v>74</v>
      </c>
      <c r="T134" s="1" t="s">
        <v>74</v>
      </c>
      <c r="U134" s="1" t="s">
        <v>74</v>
      </c>
      <c r="V134" s="1" t="s">
        <v>1485</v>
      </c>
      <c r="W134" s="1" t="s">
        <v>74</v>
      </c>
      <c r="X134" s="1" t="s">
        <v>74</v>
      </c>
      <c r="Y134" s="1" t="s">
        <v>74</v>
      </c>
      <c r="Z134" s="1" t="s">
        <v>74</v>
      </c>
      <c r="AA134" s="1" t="s">
        <v>1486</v>
      </c>
      <c r="AB134" s="1" t="s">
        <v>1487</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74</v>
      </c>
      <c r="AP134" s="1" t="s">
        <v>74</v>
      </c>
      <c r="AQ134" s="1" t="s">
        <v>1488</v>
      </c>
      <c r="AR134" s="1" t="s">
        <v>74</v>
      </c>
      <c r="AS134" s="1" t="s">
        <v>74</v>
      </c>
      <c r="AT134" s="1" t="s">
        <v>74</v>
      </c>
      <c r="AU134" s="1">
        <v>2013.0</v>
      </c>
      <c r="AV134" s="1" t="s">
        <v>74</v>
      </c>
      <c r="AW134" s="1" t="s">
        <v>74</v>
      </c>
      <c r="AX134" s="1" t="s">
        <v>74</v>
      </c>
      <c r="AY134" s="1" t="s">
        <v>74</v>
      </c>
      <c r="AZ134" s="1" t="s">
        <v>74</v>
      </c>
      <c r="BA134" s="1" t="s">
        <v>74</v>
      </c>
      <c r="BB134" s="1">
        <v>1233.0</v>
      </c>
      <c r="BC134" s="1">
        <v>1240.0</v>
      </c>
      <c r="BD134" s="1" t="s">
        <v>74</v>
      </c>
      <c r="BE134" s="1" t="s">
        <v>74</v>
      </c>
      <c r="BF134" s="1" t="s">
        <v>74</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1489</v>
      </c>
      <c r="BT134" s="1" t="str">
        <f>HYPERLINK("https%3A%2F%2Fwww.webofscience.com%2Fwos%2Fwoscc%2Ffull-record%2FWOS:000326235301030","View Full Record in Web of Science")</f>
        <v>View Full Record in Web of Science</v>
      </c>
    </row>
    <row r="135" ht="12.75" customHeight="1">
      <c r="A135" s="1" t="s">
        <v>346</v>
      </c>
      <c r="B135" s="1" t="s">
        <v>1490</v>
      </c>
      <c r="C135" s="1" t="s">
        <v>74</v>
      </c>
      <c r="D135" s="1" t="s">
        <v>1491</v>
      </c>
      <c r="E135" s="1" t="s">
        <v>74</v>
      </c>
      <c r="F135" s="1" t="s">
        <v>1492</v>
      </c>
      <c r="G135" s="1" t="s">
        <v>74</v>
      </c>
      <c r="H135" s="1" t="s">
        <v>74</v>
      </c>
      <c r="I135" s="1" t="s">
        <v>1493</v>
      </c>
      <c r="J135" s="1" t="s">
        <v>1494</v>
      </c>
      <c r="K135" s="1" t="s">
        <v>1495</v>
      </c>
      <c r="L135" s="1" t="s">
        <v>74</v>
      </c>
      <c r="M135" s="1" t="s">
        <v>74</v>
      </c>
      <c r="N135" s="1" t="s">
        <v>74</v>
      </c>
      <c r="O135" s="1" t="s">
        <v>1496</v>
      </c>
      <c r="P135" s="1" t="s">
        <v>1497</v>
      </c>
      <c r="Q135" s="1" t="s">
        <v>1498</v>
      </c>
      <c r="R135" s="1" t="s">
        <v>74</v>
      </c>
      <c r="S135" s="1" t="s">
        <v>74</v>
      </c>
      <c r="T135" s="1" t="s">
        <v>74</v>
      </c>
      <c r="U135" s="1" t="s">
        <v>74</v>
      </c>
      <c r="V135" s="1" t="s">
        <v>1499</v>
      </c>
      <c r="W135" s="1" t="s">
        <v>74</v>
      </c>
      <c r="X135" s="1" t="s">
        <v>74</v>
      </c>
      <c r="Y135" s="1" t="s">
        <v>74</v>
      </c>
      <c r="Z135" s="1" t="s">
        <v>74</v>
      </c>
      <c r="AA135" s="1" t="s">
        <v>1500</v>
      </c>
      <c r="AB135" s="1" t="s">
        <v>1501</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1502</v>
      </c>
      <c r="AP135" s="1" t="s">
        <v>74</v>
      </c>
      <c r="AQ135" s="1" t="s">
        <v>1503</v>
      </c>
      <c r="AR135" s="1" t="s">
        <v>74</v>
      </c>
      <c r="AS135" s="1" t="s">
        <v>74</v>
      </c>
      <c r="AT135" s="1" t="s">
        <v>74</v>
      </c>
      <c r="AU135" s="1">
        <v>2013.0</v>
      </c>
      <c r="AV135" s="1">
        <v>825.0</v>
      </c>
      <c r="AW135" s="1" t="s">
        <v>74</v>
      </c>
      <c r="AX135" s="1" t="s">
        <v>74</v>
      </c>
      <c r="AY135" s="1" t="s">
        <v>74</v>
      </c>
      <c r="AZ135" s="1" t="s">
        <v>74</v>
      </c>
      <c r="BA135" s="1" t="s">
        <v>74</v>
      </c>
      <c r="BB135" s="1">
        <v>524.0</v>
      </c>
      <c r="BC135" s="1" t="s">
        <v>1164</v>
      </c>
      <c r="BD135" s="1" t="s">
        <v>74</v>
      </c>
      <c r="BE135" s="1" t="s">
        <v>1504</v>
      </c>
      <c r="BF135" s="2" t="str">
        <f>HYPERLINK("http://dx.doi.org/10.4028/www.scientific.net/AMR.825.524","http://dx.doi.org/10.4028/www.scientific.net/AMR.825.524")</f>
        <v>http://dx.doi.org/10.4028/www.scientific.net/AMR.825.524</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1505</v>
      </c>
      <c r="BT135" s="1" t="str">
        <f>HYPERLINK("https%3A%2F%2Fwww.webofscience.com%2Fwos%2Fwoscc%2Ffull-record%2FWOS:000336185400124","View Full Record in Web of Science")</f>
        <v>View Full Record in Web of Science</v>
      </c>
    </row>
    <row r="136" ht="12.75" customHeight="1">
      <c r="A136" s="1" t="s">
        <v>72</v>
      </c>
      <c r="B136" s="1" t="s">
        <v>1506</v>
      </c>
      <c r="C136" s="1" t="s">
        <v>74</v>
      </c>
      <c r="D136" s="1" t="s">
        <v>74</v>
      </c>
      <c r="E136" s="1" t="s">
        <v>74</v>
      </c>
      <c r="F136" s="1" t="s">
        <v>1507</v>
      </c>
      <c r="G136" s="1" t="s">
        <v>74</v>
      </c>
      <c r="H136" s="1" t="s">
        <v>74</v>
      </c>
      <c r="I136" s="1" t="s">
        <v>1508</v>
      </c>
      <c r="J136" s="1" t="s">
        <v>1509</v>
      </c>
      <c r="K136" s="1" t="s">
        <v>74</v>
      </c>
      <c r="L136" s="1" t="s">
        <v>74</v>
      </c>
      <c r="M136" s="1" t="s">
        <v>74</v>
      </c>
      <c r="N136" s="1" t="s">
        <v>74</v>
      </c>
      <c r="O136" s="1" t="s">
        <v>74</v>
      </c>
      <c r="P136" s="1" t="s">
        <v>74</v>
      </c>
      <c r="Q136" s="1" t="s">
        <v>74</v>
      </c>
      <c r="R136" s="1" t="s">
        <v>74</v>
      </c>
      <c r="S136" s="1" t="s">
        <v>74</v>
      </c>
      <c r="T136" s="1" t="s">
        <v>74</v>
      </c>
      <c r="U136" s="1" t="s">
        <v>74</v>
      </c>
      <c r="V136" s="1" t="s">
        <v>74</v>
      </c>
      <c r="W136" s="1" t="s">
        <v>74</v>
      </c>
      <c r="X136" s="1" t="s">
        <v>74</v>
      </c>
      <c r="Y136" s="1" t="s">
        <v>74</v>
      </c>
      <c r="Z136" s="1" t="s">
        <v>74</v>
      </c>
      <c r="AA136" s="1" t="s">
        <v>74</v>
      </c>
      <c r="AB136" s="1" t="s">
        <v>74</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1510</v>
      </c>
      <c r="AP136" s="1" t="s">
        <v>74</v>
      </c>
      <c r="AQ136" s="1" t="s">
        <v>74</v>
      </c>
      <c r="AR136" s="1" t="s">
        <v>74</v>
      </c>
      <c r="AS136" s="1" t="s">
        <v>74</v>
      </c>
      <c r="AT136" s="1" t="s">
        <v>83</v>
      </c>
      <c r="AU136" s="1">
        <v>2010.0</v>
      </c>
      <c r="AV136" s="1">
        <v>14.0</v>
      </c>
      <c r="AW136" s="1" t="s">
        <v>74</v>
      </c>
      <c r="AX136" s="1" t="s">
        <v>74</v>
      </c>
      <c r="AY136" s="1">
        <v>1.0</v>
      </c>
      <c r="AZ136" s="1" t="s">
        <v>74</v>
      </c>
      <c r="BA136" s="1" t="s">
        <v>74</v>
      </c>
      <c r="BB136" s="1" t="s">
        <v>1511</v>
      </c>
      <c r="BC136" s="1" t="s">
        <v>1511</v>
      </c>
      <c r="BD136" s="1" t="s">
        <v>74</v>
      </c>
      <c r="BE136" s="1" t="s">
        <v>1512</v>
      </c>
      <c r="BF136" s="2" t="str">
        <f>HYPERLINK("http://dx.doi.org/10.1016/j.ijid.2010.02.2026","http://dx.doi.org/10.1016/j.ijid.2010.02.2026")</f>
        <v>http://dx.doi.org/10.1016/j.ijid.2010.02.2026</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1513</v>
      </c>
      <c r="BT136" s="1" t="str">
        <f>HYPERLINK("https%3A%2F%2Fwww.webofscience.com%2Fwos%2Fwoscc%2Ffull-record%2FWOS:000276298201115","View Full Record in Web of Science")</f>
        <v>View Full Record in Web of Science</v>
      </c>
    </row>
    <row r="137" ht="12.75" customHeight="1">
      <c r="A137" s="1" t="s">
        <v>72</v>
      </c>
      <c r="B137" s="1" t="s">
        <v>1514</v>
      </c>
      <c r="C137" s="1" t="s">
        <v>74</v>
      </c>
      <c r="D137" s="1" t="s">
        <v>74</v>
      </c>
      <c r="E137" s="1" t="s">
        <v>74</v>
      </c>
      <c r="F137" s="1" t="s">
        <v>1515</v>
      </c>
      <c r="G137" s="1" t="s">
        <v>74</v>
      </c>
      <c r="H137" s="1" t="s">
        <v>74</v>
      </c>
      <c r="I137" s="1" t="s">
        <v>1516</v>
      </c>
      <c r="J137" s="1" t="s">
        <v>1517</v>
      </c>
      <c r="K137" s="1" t="s">
        <v>74</v>
      </c>
      <c r="L137" s="1" t="s">
        <v>74</v>
      </c>
      <c r="M137" s="1" t="s">
        <v>74</v>
      </c>
      <c r="N137" s="1" t="s">
        <v>74</v>
      </c>
      <c r="O137" s="1" t="s">
        <v>74</v>
      </c>
      <c r="P137" s="1" t="s">
        <v>74</v>
      </c>
      <c r="Q137" s="1" t="s">
        <v>74</v>
      </c>
      <c r="R137" s="1" t="s">
        <v>74</v>
      </c>
      <c r="S137" s="1" t="s">
        <v>74</v>
      </c>
      <c r="T137" s="1" t="s">
        <v>74</v>
      </c>
      <c r="U137" s="1" t="s">
        <v>74</v>
      </c>
      <c r="V137" s="1" t="s">
        <v>1518</v>
      </c>
      <c r="W137" s="1" t="s">
        <v>74</v>
      </c>
      <c r="X137" s="1" t="s">
        <v>74</v>
      </c>
      <c r="Y137" s="1" t="s">
        <v>74</v>
      </c>
      <c r="Z137" s="1" t="s">
        <v>74</v>
      </c>
      <c r="AA137" s="1" t="s">
        <v>74</v>
      </c>
      <c r="AB137" s="1" t="s">
        <v>1519</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1520</v>
      </c>
      <c r="AP137" s="1" t="s">
        <v>74</v>
      </c>
      <c r="AQ137" s="1" t="s">
        <v>74</v>
      </c>
      <c r="AR137" s="1" t="s">
        <v>74</v>
      </c>
      <c r="AS137" s="1" t="s">
        <v>74</v>
      </c>
      <c r="AT137" s="1" t="s">
        <v>1521</v>
      </c>
      <c r="AU137" s="1">
        <v>2009.0</v>
      </c>
      <c r="AV137" s="1">
        <v>3.0</v>
      </c>
      <c r="AW137" s="1">
        <v>3.0</v>
      </c>
      <c r="AX137" s="1" t="s">
        <v>74</v>
      </c>
      <c r="AY137" s="1" t="s">
        <v>74</v>
      </c>
      <c r="AZ137" s="1" t="s">
        <v>74</v>
      </c>
      <c r="BA137" s="1" t="s">
        <v>74</v>
      </c>
      <c r="BB137" s="1">
        <v>37.0</v>
      </c>
      <c r="BC137" s="1">
        <v>41.0</v>
      </c>
      <c r="BD137" s="1" t="s">
        <v>74</v>
      </c>
      <c r="BE137" s="1" t="s">
        <v>1522</v>
      </c>
      <c r="BF137" s="2" t="str">
        <f>HYPERLINK("http://dx.doi.org/10.1007/BF03355451","http://dx.doi.org/10.1007/BF03355451")</f>
        <v>http://dx.doi.org/10.1007/BF03355451</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1523</v>
      </c>
      <c r="BT137" s="1" t="str">
        <f>HYPERLINK("https%3A%2F%2Fwww.webofscience.com%2Fwos%2Fwoscc%2Ffull-record%2FWOS:000268932000004","View Full Record in Web of Science")</f>
        <v>View Full Record in Web of Science</v>
      </c>
    </row>
    <row r="138" ht="12.75" customHeight="1">
      <c r="A138" s="1" t="s">
        <v>72</v>
      </c>
      <c r="B138" s="1" t="s">
        <v>1524</v>
      </c>
      <c r="C138" s="1" t="s">
        <v>74</v>
      </c>
      <c r="D138" s="1" t="s">
        <v>74</v>
      </c>
      <c r="E138" s="1" t="s">
        <v>74</v>
      </c>
      <c r="F138" s="1" t="s">
        <v>1525</v>
      </c>
      <c r="G138" s="1" t="s">
        <v>74</v>
      </c>
      <c r="H138" s="1" t="s">
        <v>74</v>
      </c>
      <c r="I138" s="1" t="s">
        <v>1526</v>
      </c>
      <c r="J138" s="1" t="s">
        <v>1527</v>
      </c>
      <c r="K138" s="1" t="s">
        <v>74</v>
      </c>
      <c r="L138" s="1" t="s">
        <v>74</v>
      </c>
      <c r="M138" s="1" t="s">
        <v>74</v>
      </c>
      <c r="N138" s="1" t="s">
        <v>74</v>
      </c>
      <c r="O138" s="1" t="s">
        <v>74</v>
      </c>
      <c r="P138" s="1" t="s">
        <v>74</v>
      </c>
      <c r="Q138" s="1" t="s">
        <v>74</v>
      </c>
      <c r="R138" s="1" t="s">
        <v>74</v>
      </c>
      <c r="S138" s="1" t="s">
        <v>74</v>
      </c>
      <c r="T138" s="1" t="s">
        <v>74</v>
      </c>
      <c r="U138" s="1" t="s">
        <v>74</v>
      </c>
      <c r="V138" s="1" t="s">
        <v>1528</v>
      </c>
      <c r="W138" s="1" t="s">
        <v>74</v>
      </c>
      <c r="X138" s="1" t="s">
        <v>74</v>
      </c>
      <c r="Y138" s="1" t="s">
        <v>74</v>
      </c>
      <c r="Z138" s="1" t="s">
        <v>74</v>
      </c>
      <c r="AA138" s="1" t="s">
        <v>1529</v>
      </c>
      <c r="AB138" s="1" t="s">
        <v>74</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1530</v>
      </c>
      <c r="AP138" s="1" t="s">
        <v>1531</v>
      </c>
      <c r="AQ138" s="1" t="s">
        <v>74</v>
      </c>
      <c r="AR138" s="1" t="s">
        <v>74</v>
      </c>
      <c r="AS138" s="1" t="s">
        <v>74</v>
      </c>
      <c r="AT138" s="1" t="s">
        <v>1532</v>
      </c>
      <c r="AU138" s="1">
        <v>2008.0</v>
      </c>
      <c r="AV138" s="1">
        <v>68.0</v>
      </c>
      <c r="AW138" s="1">
        <v>6.0</v>
      </c>
      <c r="AX138" s="1" t="s">
        <v>74</v>
      </c>
      <c r="AY138" s="1" t="s">
        <v>74</v>
      </c>
      <c r="AZ138" s="1" t="s">
        <v>74</v>
      </c>
      <c r="BA138" s="1" t="s">
        <v>74</v>
      </c>
      <c r="BB138" s="1">
        <v>1765.0</v>
      </c>
      <c r="BC138" s="1">
        <v>1773.0</v>
      </c>
      <c r="BD138" s="1" t="s">
        <v>74</v>
      </c>
      <c r="BE138" s="1" t="s">
        <v>1533</v>
      </c>
      <c r="BF138" s="2" t="str">
        <f>HYPERLINK("http://dx.doi.org/10.1016/j.na.2007.01.001","http://dx.doi.org/10.1016/j.na.2007.01.001")</f>
        <v>http://dx.doi.org/10.1016/j.na.2007.01.001</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1534</v>
      </c>
      <c r="BT138" s="1" t="str">
        <f>HYPERLINK("https%3A%2F%2Fwww.webofscience.com%2Fwos%2Fwoscc%2Ffull-record%2FWOS:000253882100029","View Full Record in Web of Science")</f>
        <v>View Full Record in Web of Science</v>
      </c>
    </row>
    <row r="139" ht="12.75" customHeight="1">
      <c r="A139" s="1" t="s">
        <v>72</v>
      </c>
      <c r="B139" s="1" t="s">
        <v>1535</v>
      </c>
      <c r="C139" s="1" t="s">
        <v>74</v>
      </c>
      <c r="D139" s="1" t="s">
        <v>74</v>
      </c>
      <c r="E139" s="1" t="s">
        <v>74</v>
      </c>
      <c r="F139" s="1" t="s">
        <v>1536</v>
      </c>
      <c r="G139" s="1" t="s">
        <v>74</v>
      </c>
      <c r="H139" s="1" t="s">
        <v>74</v>
      </c>
      <c r="I139" s="1" t="s">
        <v>1537</v>
      </c>
      <c r="J139" s="1" t="s">
        <v>1538</v>
      </c>
      <c r="K139" s="1" t="s">
        <v>74</v>
      </c>
      <c r="L139" s="1" t="s">
        <v>74</v>
      </c>
      <c r="M139" s="1" t="s">
        <v>74</v>
      </c>
      <c r="N139" s="1" t="s">
        <v>74</v>
      </c>
      <c r="O139" s="1" t="s">
        <v>74</v>
      </c>
      <c r="P139" s="1" t="s">
        <v>74</v>
      </c>
      <c r="Q139" s="1" t="s">
        <v>74</v>
      </c>
      <c r="R139" s="1" t="s">
        <v>74</v>
      </c>
      <c r="S139" s="1" t="s">
        <v>74</v>
      </c>
      <c r="T139" s="1" t="s">
        <v>74</v>
      </c>
      <c r="U139" s="1" t="s">
        <v>74</v>
      </c>
      <c r="V139" s="1" t="s">
        <v>1539</v>
      </c>
      <c r="W139" s="1" t="s">
        <v>74</v>
      </c>
      <c r="X139" s="1" t="s">
        <v>74</v>
      </c>
      <c r="Y139" s="1" t="s">
        <v>74</v>
      </c>
      <c r="Z139" s="1" t="s">
        <v>74</v>
      </c>
      <c r="AA139" s="1" t="s">
        <v>1540</v>
      </c>
      <c r="AB139" s="1" t="s">
        <v>1541</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1542</v>
      </c>
      <c r="AP139" s="1" t="s">
        <v>74</v>
      </c>
      <c r="AQ139" s="1" t="s">
        <v>74</v>
      </c>
      <c r="AR139" s="1" t="s">
        <v>74</v>
      </c>
      <c r="AS139" s="1" t="s">
        <v>74</v>
      </c>
      <c r="AT139" s="1" t="s">
        <v>1543</v>
      </c>
      <c r="AU139" s="1">
        <v>2007.0</v>
      </c>
      <c r="AV139" s="1">
        <v>369.0</v>
      </c>
      <c r="AW139" s="1">
        <v>2.0</v>
      </c>
      <c r="AX139" s="1" t="s">
        <v>74</v>
      </c>
      <c r="AY139" s="1" t="s">
        <v>74</v>
      </c>
      <c r="AZ139" s="1" t="s">
        <v>74</v>
      </c>
      <c r="BA139" s="1" t="s">
        <v>74</v>
      </c>
      <c r="BB139" s="1">
        <v>389.0</v>
      </c>
      <c r="BC139" s="1">
        <v>399.0</v>
      </c>
      <c r="BD139" s="1" t="s">
        <v>74</v>
      </c>
      <c r="BE139" s="1" t="s">
        <v>1544</v>
      </c>
      <c r="BF139" s="2" t="str">
        <f>HYPERLINK("http://dx.doi.org/10.1016/j.virol.2007.07.029","http://dx.doi.org/10.1016/j.virol.2007.07.029")</f>
        <v>http://dx.doi.org/10.1016/j.virol.2007.07.029</v>
      </c>
      <c r="BG139" s="1" t="s">
        <v>74</v>
      </c>
      <c r="BH139" s="1" t="s">
        <v>74</v>
      </c>
      <c r="BI139" s="1" t="s">
        <v>74</v>
      </c>
      <c r="BJ139" s="1" t="s">
        <v>74</v>
      </c>
      <c r="BK139" s="1" t="s">
        <v>74</v>
      </c>
      <c r="BL139" s="1" t="s">
        <v>74</v>
      </c>
      <c r="BM139" s="1" t="s">
        <v>74</v>
      </c>
      <c r="BN139" s="1">
        <v>1.7825341E7</v>
      </c>
      <c r="BO139" s="1" t="s">
        <v>74</v>
      </c>
      <c r="BP139" s="1" t="s">
        <v>74</v>
      </c>
      <c r="BQ139" s="1" t="s">
        <v>74</v>
      </c>
      <c r="BR139" s="1" t="s">
        <v>74</v>
      </c>
      <c r="BS139" s="1" t="s">
        <v>1545</v>
      </c>
      <c r="BT139" s="1" t="str">
        <f>HYPERLINK("https%3A%2F%2Fwww.webofscience.com%2Fwos%2Fwoscc%2Ffull-record%2FWOS:000251263200015","View Full Record in Web of Science")</f>
        <v>View Full Record in Web of Science</v>
      </c>
    </row>
    <row r="140" ht="12.75" customHeight="1">
      <c r="A140" s="1" t="s">
        <v>380</v>
      </c>
      <c r="B140" s="1" t="s">
        <v>1546</v>
      </c>
      <c r="C140" s="1" t="s">
        <v>74</v>
      </c>
      <c r="D140" s="1" t="s">
        <v>1547</v>
      </c>
      <c r="E140" s="1" t="s">
        <v>74</v>
      </c>
      <c r="F140" s="1" t="s">
        <v>1548</v>
      </c>
      <c r="G140" s="1" t="s">
        <v>74</v>
      </c>
      <c r="H140" s="1" t="s">
        <v>74</v>
      </c>
      <c r="I140" s="1" t="s">
        <v>1549</v>
      </c>
      <c r="J140" s="1" t="s">
        <v>1550</v>
      </c>
      <c r="K140" s="1" t="s">
        <v>1551</v>
      </c>
      <c r="L140" s="1" t="s">
        <v>74</v>
      </c>
      <c r="M140" s="1" t="s">
        <v>74</v>
      </c>
      <c r="N140" s="1" t="s">
        <v>74</v>
      </c>
      <c r="O140" s="1" t="s">
        <v>74</v>
      </c>
      <c r="P140" s="1" t="s">
        <v>74</v>
      </c>
      <c r="Q140" s="1" t="s">
        <v>74</v>
      </c>
      <c r="R140" s="1" t="s">
        <v>74</v>
      </c>
      <c r="S140" s="1" t="s">
        <v>74</v>
      </c>
      <c r="T140" s="1" t="s">
        <v>74</v>
      </c>
      <c r="U140" s="1" t="s">
        <v>74</v>
      </c>
      <c r="V140" s="1" t="s">
        <v>74</v>
      </c>
      <c r="W140" s="1" t="s">
        <v>74</v>
      </c>
      <c r="X140" s="1" t="s">
        <v>74</v>
      </c>
      <c r="Y140" s="1" t="s">
        <v>74</v>
      </c>
      <c r="Z140" s="1" t="s">
        <v>74</v>
      </c>
      <c r="AA140" s="1" t="s">
        <v>74</v>
      </c>
      <c r="AB140" s="1" t="s">
        <v>74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74</v>
      </c>
      <c r="AP140" s="1" t="s">
        <v>74</v>
      </c>
      <c r="AQ140" s="1" t="s">
        <v>1552</v>
      </c>
      <c r="AR140" s="1" t="s">
        <v>74</v>
      </c>
      <c r="AS140" s="1" t="s">
        <v>74</v>
      </c>
      <c r="AT140" s="1" t="s">
        <v>74</v>
      </c>
      <c r="AU140" s="1">
        <v>2007.0</v>
      </c>
      <c r="AV140" s="1" t="s">
        <v>74</v>
      </c>
      <c r="AW140" s="1" t="s">
        <v>74</v>
      </c>
      <c r="AX140" s="1" t="s">
        <v>74</v>
      </c>
      <c r="AY140" s="1" t="s">
        <v>74</v>
      </c>
      <c r="AZ140" s="1" t="s">
        <v>74</v>
      </c>
      <c r="BA140" s="1" t="s">
        <v>74</v>
      </c>
      <c r="BB140" s="1">
        <v>378.0</v>
      </c>
      <c r="BC140" s="1">
        <v>424.0</v>
      </c>
      <c r="BD140" s="1" t="s">
        <v>74</v>
      </c>
      <c r="BE140" s="1" t="s">
        <v>74</v>
      </c>
      <c r="BF140" s="1" t="s">
        <v>74</v>
      </c>
      <c r="BG140" s="1" t="s">
        <v>1553</v>
      </c>
      <c r="BH140" s="1" t="s">
        <v>74</v>
      </c>
      <c r="BI140" s="1" t="s">
        <v>74</v>
      </c>
      <c r="BJ140" s="1" t="s">
        <v>74</v>
      </c>
      <c r="BK140" s="1" t="s">
        <v>74</v>
      </c>
      <c r="BL140" s="1" t="s">
        <v>74</v>
      </c>
      <c r="BM140" s="1" t="s">
        <v>74</v>
      </c>
      <c r="BN140" s="1" t="s">
        <v>74</v>
      </c>
      <c r="BO140" s="1" t="s">
        <v>74</v>
      </c>
      <c r="BP140" s="1" t="s">
        <v>74</v>
      </c>
      <c r="BQ140" s="1" t="s">
        <v>74</v>
      </c>
      <c r="BR140" s="1" t="s">
        <v>74</v>
      </c>
      <c r="BS140" s="1" t="s">
        <v>1554</v>
      </c>
      <c r="BT140" s="1" t="str">
        <f>HYPERLINK("https%3A%2F%2Fwww.webofscience.com%2Fwos%2Fwoscc%2Ffull-record%2FWOS:000282368000012","View Full Record in Web of Science")</f>
        <v>View Full Record in Web of Science</v>
      </c>
    </row>
    <row r="141" ht="12.75" customHeight="1">
      <c r="A141" s="1" t="s">
        <v>72</v>
      </c>
      <c r="B141" s="1" t="s">
        <v>1555</v>
      </c>
      <c r="C141" s="1" t="s">
        <v>74</v>
      </c>
      <c r="D141" s="1" t="s">
        <v>74</v>
      </c>
      <c r="E141" s="1" t="s">
        <v>74</v>
      </c>
      <c r="F141" s="1" t="s">
        <v>1555</v>
      </c>
      <c r="G141" s="1" t="s">
        <v>74</v>
      </c>
      <c r="H141" s="1" t="s">
        <v>74</v>
      </c>
      <c r="I141" s="1" t="s">
        <v>1556</v>
      </c>
      <c r="J141" s="1" t="s">
        <v>1557</v>
      </c>
      <c r="K141" s="1" t="s">
        <v>74</v>
      </c>
      <c r="L141" s="1" t="s">
        <v>74</v>
      </c>
      <c r="M141" s="1" t="s">
        <v>74</v>
      </c>
      <c r="N141" s="1" t="s">
        <v>74</v>
      </c>
      <c r="O141" s="1" t="s">
        <v>74</v>
      </c>
      <c r="P141" s="1" t="s">
        <v>74</v>
      </c>
      <c r="Q141" s="1" t="s">
        <v>74</v>
      </c>
      <c r="R141" s="1" t="s">
        <v>74</v>
      </c>
      <c r="S141" s="1" t="s">
        <v>74</v>
      </c>
      <c r="T141" s="1" t="s">
        <v>74</v>
      </c>
      <c r="U141" s="1" t="s">
        <v>74</v>
      </c>
      <c r="V141" s="1" t="s">
        <v>1558</v>
      </c>
      <c r="W141" s="1" t="s">
        <v>74</v>
      </c>
      <c r="X141" s="1" t="s">
        <v>74</v>
      </c>
      <c r="Y141" s="1" t="s">
        <v>74</v>
      </c>
      <c r="Z141" s="1" t="s">
        <v>74</v>
      </c>
      <c r="AA141" s="1" t="s">
        <v>1559</v>
      </c>
      <c r="AB141" s="1" t="s">
        <v>1560</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1561</v>
      </c>
      <c r="AP141" s="1" t="s">
        <v>1562</v>
      </c>
      <c r="AQ141" s="1" t="s">
        <v>74</v>
      </c>
      <c r="AR141" s="1" t="s">
        <v>74</v>
      </c>
      <c r="AS141" s="1" t="s">
        <v>74</v>
      </c>
      <c r="AT141" s="1" t="s">
        <v>1563</v>
      </c>
      <c r="AU141" s="1">
        <v>2003.0</v>
      </c>
      <c r="AV141" s="1">
        <v>225.0</v>
      </c>
      <c r="AW141" s="1">
        <v>2.0</v>
      </c>
      <c r="AX141" s="1" t="s">
        <v>74</v>
      </c>
      <c r="AY141" s="1" t="s">
        <v>74</v>
      </c>
      <c r="AZ141" s="1" t="s">
        <v>74</v>
      </c>
      <c r="BA141" s="1" t="s">
        <v>74</v>
      </c>
      <c r="BB141" s="1">
        <v>173.0</v>
      </c>
      <c r="BC141" s="1">
        <v>176.0</v>
      </c>
      <c r="BD141" s="1" t="s">
        <v>74</v>
      </c>
      <c r="BE141" s="1" t="s">
        <v>1564</v>
      </c>
      <c r="BF141" s="2" t="str">
        <f>HYPERLINK("http://dx.doi.org/10.1016/S0378-1097(03)00489-0","http://dx.doi.org/10.1016/S0378-1097(03)00489-0")</f>
        <v>http://dx.doi.org/10.1016/S0378-1097(03)00489-0</v>
      </c>
      <c r="BG141" s="1" t="s">
        <v>74</v>
      </c>
      <c r="BH141" s="1" t="s">
        <v>74</v>
      </c>
      <c r="BI141" s="1" t="s">
        <v>74</v>
      </c>
      <c r="BJ141" s="1" t="s">
        <v>74</v>
      </c>
      <c r="BK141" s="1" t="s">
        <v>74</v>
      </c>
      <c r="BL141" s="1" t="s">
        <v>74</v>
      </c>
      <c r="BM141" s="1" t="s">
        <v>74</v>
      </c>
      <c r="BN141" s="1">
        <v>1.2951237E7</v>
      </c>
      <c r="BO141" s="1" t="s">
        <v>74</v>
      </c>
      <c r="BP141" s="1" t="s">
        <v>74</v>
      </c>
      <c r="BQ141" s="1" t="s">
        <v>74</v>
      </c>
      <c r="BR141" s="1" t="s">
        <v>74</v>
      </c>
      <c r="BS141" s="1" t="s">
        <v>1565</v>
      </c>
      <c r="BT141" s="1" t="str">
        <f>HYPERLINK("https%3A%2F%2Fwww.webofscience.com%2Fwos%2Fwoscc%2Ffull-record%2FWOS:000185244400001","View Full Record in Web of Science")</f>
        <v>View Full Record in Web of Science</v>
      </c>
    </row>
    <row r="142" ht="12.75" customHeight="1">
      <c r="A142" s="1" t="s">
        <v>72</v>
      </c>
      <c r="B142" s="1" t="s">
        <v>1566</v>
      </c>
      <c r="C142" s="1" t="s">
        <v>74</v>
      </c>
      <c r="D142" s="1" t="s">
        <v>74</v>
      </c>
      <c r="E142" s="1" t="s">
        <v>74</v>
      </c>
      <c r="F142" s="1" t="s">
        <v>1566</v>
      </c>
      <c r="G142" s="1" t="s">
        <v>74</v>
      </c>
      <c r="H142" s="1" t="s">
        <v>74</v>
      </c>
      <c r="I142" s="1" t="s">
        <v>1567</v>
      </c>
      <c r="J142" s="1" t="s">
        <v>1568</v>
      </c>
      <c r="K142" s="1" t="s">
        <v>74</v>
      </c>
      <c r="L142" s="1" t="s">
        <v>74</v>
      </c>
      <c r="M142" s="1" t="s">
        <v>74</v>
      </c>
      <c r="N142" s="1" t="s">
        <v>74</v>
      </c>
      <c r="O142" s="1" t="s">
        <v>74</v>
      </c>
      <c r="P142" s="1" t="s">
        <v>74</v>
      </c>
      <c r="Q142" s="1" t="s">
        <v>74</v>
      </c>
      <c r="R142" s="1" t="s">
        <v>74</v>
      </c>
      <c r="S142" s="1" t="s">
        <v>74</v>
      </c>
      <c r="T142" s="1" t="s">
        <v>74</v>
      </c>
      <c r="U142" s="1" t="s">
        <v>74</v>
      </c>
      <c r="V142" s="1" t="s">
        <v>74</v>
      </c>
      <c r="W142" s="1" t="s">
        <v>74</v>
      </c>
      <c r="X142" s="1" t="s">
        <v>74</v>
      </c>
      <c r="Y142" s="1" t="s">
        <v>74</v>
      </c>
      <c r="Z142" s="1" t="s">
        <v>74</v>
      </c>
      <c r="AA142" s="1" t="s">
        <v>1569</v>
      </c>
      <c r="AB142" s="1" t="s">
        <v>1570</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1571</v>
      </c>
      <c r="AP142" s="1" t="s">
        <v>74</v>
      </c>
      <c r="AQ142" s="1" t="s">
        <v>74</v>
      </c>
      <c r="AR142" s="1" t="s">
        <v>74</v>
      </c>
      <c r="AS142" s="1" t="s">
        <v>74</v>
      </c>
      <c r="AT142" s="1" t="s">
        <v>647</v>
      </c>
      <c r="AU142" s="1">
        <v>2003.0</v>
      </c>
      <c r="AV142" s="1">
        <v>98.0</v>
      </c>
      <c r="AW142" s="1">
        <v>5.0</v>
      </c>
      <c r="AX142" s="1" t="s">
        <v>74</v>
      </c>
      <c r="AY142" s="1" t="s">
        <v>74</v>
      </c>
      <c r="AZ142" s="1" t="s">
        <v>74</v>
      </c>
      <c r="BA142" s="1" t="s">
        <v>74</v>
      </c>
      <c r="BB142" s="1">
        <v>1047.0</v>
      </c>
      <c r="BC142" s="1">
        <v>1049.0</v>
      </c>
      <c r="BD142" s="1" t="s">
        <v>74</v>
      </c>
      <c r="BE142" s="1" t="s">
        <v>1572</v>
      </c>
      <c r="BF142" s="2" t="str">
        <f>HYPERLINK("http://dx.doi.org/10.2113/98.5.1047","http://dx.doi.org/10.2113/98.5.1047")</f>
        <v>http://dx.doi.org/10.2113/98.5.1047</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1573</v>
      </c>
      <c r="BT142" s="1" t="str">
        <f>HYPERLINK("https%3A%2F%2Fwww.webofscience.com%2Fwos%2Fwoscc%2Ffull-record%2FWOS:000184588400012","View Full Record in Web of Science")</f>
        <v>View Full Record in Web of Science</v>
      </c>
    </row>
    <row r="143" ht="12.75" customHeight="1">
      <c r="A143" s="1" t="s">
        <v>72</v>
      </c>
      <c r="B143" s="1" t="s">
        <v>1574</v>
      </c>
      <c r="C143" s="1" t="s">
        <v>74</v>
      </c>
      <c r="D143" s="1" t="s">
        <v>74</v>
      </c>
      <c r="E143" s="1" t="s">
        <v>74</v>
      </c>
      <c r="F143" s="1" t="s">
        <v>1574</v>
      </c>
      <c r="G143" s="1" t="s">
        <v>74</v>
      </c>
      <c r="H143" s="1" t="s">
        <v>74</v>
      </c>
      <c r="I143" s="1" t="s">
        <v>1575</v>
      </c>
      <c r="J143" s="1" t="s">
        <v>1576</v>
      </c>
      <c r="K143" s="1" t="s">
        <v>74</v>
      </c>
      <c r="L143" s="1" t="s">
        <v>74</v>
      </c>
      <c r="M143" s="1" t="s">
        <v>74</v>
      </c>
      <c r="N143" s="1" t="s">
        <v>74</v>
      </c>
      <c r="O143" s="1" t="s">
        <v>74</v>
      </c>
      <c r="P143" s="1" t="s">
        <v>74</v>
      </c>
      <c r="Q143" s="1" t="s">
        <v>74</v>
      </c>
      <c r="R143" s="1" t="s">
        <v>74</v>
      </c>
      <c r="S143" s="1" t="s">
        <v>74</v>
      </c>
      <c r="T143" s="1" t="s">
        <v>74</v>
      </c>
      <c r="U143" s="1" t="s">
        <v>74</v>
      </c>
      <c r="V143" s="1" t="s">
        <v>1577</v>
      </c>
      <c r="W143" s="1" t="s">
        <v>74</v>
      </c>
      <c r="X143" s="1" t="s">
        <v>74</v>
      </c>
      <c r="Y143" s="1" t="s">
        <v>74</v>
      </c>
      <c r="Z143" s="1" t="s">
        <v>74</v>
      </c>
      <c r="AA143" s="1" t="s">
        <v>1578</v>
      </c>
      <c r="AB143" s="1" t="s">
        <v>1579</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1580</v>
      </c>
      <c r="AP143" s="1" t="s">
        <v>1581</v>
      </c>
      <c r="AQ143" s="1" t="s">
        <v>74</v>
      </c>
      <c r="AR143" s="1" t="s">
        <v>74</v>
      </c>
      <c r="AS143" s="1" t="s">
        <v>74</v>
      </c>
      <c r="AT143" s="1" t="s">
        <v>1582</v>
      </c>
      <c r="AU143" s="1">
        <v>2003.0</v>
      </c>
      <c r="AV143" s="1">
        <v>20.0</v>
      </c>
      <c r="AW143" s="1">
        <v>11.0</v>
      </c>
      <c r="AX143" s="1" t="s">
        <v>74</v>
      </c>
      <c r="AY143" s="1" t="s">
        <v>74</v>
      </c>
      <c r="AZ143" s="1" t="s">
        <v>74</v>
      </c>
      <c r="BA143" s="1" t="s">
        <v>74</v>
      </c>
      <c r="BB143" s="1">
        <v>2417.0</v>
      </c>
      <c r="BC143" s="1">
        <v>2427.0</v>
      </c>
      <c r="BD143" s="1" t="s">
        <v>1583</v>
      </c>
      <c r="BE143" s="1" t="s">
        <v>1584</v>
      </c>
      <c r="BF143" s="2" t="str">
        <f>HYPERLINK("http://dx.doi.org/10.1088/0264-9381/20/11/330","http://dx.doi.org/10.1088/0264-9381/20/11/330")</f>
        <v>http://dx.doi.org/10.1088/0264-9381/20/11/330</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1585</v>
      </c>
      <c r="BT143" s="1" t="str">
        <f>HYPERLINK("https%3A%2F%2Fwww.webofscience.com%2Fwos%2Fwoscc%2Ffull-record%2FWOS:000183668700034","View Full Record in Web of Science")</f>
        <v>View Full Record in Web of Science</v>
      </c>
    </row>
    <row r="144" ht="12.75" customHeight="1">
      <c r="A144" s="1" t="s">
        <v>72</v>
      </c>
      <c r="B144" s="1" t="s">
        <v>1586</v>
      </c>
      <c r="C144" s="1" t="s">
        <v>74</v>
      </c>
      <c r="D144" s="1" t="s">
        <v>74</v>
      </c>
      <c r="E144" s="1" t="s">
        <v>74</v>
      </c>
      <c r="F144" s="1" t="s">
        <v>1586</v>
      </c>
      <c r="G144" s="1" t="s">
        <v>74</v>
      </c>
      <c r="H144" s="1" t="s">
        <v>74</v>
      </c>
      <c r="I144" s="1" t="s">
        <v>1587</v>
      </c>
      <c r="J144" s="1" t="s">
        <v>1588</v>
      </c>
      <c r="K144" s="1" t="s">
        <v>74</v>
      </c>
      <c r="L144" s="1" t="s">
        <v>74</v>
      </c>
      <c r="M144" s="1" t="s">
        <v>74</v>
      </c>
      <c r="N144" s="1" t="s">
        <v>74</v>
      </c>
      <c r="O144" s="1" t="s">
        <v>74</v>
      </c>
      <c r="P144" s="1" t="s">
        <v>74</v>
      </c>
      <c r="Q144" s="1" t="s">
        <v>74</v>
      </c>
      <c r="R144" s="1" t="s">
        <v>74</v>
      </c>
      <c r="S144" s="1" t="s">
        <v>74</v>
      </c>
      <c r="T144" s="1" t="s">
        <v>74</v>
      </c>
      <c r="U144" s="1" t="s">
        <v>74</v>
      </c>
      <c r="V144" s="1" t="s">
        <v>1589</v>
      </c>
      <c r="W144" s="1" t="s">
        <v>74</v>
      </c>
      <c r="X144" s="1" t="s">
        <v>74</v>
      </c>
      <c r="Y144" s="1" t="s">
        <v>74</v>
      </c>
      <c r="Z144" s="1" t="s">
        <v>74</v>
      </c>
      <c r="AA144" s="1" t="s">
        <v>74</v>
      </c>
      <c r="AB144" s="1" t="s">
        <v>1590</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1591</v>
      </c>
      <c r="AP144" s="1" t="s">
        <v>1592</v>
      </c>
      <c r="AQ144" s="1" t="s">
        <v>74</v>
      </c>
      <c r="AR144" s="1" t="s">
        <v>74</v>
      </c>
      <c r="AS144" s="1" t="s">
        <v>74</v>
      </c>
      <c r="AT144" s="1" t="s">
        <v>232</v>
      </c>
      <c r="AU144" s="1">
        <v>2002.0</v>
      </c>
      <c r="AV144" s="1">
        <v>147.0</v>
      </c>
      <c r="AW144" s="1">
        <v>10.0</v>
      </c>
      <c r="AX144" s="1" t="s">
        <v>74</v>
      </c>
      <c r="AY144" s="1" t="s">
        <v>74</v>
      </c>
      <c r="AZ144" s="1" t="s">
        <v>74</v>
      </c>
      <c r="BA144" s="1" t="s">
        <v>74</v>
      </c>
      <c r="BB144" s="1">
        <v>1899.0</v>
      </c>
      <c r="BC144" s="1">
        <v>1911.0</v>
      </c>
      <c r="BD144" s="1" t="s">
        <v>74</v>
      </c>
      <c r="BE144" s="1" t="s">
        <v>1593</v>
      </c>
      <c r="BF144" s="2" t="str">
        <f>HYPERLINK("http://dx.doi.org/10.1007/s00705-002-0856-9","http://dx.doi.org/10.1007/s00705-002-0856-9")</f>
        <v>http://dx.doi.org/10.1007/s00705-002-0856-9</v>
      </c>
      <c r="BG144" s="1" t="s">
        <v>74</v>
      </c>
      <c r="BH144" s="1" t="s">
        <v>74</v>
      </c>
      <c r="BI144" s="1" t="s">
        <v>74</v>
      </c>
      <c r="BJ144" s="1" t="s">
        <v>74</v>
      </c>
      <c r="BK144" s="1" t="s">
        <v>74</v>
      </c>
      <c r="BL144" s="1" t="s">
        <v>74</v>
      </c>
      <c r="BM144" s="1" t="s">
        <v>74</v>
      </c>
      <c r="BN144" s="1">
        <v>1.2376752E7</v>
      </c>
      <c r="BO144" s="1" t="s">
        <v>74</v>
      </c>
      <c r="BP144" s="1" t="s">
        <v>74</v>
      </c>
      <c r="BQ144" s="1" t="s">
        <v>74</v>
      </c>
      <c r="BR144" s="1" t="s">
        <v>74</v>
      </c>
      <c r="BS144" s="1" t="s">
        <v>1594</v>
      </c>
      <c r="BT144" s="1" t="str">
        <f>HYPERLINK("https%3A%2F%2Fwww.webofscience.com%2Fwos%2Fwoscc%2Ffull-record%2FWOS:000178555600004","View Full Record in Web of Science")</f>
        <v>View Full Record in Web of Science</v>
      </c>
    </row>
    <row r="145" ht="12.75" customHeight="1">
      <c r="A145" s="1" t="s">
        <v>72</v>
      </c>
      <c r="B145" s="1" t="s">
        <v>1595</v>
      </c>
      <c r="C145" s="1" t="s">
        <v>74</v>
      </c>
      <c r="D145" s="1" t="s">
        <v>74</v>
      </c>
      <c r="E145" s="1" t="s">
        <v>74</v>
      </c>
      <c r="F145" s="1" t="s">
        <v>1595</v>
      </c>
      <c r="G145" s="1" t="s">
        <v>74</v>
      </c>
      <c r="H145" s="1" t="s">
        <v>74</v>
      </c>
      <c r="I145" s="1" t="s">
        <v>1596</v>
      </c>
      <c r="J145" s="1" t="s">
        <v>1597</v>
      </c>
      <c r="K145" s="1" t="s">
        <v>74</v>
      </c>
      <c r="L145" s="1" t="s">
        <v>74</v>
      </c>
      <c r="M145" s="1" t="s">
        <v>74</v>
      </c>
      <c r="N145" s="1" t="s">
        <v>74</v>
      </c>
      <c r="O145" s="1" t="s">
        <v>74</v>
      </c>
      <c r="P145" s="1" t="s">
        <v>74</v>
      </c>
      <c r="Q145" s="1" t="s">
        <v>74</v>
      </c>
      <c r="R145" s="1" t="s">
        <v>74</v>
      </c>
      <c r="S145" s="1" t="s">
        <v>74</v>
      </c>
      <c r="T145" s="1" t="s">
        <v>74</v>
      </c>
      <c r="U145" s="1" t="s">
        <v>74</v>
      </c>
      <c r="V145" s="1" t="s">
        <v>1598</v>
      </c>
      <c r="W145" s="1" t="s">
        <v>74</v>
      </c>
      <c r="X145" s="1" t="s">
        <v>74</v>
      </c>
      <c r="Y145" s="1" t="s">
        <v>74</v>
      </c>
      <c r="Z145" s="1" t="s">
        <v>74</v>
      </c>
      <c r="AA145" s="1" t="s">
        <v>1599</v>
      </c>
      <c r="AB145" s="1" t="s">
        <v>1600</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1601</v>
      </c>
      <c r="AP145" s="1" t="s">
        <v>1602</v>
      </c>
      <c r="AQ145" s="1" t="s">
        <v>74</v>
      </c>
      <c r="AR145" s="1" t="s">
        <v>74</v>
      </c>
      <c r="AS145" s="1" t="s">
        <v>74</v>
      </c>
      <c r="AT145" s="1" t="s">
        <v>1603</v>
      </c>
      <c r="AU145" s="1">
        <v>2002.0</v>
      </c>
      <c r="AV145" s="1">
        <v>17.0</v>
      </c>
      <c r="AW145" s="1">
        <v>29.0</v>
      </c>
      <c r="AX145" s="1" t="s">
        <v>74</v>
      </c>
      <c r="AY145" s="1" t="s">
        <v>74</v>
      </c>
      <c r="AZ145" s="1" t="s">
        <v>74</v>
      </c>
      <c r="BA145" s="1" t="s">
        <v>74</v>
      </c>
      <c r="BB145" s="1">
        <v>1923.0</v>
      </c>
      <c r="BC145" s="1">
        <v>1936.0</v>
      </c>
      <c r="BD145" s="1" t="s">
        <v>74</v>
      </c>
      <c r="BE145" s="1" t="s">
        <v>1604</v>
      </c>
      <c r="BF145" s="2" t="str">
        <f>HYPERLINK("http://dx.doi.org/10.1142/S0217732302008496","http://dx.doi.org/10.1142/S0217732302008496")</f>
        <v>http://dx.doi.org/10.1142/S0217732302008496</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1605</v>
      </c>
      <c r="BT145" s="1" t="str">
        <f>HYPERLINK("https%3A%2F%2Fwww.webofscience.com%2Fwos%2Fwoscc%2Ffull-record%2FWOS:000179122600005","View Full Record in Web of Science")</f>
        <v>View Full Record in Web of Science</v>
      </c>
    </row>
    <row r="146" ht="12.75" customHeight="1">
      <c r="A146" s="1" t="s">
        <v>72</v>
      </c>
      <c r="B146" s="1" t="s">
        <v>1606</v>
      </c>
      <c r="C146" s="1" t="s">
        <v>74</v>
      </c>
      <c r="D146" s="1" t="s">
        <v>74</v>
      </c>
      <c r="E146" s="1" t="s">
        <v>74</v>
      </c>
      <c r="F146" s="1" t="s">
        <v>1606</v>
      </c>
      <c r="G146" s="1" t="s">
        <v>74</v>
      </c>
      <c r="H146" s="1" t="s">
        <v>74</v>
      </c>
      <c r="I146" s="1" t="s">
        <v>1607</v>
      </c>
      <c r="J146" s="1" t="s">
        <v>1608</v>
      </c>
      <c r="K146" s="1" t="s">
        <v>74</v>
      </c>
      <c r="L146" s="1" t="s">
        <v>74</v>
      </c>
      <c r="M146" s="1" t="s">
        <v>74</v>
      </c>
      <c r="N146" s="1" t="s">
        <v>74</v>
      </c>
      <c r="O146" s="1" t="s">
        <v>74</v>
      </c>
      <c r="P146" s="1" t="s">
        <v>74</v>
      </c>
      <c r="Q146" s="1" t="s">
        <v>74</v>
      </c>
      <c r="R146" s="1" t="s">
        <v>74</v>
      </c>
      <c r="S146" s="1" t="s">
        <v>74</v>
      </c>
      <c r="T146" s="1" t="s">
        <v>74</v>
      </c>
      <c r="U146" s="1" t="s">
        <v>74</v>
      </c>
      <c r="V146" s="1" t="s">
        <v>1609</v>
      </c>
      <c r="W146" s="1" t="s">
        <v>74</v>
      </c>
      <c r="X146" s="1" t="s">
        <v>74</v>
      </c>
      <c r="Y146" s="1" t="s">
        <v>74</v>
      </c>
      <c r="Z146" s="1" t="s">
        <v>74</v>
      </c>
      <c r="AA146" s="1" t="s">
        <v>1610</v>
      </c>
      <c r="AB146" s="1" t="s">
        <v>1611</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1612</v>
      </c>
      <c r="AP146" s="1" t="s">
        <v>1613</v>
      </c>
      <c r="AQ146" s="1" t="s">
        <v>74</v>
      </c>
      <c r="AR146" s="1" t="s">
        <v>74</v>
      </c>
      <c r="AS146" s="1" t="s">
        <v>74</v>
      </c>
      <c r="AT146" s="1" t="s">
        <v>647</v>
      </c>
      <c r="AU146" s="1">
        <v>1999.0</v>
      </c>
      <c r="AV146" s="1">
        <v>8.0</v>
      </c>
      <c r="AW146" s="1">
        <v>4.0</v>
      </c>
      <c r="AX146" s="1" t="s">
        <v>74</v>
      </c>
      <c r="AY146" s="1" t="s">
        <v>74</v>
      </c>
      <c r="AZ146" s="1" t="s">
        <v>74</v>
      </c>
      <c r="BA146" s="1" t="s">
        <v>74</v>
      </c>
      <c r="BB146" s="1">
        <v>311.0</v>
      </c>
      <c r="BC146" s="1">
        <v>320.0</v>
      </c>
      <c r="BD146" s="1" t="s">
        <v>74</v>
      </c>
      <c r="BE146" s="1" t="s">
        <v>1614</v>
      </c>
      <c r="BF146" s="2" t="str">
        <f>HYPERLINK("http://dx.doi.org/10.1023/A:1008937417598","http://dx.doi.org/10.1023/A:1008937417598")</f>
        <v>http://dx.doi.org/10.1023/A:1008937417598</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1615</v>
      </c>
      <c r="BT146" s="1" t="str">
        <f>HYPERLINK("https%3A%2F%2Fwww.webofscience.com%2Fwos%2Fwoscc%2Ffull-record%2FWOS:000083596800007","View Full Record in Web of Science")</f>
        <v>View Full Record in Web of Science</v>
      </c>
    </row>
    <row r="147" ht="12.75" customHeight="1">
      <c r="A147" s="1" t="s">
        <v>72</v>
      </c>
      <c r="B147" s="1" t="s">
        <v>1616</v>
      </c>
      <c r="C147" s="1" t="s">
        <v>74</v>
      </c>
      <c r="D147" s="1" t="s">
        <v>74</v>
      </c>
      <c r="E147" s="1" t="s">
        <v>74</v>
      </c>
      <c r="F147" s="1" t="s">
        <v>1616</v>
      </c>
      <c r="G147" s="1" t="s">
        <v>74</v>
      </c>
      <c r="H147" s="1" t="s">
        <v>74</v>
      </c>
      <c r="I147" s="1" t="s">
        <v>1617</v>
      </c>
      <c r="J147" s="1" t="s">
        <v>1618</v>
      </c>
      <c r="K147" s="1" t="s">
        <v>74</v>
      </c>
      <c r="L147" s="1" t="s">
        <v>74</v>
      </c>
      <c r="M147" s="1" t="s">
        <v>74</v>
      </c>
      <c r="N147" s="1" t="s">
        <v>74</v>
      </c>
      <c r="O147" s="1" t="s">
        <v>74</v>
      </c>
      <c r="P147" s="1" t="s">
        <v>74</v>
      </c>
      <c r="Q147" s="1" t="s">
        <v>74</v>
      </c>
      <c r="R147" s="1" t="s">
        <v>74</v>
      </c>
      <c r="S147" s="1" t="s">
        <v>74</v>
      </c>
      <c r="T147" s="1" t="s">
        <v>74</v>
      </c>
      <c r="U147" s="1" t="s">
        <v>74</v>
      </c>
      <c r="V147" s="1" t="s">
        <v>1619</v>
      </c>
      <c r="W147" s="1" t="s">
        <v>74</v>
      </c>
      <c r="X147" s="1" t="s">
        <v>74</v>
      </c>
      <c r="Y147" s="1" t="s">
        <v>74</v>
      </c>
      <c r="Z147" s="1" t="s">
        <v>74</v>
      </c>
      <c r="AA147" s="1" t="s">
        <v>74</v>
      </c>
      <c r="AB147" s="1" t="s">
        <v>74</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1620</v>
      </c>
      <c r="AP147" s="1" t="s">
        <v>1621</v>
      </c>
      <c r="AQ147" s="1" t="s">
        <v>74</v>
      </c>
      <c r="AR147" s="1" t="s">
        <v>74</v>
      </c>
      <c r="AS147" s="1" t="s">
        <v>74</v>
      </c>
      <c r="AT147" s="1" t="s">
        <v>74</v>
      </c>
      <c r="AU147" s="1">
        <v>1998.0</v>
      </c>
      <c r="AV147" s="1">
        <v>50.0</v>
      </c>
      <c r="AW147" s="1" t="s">
        <v>1222</v>
      </c>
      <c r="AX147" s="1" t="s">
        <v>74</v>
      </c>
      <c r="AY147" s="1" t="s">
        <v>74</v>
      </c>
      <c r="AZ147" s="1" t="s">
        <v>74</v>
      </c>
      <c r="BA147" s="1" t="s">
        <v>74</v>
      </c>
      <c r="BB147" s="1">
        <v>183.0</v>
      </c>
      <c r="BC147" s="1">
        <v>185.0</v>
      </c>
      <c r="BD147" s="1" t="s">
        <v>74</v>
      </c>
      <c r="BE147" s="1" t="s">
        <v>1622</v>
      </c>
      <c r="BF147" s="2" t="str">
        <f>HYPERLINK("http://dx.doi.org/10.1023/A:1019043824814","http://dx.doi.org/10.1023/A:1019043824814")</f>
        <v>http://dx.doi.org/10.1023/A:1019043824814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1623</v>
      </c>
      <c r="BT147" s="1" t="str">
        <f>HYPERLINK("https%3A%2F%2Fwww.webofscience.com%2Fwos%2Fwoscc%2Ffull-record%2FWOS:000072847300013","View Full Record in Web of Science")</f>
        <v>View Full Record in Web of Science</v>
      </c>
    </row>
    <row r="148" ht="12.75" customHeight="1">
      <c r="A148" s="1" t="s">
        <v>72</v>
      </c>
      <c r="B148" s="1" t="s">
        <v>1624</v>
      </c>
      <c r="C148" s="1" t="s">
        <v>74</v>
      </c>
      <c r="D148" s="1" t="s">
        <v>74</v>
      </c>
      <c r="E148" s="1" t="s">
        <v>74</v>
      </c>
      <c r="F148" s="1" t="s">
        <v>1624</v>
      </c>
      <c r="G148" s="1" t="s">
        <v>74</v>
      </c>
      <c r="H148" s="1" t="s">
        <v>74</v>
      </c>
      <c r="I148" s="1" t="s">
        <v>1625</v>
      </c>
      <c r="J148" s="1" t="s">
        <v>1626</v>
      </c>
      <c r="K148" s="1" t="s">
        <v>74</v>
      </c>
      <c r="L148" s="1" t="s">
        <v>74</v>
      </c>
      <c r="M148" s="1" t="s">
        <v>74</v>
      </c>
      <c r="N148" s="1" t="s">
        <v>74</v>
      </c>
      <c r="O148" s="1" t="s">
        <v>74</v>
      </c>
      <c r="P148" s="1" t="s">
        <v>74</v>
      </c>
      <c r="Q148" s="1" t="s">
        <v>74</v>
      </c>
      <c r="R148" s="1" t="s">
        <v>74</v>
      </c>
      <c r="S148" s="1" t="s">
        <v>74</v>
      </c>
      <c r="T148" s="1" t="s">
        <v>74</v>
      </c>
      <c r="U148" s="1" t="s">
        <v>74</v>
      </c>
      <c r="V148" s="1" t="s">
        <v>1627</v>
      </c>
      <c r="W148" s="1" t="s">
        <v>74</v>
      </c>
      <c r="X148" s="1" t="s">
        <v>74</v>
      </c>
      <c r="Y148" s="1" t="s">
        <v>74</v>
      </c>
      <c r="Z148" s="1" t="s">
        <v>74</v>
      </c>
      <c r="AA148" s="1" t="s">
        <v>74</v>
      </c>
      <c r="AB148" s="1" t="s">
        <v>74</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1628</v>
      </c>
      <c r="AP148" s="1" t="s">
        <v>74</v>
      </c>
      <c r="AQ148" s="1" t="s">
        <v>74</v>
      </c>
      <c r="AR148" s="1" t="s">
        <v>74</v>
      </c>
      <c r="AS148" s="1" t="s">
        <v>74</v>
      </c>
      <c r="AT148" s="1" t="s">
        <v>461</v>
      </c>
      <c r="AU148" s="1">
        <v>1996.0</v>
      </c>
      <c r="AV148" s="1">
        <v>108.0</v>
      </c>
      <c r="AW148" s="1">
        <v>1.0</v>
      </c>
      <c r="AX148" s="1" t="s">
        <v>74</v>
      </c>
      <c r="AY148" s="1" t="s">
        <v>74</v>
      </c>
      <c r="AZ148" s="1" t="s">
        <v>74</v>
      </c>
      <c r="BA148" s="1" t="s">
        <v>74</v>
      </c>
      <c r="BB148" s="1">
        <v>69.0</v>
      </c>
      <c r="BC148" s="1">
        <v>74.0</v>
      </c>
      <c r="BD148" s="1" t="s">
        <v>74</v>
      </c>
      <c r="BE148" s="1" t="s">
        <v>74</v>
      </c>
      <c r="BF148" s="1" t="s">
        <v>74</v>
      </c>
      <c r="BG148" s="1" t="s">
        <v>74</v>
      </c>
      <c r="BH148" s="1" t="s">
        <v>74</v>
      </c>
      <c r="BI148" s="1" t="s">
        <v>74</v>
      </c>
      <c r="BJ148" s="1" t="s">
        <v>74</v>
      </c>
      <c r="BK148" s="1" t="s">
        <v>74</v>
      </c>
      <c r="BL148" s="1" t="s">
        <v>74</v>
      </c>
      <c r="BM148" s="1" t="s">
        <v>74</v>
      </c>
      <c r="BN148" s="1">
        <v>8958830.0</v>
      </c>
      <c r="BO148" s="1" t="s">
        <v>74</v>
      </c>
      <c r="BP148" s="1" t="s">
        <v>74</v>
      </c>
      <c r="BQ148" s="1" t="s">
        <v>74</v>
      </c>
      <c r="BR148" s="1" t="s">
        <v>74</v>
      </c>
      <c r="BS148" s="1" t="s">
        <v>1629</v>
      </c>
      <c r="BT148" s="1" t="str">
        <f>HYPERLINK("https%3A%2F%2Fwww.webofscience.com%2Fwos%2Fwoscc%2Ffull-record%2FWOS:A1996VT28500010","View Full Record in Web of Science")</f>
        <v>View Full Record in Web of Science</v>
      </c>
    </row>
    <row r="149" ht="12.75" customHeight="1">
      <c r="A149" s="1" t="s">
        <v>72</v>
      </c>
      <c r="B149" s="1" t="s">
        <v>1630</v>
      </c>
      <c r="C149" s="1" t="s">
        <v>74</v>
      </c>
      <c r="D149" s="1" t="s">
        <v>74</v>
      </c>
      <c r="E149" s="1" t="s">
        <v>74</v>
      </c>
      <c r="F149" s="1" t="s">
        <v>1630</v>
      </c>
      <c r="G149" s="1" t="s">
        <v>74</v>
      </c>
      <c r="H149" s="1" t="s">
        <v>74</v>
      </c>
      <c r="I149" s="1" t="s">
        <v>1631</v>
      </c>
      <c r="J149" s="1" t="s">
        <v>1632</v>
      </c>
      <c r="K149" s="1" t="s">
        <v>74</v>
      </c>
      <c r="L149" s="1" t="s">
        <v>74</v>
      </c>
      <c r="M149" s="1" t="s">
        <v>74</v>
      </c>
      <c r="N149" s="1" t="s">
        <v>74</v>
      </c>
      <c r="O149" s="1" t="s">
        <v>74</v>
      </c>
      <c r="P149" s="1" t="s">
        <v>74</v>
      </c>
      <c r="Q149" s="1" t="s">
        <v>74</v>
      </c>
      <c r="R149" s="1" t="s">
        <v>74</v>
      </c>
      <c r="S149" s="1" t="s">
        <v>74</v>
      </c>
      <c r="T149" s="1" t="s">
        <v>74</v>
      </c>
      <c r="U149" s="1" t="s">
        <v>74</v>
      </c>
      <c r="V149" s="1" t="s">
        <v>74</v>
      </c>
      <c r="W149" s="1" t="s">
        <v>74</v>
      </c>
      <c r="X149" s="1" t="s">
        <v>74</v>
      </c>
      <c r="Y149" s="1" t="s">
        <v>74</v>
      </c>
      <c r="Z149" s="1" t="s">
        <v>74</v>
      </c>
      <c r="AA149" s="1" t="s">
        <v>74</v>
      </c>
      <c r="AB149" s="1" t="s">
        <v>74</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1633</v>
      </c>
      <c r="AP149" s="1" t="s">
        <v>74</v>
      </c>
      <c r="AQ149" s="1" t="s">
        <v>74</v>
      </c>
      <c r="AR149" s="1" t="s">
        <v>74</v>
      </c>
      <c r="AS149" s="1" t="s">
        <v>74</v>
      </c>
      <c r="AT149" s="1" t="s">
        <v>74</v>
      </c>
      <c r="AU149" s="1">
        <v>1991.0</v>
      </c>
      <c r="AV149" s="1">
        <v>14.0</v>
      </c>
      <c r="AW149" s="1">
        <v>4.0</v>
      </c>
      <c r="AX149" s="1" t="s">
        <v>74</v>
      </c>
      <c r="AY149" s="1" t="s">
        <v>74</v>
      </c>
      <c r="AZ149" s="1" t="s">
        <v>74</v>
      </c>
      <c r="BA149" s="1" t="s">
        <v>74</v>
      </c>
      <c r="BB149" s="1">
        <v>263.0</v>
      </c>
      <c r="BC149" s="1">
        <v>270.0</v>
      </c>
      <c r="BD149" s="1" t="s">
        <v>74</v>
      </c>
      <c r="BE149" s="1" t="s">
        <v>1634</v>
      </c>
      <c r="BF149" s="2" t="str">
        <f>HYPERLINK("http://dx.doi.org/10.3109/10715769109088955","http://dx.doi.org/10.3109/10715769109088955")</f>
        <v>http://dx.doi.org/10.3109/10715769109088955</v>
      </c>
      <c r="BG149" s="1" t="s">
        <v>74</v>
      </c>
      <c r="BH149" s="1" t="s">
        <v>74</v>
      </c>
      <c r="BI149" s="1" t="s">
        <v>74</v>
      </c>
      <c r="BJ149" s="1" t="s">
        <v>74</v>
      </c>
      <c r="BK149" s="1" t="s">
        <v>74</v>
      </c>
      <c r="BL149" s="1" t="s">
        <v>74</v>
      </c>
      <c r="BM149" s="1" t="s">
        <v>74</v>
      </c>
      <c r="BN149" s="1">
        <v>1651887.0</v>
      </c>
      <c r="BO149" s="1" t="s">
        <v>74</v>
      </c>
      <c r="BP149" s="1" t="s">
        <v>74</v>
      </c>
      <c r="BQ149" s="1" t="s">
        <v>74</v>
      </c>
      <c r="BR149" s="1" t="s">
        <v>74</v>
      </c>
      <c r="BS149" s="1" t="s">
        <v>1635</v>
      </c>
      <c r="BT149" s="1" t="str">
        <f>HYPERLINK("https%3A%2F%2Fwww.webofscience.com%2Fwos%2Fwoscc%2Ffull-record%2FWOS:A1991FR30300004","View Full Record in Web of Science")</f>
        <v>View Full Record in Web of Science</v>
      </c>
    </row>
    <row r="150" ht="12.75" customHeight="1">
      <c r="A150" s="1" t="s">
        <v>72</v>
      </c>
      <c r="B150" s="1" t="s">
        <v>1636</v>
      </c>
      <c r="C150" s="1" t="s">
        <v>74</v>
      </c>
      <c r="D150" s="1" t="s">
        <v>74</v>
      </c>
      <c r="E150" s="1" t="s">
        <v>74</v>
      </c>
      <c r="F150" s="1" t="s">
        <v>1637</v>
      </c>
      <c r="G150" s="1" t="s">
        <v>74</v>
      </c>
      <c r="H150" s="1" t="s">
        <v>74</v>
      </c>
      <c r="I150" s="1" t="s">
        <v>1638</v>
      </c>
      <c r="J150" s="1" t="s">
        <v>1639</v>
      </c>
      <c r="K150" s="1" t="s">
        <v>74</v>
      </c>
      <c r="L150" s="1" t="s">
        <v>74</v>
      </c>
      <c r="M150" s="1" t="s">
        <v>74</v>
      </c>
      <c r="N150" s="1" t="s">
        <v>74</v>
      </c>
      <c r="O150" s="1" t="s">
        <v>74</v>
      </c>
      <c r="P150" s="1" t="s">
        <v>74</v>
      </c>
      <c r="Q150" s="1" t="s">
        <v>74</v>
      </c>
      <c r="R150" s="1" t="s">
        <v>74</v>
      </c>
      <c r="S150" s="1" t="s">
        <v>74</v>
      </c>
      <c r="T150" s="1" t="s">
        <v>74</v>
      </c>
      <c r="U150" s="1" t="s">
        <v>74</v>
      </c>
      <c r="V150" s="1" t="s">
        <v>1640</v>
      </c>
      <c r="W150" s="1" t="s">
        <v>74</v>
      </c>
      <c r="X150" s="1" t="s">
        <v>74</v>
      </c>
      <c r="Y150" s="1" t="s">
        <v>74</v>
      </c>
      <c r="Z150" s="1" t="s">
        <v>74</v>
      </c>
      <c r="AA150" s="1" t="s">
        <v>1641</v>
      </c>
      <c r="AB150" s="1" t="s">
        <v>1642</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1643</v>
      </c>
      <c r="AP150" s="1" t="s">
        <v>1644</v>
      </c>
      <c r="AQ150" s="1" t="s">
        <v>74</v>
      </c>
      <c r="AR150" s="1" t="s">
        <v>74</v>
      </c>
      <c r="AS150" s="1" t="s">
        <v>74</v>
      </c>
      <c r="AT150" s="1" t="s">
        <v>95</v>
      </c>
      <c r="AU150" s="1">
        <v>2024.0</v>
      </c>
      <c r="AV150" s="1">
        <v>176.0</v>
      </c>
      <c r="AW150" s="1" t="s">
        <v>74</v>
      </c>
      <c r="AX150" s="1" t="s">
        <v>74</v>
      </c>
      <c r="AY150" s="1" t="s">
        <v>74</v>
      </c>
      <c r="AZ150" s="1" t="s">
        <v>74</v>
      </c>
      <c r="BA150" s="1" t="s">
        <v>74</v>
      </c>
      <c r="BB150" s="1" t="s">
        <v>74</v>
      </c>
      <c r="BC150" s="1" t="s">
        <v>74</v>
      </c>
      <c r="BD150" s="1">
        <v>111547.0</v>
      </c>
      <c r="BE150" s="1" t="s">
        <v>1645</v>
      </c>
      <c r="BF150" s="2" t="str">
        <f>HYPERLINK("http://dx.doi.org/10.1016/j.jclinepi.2024.111547","http://dx.doi.org/10.1016/j.jclinepi.2024.111547")</f>
        <v>http://dx.doi.org/10.1016/j.jclinepi.2024.111547</v>
      </c>
      <c r="BG150" s="1" t="s">
        <v>74</v>
      </c>
      <c r="BH150" s="1" t="s">
        <v>1646</v>
      </c>
      <c r="BI150" s="1" t="s">
        <v>74</v>
      </c>
      <c r="BJ150" s="1" t="s">
        <v>74</v>
      </c>
      <c r="BK150" s="1" t="s">
        <v>74</v>
      </c>
      <c r="BL150" s="1" t="s">
        <v>74</v>
      </c>
      <c r="BM150" s="1" t="s">
        <v>74</v>
      </c>
      <c r="BN150" s="1">
        <v>3.9357662E7</v>
      </c>
      <c r="BO150" s="1" t="s">
        <v>74</v>
      </c>
      <c r="BP150" s="1" t="s">
        <v>74</v>
      </c>
      <c r="BQ150" s="1" t="s">
        <v>74</v>
      </c>
      <c r="BR150" s="1" t="s">
        <v>74</v>
      </c>
      <c r="BS150" s="1" t="s">
        <v>1647</v>
      </c>
      <c r="BT150" s="1" t="str">
        <f>HYPERLINK("https%3A%2F%2Fwww.webofscience.com%2Fwos%2Fwoscc%2Ffull-record%2FWOS:001343626300001","View Full Record in Web of Science")</f>
        <v>View Full Record in Web of Science</v>
      </c>
    </row>
    <row r="151" ht="12.75" customHeight="1">
      <c r="A151" s="1" t="s">
        <v>72</v>
      </c>
      <c r="B151" s="1" t="s">
        <v>1648</v>
      </c>
      <c r="C151" s="1" t="s">
        <v>74</v>
      </c>
      <c r="D151" s="1" t="s">
        <v>74</v>
      </c>
      <c r="E151" s="1" t="s">
        <v>74</v>
      </c>
      <c r="F151" s="1" t="s">
        <v>1649</v>
      </c>
      <c r="G151" s="1" t="s">
        <v>74</v>
      </c>
      <c r="H151" s="1" t="s">
        <v>74</v>
      </c>
      <c r="I151" s="1" t="s">
        <v>1650</v>
      </c>
      <c r="J151" s="1" t="s">
        <v>1651</v>
      </c>
      <c r="K151" s="1" t="s">
        <v>74</v>
      </c>
      <c r="L151" s="1" t="s">
        <v>74</v>
      </c>
      <c r="M151" s="1" t="s">
        <v>74</v>
      </c>
      <c r="N151" s="1" t="s">
        <v>74</v>
      </c>
      <c r="O151" s="1" t="s">
        <v>74</v>
      </c>
      <c r="P151" s="1" t="s">
        <v>74</v>
      </c>
      <c r="Q151" s="1" t="s">
        <v>74</v>
      </c>
      <c r="R151" s="1" t="s">
        <v>74</v>
      </c>
      <c r="S151" s="1" t="s">
        <v>74</v>
      </c>
      <c r="T151" s="1" t="s">
        <v>74</v>
      </c>
      <c r="U151" s="1" t="s">
        <v>74</v>
      </c>
      <c r="V151" s="1" t="s">
        <v>1652</v>
      </c>
      <c r="W151" s="1" t="s">
        <v>74</v>
      </c>
      <c r="X151" s="1" t="s">
        <v>74</v>
      </c>
      <c r="Y151" s="1" t="s">
        <v>74</v>
      </c>
      <c r="Z151" s="1" t="s">
        <v>74</v>
      </c>
      <c r="AA151" s="1" t="s">
        <v>1653</v>
      </c>
      <c r="AB151" s="1" t="s">
        <v>1654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1655</v>
      </c>
      <c r="AP151" s="1" t="s">
        <v>1656</v>
      </c>
      <c r="AQ151" s="1" t="s">
        <v>74</v>
      </c>
      <c r="AR151" s="1" t="s">
        <v>74</v>
      </c>
      <c r="AS151" s="1" t="s">
        <v>74</v>
      </c>
      <c r="AT151" s="1" t="s">
        <v>164</v>
      </c>
      <c r="AU151" s="1">
        <v>2023.0</v>
      </c>
      <c r="AV151" s="1">
        <v>22.0</v>
      </c>
      <c r="AW151" s="1" t="s">
        <v>74</v>
      </c>
      <c r="AX151" s="1" t="s">
        <v>74</v>
      </c>
      <c r="AY151" s="1" t="s">
        <v>74</v>
      </c>
      <c r="AZ151" s="1" t="s">
        <v>74</v>
      </c>
      <c r="BA151" s="1" t="s">
        <v>74</v>
      </c>
      <c r="BB151" s="1" t="s">
        <v>74</v>
      </c>
      <c r="BC151" s="1" t="s">
        <v>74</v>
      </c>
      <c r="BD151" s="1">
        <v>100792.0</v>
      </c>
      <c r="BE151" s="1" t="s">
        <v>1657</v>
      </c>
      <c r="BF151" s="2" t="str">
        <f>HYPERLINK("http://dx.doi.org/10.1016/j.iot.2023.100792","http://dx.doi.org/10.1016/j.iot.2023.100792")</f>
        <v>http://dx.doi.org/10.1016/j.iot.2023.100792</v>
      </c>
      <c r="BG151" s="1" t="s">
        <v>74</v>
      </c>
      <c r="BH151" s="1" t="s">
        <v>1658</v>
      </c>
      <c r="BI151" s="1" t="s">
        <v>74</v>
      </c>
      <c r="BJ151" s="1" t="s">
        <v>74</v>
      </c>
      <c r="BK151" s="1" t="s">
        <v>74</v>
      </c>
      <c r="BL151" s="1" t="s">
        <v>74</v>
      </c>
      <c r="BM151" s="1" t="s">
        <v>74</v>
      </c>
      <c r="BN151" s="1" t="s">
        <v>74</v>
      </c>
      <c r="BO151" s="1" t="s">
        <v>74</v>
      </c>
      <c r="BP151" s="1" t="s">
        <v>74</v>
      </c>
      <c r="BQ151" s="1" t="s">
        <v>74</v>
      </c>
      <c r="BR151" s="1" t="s">
        <v>74</v>
      </c>
      <c r="BS151" s="1" t="s">
        <v>1659</v>
      </c>
      <c r="BT151" s="1" t="str">
        <f>HYPERLINK("https%3A%2F%2Fwww.webofscience.com%2Fwos%2Fwoscc%2Ffull-record%2FWOS:001053195800001","View Full Record in Web of Science")</f>
        <v>View Full Record in Web of Science</v>
      </c>
    </row>
    <row r="152" ht="12.75" customHeight="1">
      <c r="A152" s="1" t="s">
        <v>72</v>
      </c>
      <c r="B152" s="1" t="s">
        <v>1660</v>
      </c>
      <c r="C152" s="1" t="s">
        <v>74</v>
      </c>
      <c r="D152" s="1" t="s">
        <v>74</v>
      </c>
      <c r="E152" s="1" t="s">
        <v>74</v>
      </c>
      <c r="F152" s="1" t="s">
        <v>1661</v>
      </c>
      <c r="G152" s="1" t="s">
        <v>74</v>
      </c>
      <c r="H152" s="1" t="s">
        <v>74</v>
      </c>
      <c r="I152" s="1" t="s">
        <v>1662</v>
      </c>
      <c r="J152" s="1" t="s">
        <v>1663</v>
      </c>
      <c r="K152" s="1" t="s">
        <v>74</v>
      </c>
      <c r="L152" s="1" t="s">
        <v>74</v>
      </c>
      <c r="M152" s="1" t="s">
        <v>74</v>
      </c>
      <c r="N152" s="1" t="s">
        <v>74</v>
      </c>
      <c r="O152" s="1" t="s">
        <v>74</v>
      </c>
      <c r="P152" s="1" t="s">
        <v>74</v>
      </c>
      <c r="Q152" s="1" t="s">
        <v>74</v>
      </c>
      <c r="R152" s="1" t="s">
        <v>74</v>
      </c>
      <c r="S152" s="1" t="s">
        <v>74</v>
      </c>
      <c r="T152" s="1" t="s">
        <v>74</v>
      </c>
      <c r="U152" s="1" t="s">
        <v>74</v>
      </c>
      <c r="V152" s="1" t="s">
        <v>1664</v>
      </c>
      <c r="W152" s="1" t="s">
        <v>74</v>
      </c>
      <c r="X152" s="1" t="s">
        <v>74</v>
      </c>
      <c r="Y152" s="1" t="s">
        <v>74</v>
      </c>
      <c r="Z152" s="1" t="s">
        <v>74</v>
      </c>
      <c r="AA152" s="1" t="s">
        <v>537</v>
      </c>
      <c r="AB152" s="1" t="s">
        <v>1665</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1666</v>
      </c>
      <c r="AP152" s="1" t="s">
        <v>1667</v>
      </c>
      <c r="AQ152" s="1" t="s">
        <v>74</v>
      </c>
      <c r="AR152" s="1" t="s">
        <v>74</v>
      </c>
      <c r="AS152" s="1" t="s">
        <v>74</v>
      </c>
      <c r="AT152" s="1" t="s">
        <v>1668</v>
      </c>
      <c r="AU152" s="1">
        <v>2023.0</v>
      </c>
      <c r="AV152" s="1">
        <v>27.0</v>
      </c>
      <c r="AW152" s="1">
        <v>8.0</v>
      </c>
      <c r="AX152" s="1" t="s">
        <v>74</v>
      </c>
      <c r="AY152" s="1" t="s">
        <v>74</v>
      </c>
      <c r="AZ152" s="1" t="s">
        <v>74</v>
      </c>
      <c r="BA152" s="1" t="s">
        <v>74</v>
      </c>
      <c r="BB152" s="1">
        <v>1534.0</v>
      </c>
      <c r="BC152" s="1">
        <v>1543.0</v>
      </c>
      <c r="BD152" s="1" t="s">
        <v>74</v>
      </c>
      <c r="BE152" s="1" t="s">
        <v>1669</v>
      </c>
      <c r="BF152" s="2" t="str">
        <f>HYPERLINK("http://dx.doi.org/10.1080/13607863.2023.2188170","http://dx.doi.org/10.1080/13607863.2023.2188170")</f>
        <v>http://dx.doi.org/10.1080/13607863.2023.2188170</v>
      </c>
      <c r="BG152" s="1" t="s">
        <v>74</v>
      </c>
      <c r="BH152" s="1" t="s">
        <v>1670</v>
      </c>
      <c r="BI152" s="1" t="s">
        <v>74</v>
      </c>
      <c r="BJ152" s="1" t="s">
        <v>74</v>
      </c>
      <c r="BK152" s="1" t="s">
        <v>74</v>
      </c>
      <c r="BL152" s="1" t="s">
        <v>74</v>
      </c>
      <c r="BM152" s="1" t="s">
        <v>74</v>
      </c>
      <c r="BN152" s="1">
        <v>3.6907589E7</v>
      </c>
      <c r="BO152" s="1" t="s">
        <v>74</v>
      </c>
      <c r="BP152" s="1" t="s">
        <v>74</v>
      </c>
      <c r="BQ152" s="1" t="s">
        <v>74</v>
      </c>
      <c r="BR152" s="1" t="s">
        <v>74</v>
      </c>
      <c r="BS152" s="1" t="s">
        <v>1671</v>
      </c>
      <c r="BT152" s="1" t="str">
        <f>HYPERLINK("https%3A%2F%2Fwww.webofscience.com%2Fwos%2Fwoscc%2Ffull-record%2FWOS:000947114700001","View Full Record in Web of Science")</f>
        <v>View Full Record in Web of Science</v>
      </c>
    </row>
    <row r="153" ht="12.75" customHeight="1">
      <c r="A153" s="1" t="s">
        <v>72</v>
      </c>
      <c r="B153" s="1" t="s">
        <v>1672</v>
      </c>
      <c r="C153" s="1" t="s">
        <v>74</v>
      </c>
      <c r="D153" s="1" t="s">
        <v>74</v>
      </c>
      <c r="E153" s="1" t="s">
        <v>74</v>
      </c>
      <c r="F153" s="1" t="s">
        <v>1673</v>
      </c>
      <c r="G153" s="1" t="s">
        <v>74</v>
      </c>
      <c r="H153" s="1" t="s">
        <v>74</v>
      </c>
      <c r="I153" s="1" t="s">
        <v>1674</v>
      </c>
      <c r="J153" s="1" t="s">
        <v>1675</v>
      </c>
      <c r="K153" s="1" t="s">
        <v>74</v>
      </c>
      <c r="L153" s="1" t="s">
        <v>74</v>
      </c>
      <c r="M153" s="1" t="s">
        <v>74</v>
      </c>
      <c r="N153" s="1" t="s">
        <v>74</v>
      </c>
      <c r="O153" s="1" t="s">
        <v>74</v>
      </c>
      <c r="P153" s="1" t="s">
        <v>74</v>
      </c>
      <c r="Q153" s="1" t="s">
        <v>74</v>
      </c>
      <c r="R153" s="1" t="s">
        <v>74</v>
      </c>
      <c r="S153" s="1" t="s">
        <v>74</v>
      </c>
      <c r="T153" s="1" t="s">
        <v>74</v>
      </c>
      <c r="U153" s="1" t="s">
        <v>74</v>
      </c>
      <c r="V153" s="1" t="s">
        <v>74</v>
      </c>
      <c r="W153" s="1" t="s">
        <v>74</v>
      </c>
      <c r="X153" s="1" t="s">
        <v>74</v>
      </c>
      <c r="Y153" s="1" t="s">
        <v>74</v>
      </c>
      <c r="Z153" s="1" t="s">
        <v>74</v>
      </c>
      <c r="AA153" s="1" t="s">
        <v>74</v>
      </c>
      <c r="AB153" s="1" t="s">
        <v>1676</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1677</v>
      </c>
      <c r="AP153" s="1" t="s">
        <v>1678</v>
      </c>
      <c r="AQ153" s="1" t="s">
        <v>74</v>
      </c>
      <c r="AR153" s="1" t="s">
        <v>74</v>
      </c>
      <c r="AS153" s="1" t="s">
        <v>74</v>
      </c>
      <c r="AT153" s="1" t="s">
        <v>1679</v>
      </c>
      <c r="AU153" s="1">
        <v>2022.0</v>
      </c>
      <c r="AV153" s="1">
        <v>97.0</v>
      </c>
      <c r="AW153" s="1">
        <v>6.0</v>
      </c>
      <c r="AX153" s="1" t="s">
        <v>74</v>
      </c>
      <c r="AY153" s="1" t="s">
        <v>74</v>
      </c>
      <c r="AZ153" s="1" t="s">
        <v>74</v>
      </c>
      <c r="BA153" s="1" t="s">
        <v>74</v>
      </c>
      <c r="BB153" s="1">
        <v>827.0</v>
      </c>
      <c r="BC153" s="1">
        <v>829.0</v>
      </c>
      <c r="BD153" s="1" t="s">
        <v>74</v>
      </c>
      <c r="BE153" s="1" t="s">
        <v>1680</v>
      </c>
      <c r="BF153" s="2" t="str">
        <f>HYPERLINK("http://dx.doi.org/10.1016/j.abd.2020.12.019","http://dx.doi.org/10.1016/j.abd.2020.12.019")</f>
        <v>http://dx.doi.org/10.1016/j.abd.2020.12.019</v>
      </c>
      <c r="BG153" s="1" t="s">
        <v>74</v>
      </c>
      <c r="BH153" s="1" t="s">
        <v>948</v>
      </c>
      <c r="BI153" s="1" t="s">
        <v>74</v>
      </c>
      <c r="BJ153" s="1" t="s">
        <v>74</v>
      </c>
      <c r="BK153" s="1" t="s">
        <v>74</v>
      </c>
      <c r="BL153" s="1" t="s">
        <v>74</v>
      </c>
      <c r="BM153" s="1" t="s">
        <v>74</v>
      </c>
      <c r="BN153" s="1">
        <v>3.6088186E7</v>
      </c>
      <c r="BO153" s="1" t="s">
        <v>74</v>
      </c>
      <c r="BP153" s="1" t="s">
        <v>74</v>
      </c>
      <c r="BQ153" s="1" t="s">
        <v>74</v>
      </c>
      <c r="BR153" s="1" t="s">
        <v>74</v>
      </c>
      <c r="BS153" s="1" t="s">
        <v>1681</v>
      </c>
      <c r="BT153" s="1" t="str">
        <f>HYPERLINK("https%3A%2F%2Fwww.webofscience.com%2Fwos%2Fwoscc%2Ffull-record%2FWOS:000886837700001","View Full Record in Web of Science")</f>
        <v>View Full Record in Web of Science</v>
      </c>
    </row>
    <row r="154" ht="12.75" customHeight="1">
      <c r="A154" s="1" t="s">
        <v>72</v>
      </c>
      <c r="B154" s="1" t="s">
        <v>1682</v>
      </c>
      <c r="C154" s="1" t="s">
        <v>74</v>
      </c>
      <c r="D154" s="1" t="s">
        <v>74</v>
      </c>
      <c r="E154" s="1" t="s">
        <v>74</v>
      </c>
      <c r="F154" s="1" t="s">
        <v>1683</v>
      </c>
      <c r="G154" s="1" t="s">
        <v>74</v>
      </c>
      <c r="H154" s="1" t="s">
        <v>74</v>
      </c>
      <c r="I154" s="1" t="s">
        <v>1684</v>
      </c>
      <c r="J154" s="1" t="s">
        <v>1685</v>
      </c>
      <c r="K154" s="1" t="s">
        <v>74</v>
      </c>
      <c r="L154" s="1" t="s">
        <v>74</v>
      </c>
      <c r="M154" s="1" t="s">
        <v>74</v>
      </c>
      <c r="N154" s="1" t="s">
        <v>74</v>
      </c>
      <c r="O154" s="1" t="s">
        <v>74</v>
      </c>
      <c r="P154" s="1" t="s">
        <v>74</v>
      </c>
      <c r="Q154" s="1" t="s">
        <v>74</v>
      </c>
      <c r="R154" s="1" t="s">
        <v>74</v>
      </c>
      <c r="S154" s="1" t="s">
        <v>74</v>
      </c>
      <c r="T154" s="1" t="s">
        <v>74</v>
      </c>
      <c r="U154" s="1" t="s">
        <v>74</v>
      </c>
      <c r="V154" s="1" t="s">
        <v>1686</v>
      </c>
      <c r="W154" s="1" t="s">
        <v>74</v>
      </c>
      <c r="X154" s="1" t="s">
        <v>74</v>
      </c>
      <c r="Y154" s="1" t="s">
        <v>74</v>
      </c>
      <c r="Z154" s="1" t="s">
        <v>74</v>
      </c>
      <c r="AA154" s="1" t="s">
        <v>1687</v>
      </c>
      <c r="AB154" s="1" t="s">
        <v>1688</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1689</v>
      </c>
      <c r="AP154" s="1" t="s">
        <v>74</v>
      </c>
      <c r="AQ154" s="1" t="s">
        <v>74</v>
      </c>
      <c r="AR154" s="1" t="s">
        <v>74</v>
      </c>
      <c r="AS154" s="1" t="s">
        <v>74</v>
      </c>
      <c r="AT154" s="1" t="s">
        <v>1690</v>
      </c>
      <c r="AU154" s="1">
        <v>2022.0</v>
      </c>
      <c r="AV154" s="1">
        <v>12.0</v>
      </c>
      <c r="AW154" s="1">
        <v>20.0</v>
      </c>
      <c r="AX154" s="1" t="s">
        <v>74</v>
      </c>
      <c r="AY154" s="1" t="s">
        <v>74</v>
      </c>
      <c r="AZ154" s="1" t="s">
        <v>74</v>
      </c>
      <c r="BA154" s="1" t="s">
        <v>74</v>
      </c>
      <c r="BB154" s="1">
        <v>12786.0</v>
      </c>
      <c r="BC154" s="1">
        <v>12799.0</v>
      </c>
      <c r="BD154" s="1" t="s">
        <v>74</v>
      </c>
      <c r="BE154" s="1" t="s">
        <v>1691</v>
      </c>
      <c r="BF154" s="2" t="str">
        <f>HYPERLINK("http://dx.doi.org/10.1021/acscatal.2c03298","http://dx.doi.org/10.1021/acscatal.2c03298")</f>
        <v>http://dx.doi.org/10.1021/acscatal.2c03298</v>
      </c>
      <c r="BG154" s="1" t="s">
        <v>74</v>
      </c>
      <c r="BH154" s="1" t="s">
        <v>948</v>
      </c>
      <c r="BI154" s="1" t="s">
        <v>74</v>
      </c>
      <c r="BJ154" s="1" t="s">
        <v>74</v>
      </c>
      <c r="BK154" s="1" t="s">
        <v>74</v>
      </c>
      <c r="BL154" s="1" t="s">
        <v>74</v>
      </c>
      <c r="BM154" s="1" t="s">
        <v>74</v>
      </c>
      <c r="BN154" s="1" t="s">
        <v>74</v>
      </c>
      <c r="BO154" s="1" t="s">
        <v>74</v>
      </c>
      <c r="BP154" s="1" t="s">
        <v>74</v>
      </c>
      <c r="BQ154" s="1" t="s">
        <v>74</v>
      </c>
      <c r="BR154" s="1" t="s">
        <v>74</v>
      </c>
      <c r="BS154" s="1" t="s">
        <v>1692</v>
      </c>
      <c r="BT154" s="1" t="str">
        <f>HYPERLINK("https%3A%2F%2Fwww.webofscience.com%2Fwos%2Fwoscc%2Ffull-record%2FWOS:000869454800001","View Full Record in Web of Science")</f>
        <v>View Full Record in Web of Science</v>
      </c>
    </row>
    <row r="155" ht="12.75" customHeight="1">
      <c r="A155" s="1" t="s">
        <v>72</v>
      </c>
      <c r="B155" s="1" t="s">
        <v>1693</v>
      </c>
      <c r="C155" s="1" t="s">
        <v>74</v>
      </c>
      <c r="D155" s="1" t="s">
        <v>74</v>
      </c>
      <c r="E155" s="1" t="s">
        <v>74</v>
      </c>
      <c r="F155" s="1" t="s">
        <v>1694</v>
      </c>
      <c r="G155" s="1" t="s">
        <v>74</v>
      </c>
      <c r="H155" s="1" t="s">
        <v>74</v>
      </c>
      <c r="I155" s="1" t="s">
        <v>1695</v>
      </c>
      <c r="J155" s="1" t="s">
        <v>1696</v>
      </c>
      <c r="K155" s="1" t="s">
        <v>74</v>
      </c>
      <c r="L155" s="1" t="s">
        <v>74</v>
      </c>
      <c r="M155" s="1" t="s">
        <v>74</v>
      </c>
      <c r="N155" s="1" t="s">
        <v>74</v>
      </c>
      <c r="O155" s="1" t="s">
        <v>74</v>
      </c>
      <c r="P155" s="1" t="s">
        <v>74</v>
      </c>
      <c r="Q155" s="1" t="s">
        <v>74</v>
      </c>
      <c r="R155" s="1" t="s">
        <v>74</v>
      </c>
      <c r="S155" s="1" t="s">
        <v>74</v>
      </c>
      <c r="T155" s="1" t="s">
        <v>74</v>
      </c>
      <c r="U155" s="1" t="s">
        <v>74</v>
      </c>
      <c r="V155" s="1" t="s">
        <v>1697</v>
      </c>
      <c r="W155" s="1" t="s">
        <v>74</v>
      </c>
      <c r="X155" s="1" t="s">
        <v>74</v>
      </c>
      <c r="Y155" s="1" t="s">
        <v>74</v>
      </c>
      <c r="Z155" s="1" t="s">
        <v>74</v>
      </c>
      <c r="AA155" s="1" t="s">
        <v>1698</v>
      </c>
      <c r="AB155" s="1" t="s">
        <v>1699</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1700</v>
      </c>
      <c r="AP155" s="1" t="s">
        <v>74</v>
      </c>
      <c r="AQ155" s="1" t="s">
        <v>74</v>
      </c>
      <c r="AR155" s="1" t="s">
        <v>74</v>
      </c>
      <c r="AS155" s="1" t="s">
        <v>74</v>
      </c>
      <c r="AT155" s="1" t="s">
        <v>1690</v>
      </c>
      <c r="AU155" s="1">
        <v>2021.0</v>
      </c>
      <c r="AV155" s="1">
        <v>11.0</v>
      </c>
      <c r="AW155" s="1">
        <v>1.0</v>
      </c>
      <c r="AX155" s="1" t="s">
        <v>74</v>
      </c>
      <c r="AY155" s="1" t="s">
        <v>74</v>
      </c>
      <c r="AZ155" s="1" t="s">
        <v>74</v>
      </c>
      <c r="BA155" s="1" t="s">
        <v>74</v>
      </c>
      <c r="BB155" s="1" t="s">
        <v>74</v>
      </c>
      <c r="BC155" s="1" t="s">
        <v>74</v>
      </c>
      <c r="BD155" s="1">
        <v>20811.0</v>
      </c>
      <c r="BE155" s="1" t="s">
        <v>1701</v>
      </c>
      <c r="BF155" s="2" t="str">
        <f>HYPERLINK("http://dx.doi.org/10.1038/s41598-021-00165-1","http://dx.doi.org/10.1038/s41598-021-00165-1")</f>
        <v>http://dx.doi.org/10.1038/s41598-021-00165-1</v>
      </c>
      <c r="BG155" s="1" t="s">
        <v>74</v>
      </c>
      <c r="BH155" s="1" t="s">
        <v>74</v>
      </c>
      <c r="BI155" s="1" t="s">
        <v>74</v>
      </c>
      <c r="BJ155" s="1" t="s">
        <v>74</v>
      </c>
      <c r="BK155" s="1" t="s">
        <v>74</v>
      </c>
      <c r="BL155" s="1" t="s">
        <v>74</v>
      </c>
      <c r="BM155" s="1" t="s">
        <v>74</v>
      </c>
      <c r="BN155" s="1">
        <v>3.4675243E7</v>
      </c>
      <c r="BO155" s="1" t="s">
        <v>74</v>
      </c>
      <c r="BP155" s="1" t="s">
        <v>74</v>
      </c>
      <c r="BQ155" s="1" t="s">
        <v>74</v>
      </c>
      <c r="BR155" s="1" t="s">
        <v>74</v>
      </c>
      <c r="BS155" s="1" t="s">
        <v>1702</v>
      </c>
      <c r="BT155" s="1" t="str">
        <f>HYPERLINK("https%3A%2F%2Fwww.webofscience.com%2Fwos%2Fwoscc%2Ffull-record%2FWOS:000709931300069","View Full Record in Web of Science")</f>
        <v>View Full Record in Web of Science</v>
      </c>
    </row>
    <row r="156" ht="12.75" customHeight="1">
      <c r="A156" s="1" t="s">
        <v>72</v>
      </c>
      <c r="B156" s="1" t="s">
        <v>1703</v>
      </c>
      <c r="C156" s="1" t="s">
        <v>74</v>
      </c>
      <c r="D156" s="1" t="s">
        <v>74</v>
      </c>
      <c r="E156" s="1" t="s">
        <v>74</v>
      </c>
      <c r="F156" s="1" t="s">
        <v>1704</v>
      </c>
      <c r="G156" s="1" t="s">
        <v>74</v>
      </c>
      <c r="H156" s="1" t="s">
        <v>74</v>
      </c>
      <c r="I156" s="1" t="s">
        <v>1705</v>
      </c>
      <c r="J156" s="1" t="s">
        <v>1706</v>
      </c>
      <c r="K156" s="1" t="s">
        <v>74</v>
      </c>
      <c r="L156" s="1" t="s">
        <v>74</v>
      </c>
      <c r="M156" s="1" t="s">
        <v>74</v>
      </c>
      <c r="N156" s="1" t="s">
        <v>74</v>
      </c>
      <c r="O156" s="1" t="s">
        <v>74</v>
      </c>
      <c r="P156" s="1" t="s">
        <v>74</v>
      </c>
      <c r="Q156" s="1" t="s">
        <v>74</v>
      </c>
      <c r="R156" s="1" t="s">
        <v>74</v>
      </c>
      <c r="S156" s="1" t="s">
        <v>74</v>
      </c>
      <c r="T156" s="1" t="s">
        <v>74</v>
      </c>
      <c r="U156" s="1" t="s">
        <v>74</v>
      </c>
      <c r="V156" s="1" t="s">
        <v>1707</v>
      </c>
      <c r="W156" s="1" t="s">
        <v>74</v>
      </c>
      <c r="X156" s="1" t="s">
        <v>74</v>
      </c>
      <c r="Y156" s="1" t="s">
        <v>74</v>
      </c>
      <c r="Z156" s="1" t="s">
        <v>74</v>
      </c>
      <c r="AA156" s="1" t="s">
        <v>1708</v>
      </c>
      <c r="AB156" s="1" t="s">
        <v>1709</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1710</v>
      </c>
      <c r="AP156" s="1" t="s">
        <v>74</v>
      </c>
      <c r="AQ156" s="1" t="s">
        <v>74</v>
      </c>
      <c r="AR156" s="1" t="s">
        <v>74</v>
      </c>
      <c r="AS156" s="1" t="s">
        <v>74</v>
      </c>
      <c r="AT156" s="1" t="s">
        <v>1711</v>
      </c>
      <c r="AU156" s="1">
        <v>2021.0</v>
      </c>
      <c r="AV156" s="1">
        <v>37.0</v>
      </c>
      <c r="AW156" s="1">
        <v>161.0</v>
      </c>
      <c r="AX156" s="1" t="s">
        <v>74</v>
      </c>
      <c r="AY156" s="1" t="s">
        <v>74</v>
      </c>
      <c r="AZ156" s="1" t="s">
        <v>74</v>
      </c>
      <c r="BA156" s="1" t="s">
        <v>74</v>
      </c>
      <c r="BB156" s="1">
        <v>647.0</v>
      </c>
      <c r="BC156" s="1">
        <v>656.0</v>
      </c>
      <c r="BD156" s="1" t="s">
        <v>74</v>
      </c>
      <c r="BE156" s="1" t="s">
        <v>1712</v>
      </c>
      <c r="BF156" s="2" t="str">
        <f>HYPERLINK("http://dx.doi.org/10.18046/j.estger.2021.161.4309","http://dx.doi.org/10.18046/j.estger.2021.161.4309")</f>
        <v>http://dx.doi.org/10.18046/j.estger.2021.161.4309</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1713</v>
      </c>
      <c r="BT156" s="1" t="str">
        <f>HYPERLINK("https%3A%2F%2Fwww.webofscience.com%2Fwos%2Fwoscc%2Ffull-record%2FWOS:000710829300012","View Full Record in Web of Science")</f>
        <v>View Full Record in Web of Science</v>
      </c>
    </row>
    <row r="157" ht="12.75" customHeight="1">
      <c r="A157" s="1" t="s">
        <v>72</v>
      </c>
      <c r="B157" s="1" t="s">
        <v>1714</v>
      </c>
      <c r="C157" s="1" t="s">
        <v>74</v>
      </c>
      <c r="D157" s="1" t="s">
        <v>74</v>
      </c>
      <c r="E157" s="1" t="s">
        <v>74</v>
      </c>
      <c r="F157" s="1" t="s">
        <v>1715</v>
      </c>
      <c r="G157" s="1" t="s">
        <v>74</v>
      </c>
      <c r="H157" s="1" t="s">
        <v>74</v>
      </c>
      <c r="I157" s="1" t="s">
        <v>1716</v>
      </c>
      <c r="J157" s="1" t="s">
        <v>535</v>
      </c>
      <c r="K157" s="1" t="s">
        <v>74</v>
      </c>
      <c r="L157" s="1" t="s">
        <v>74</v>
      </c>
      <c r="M157" s="1" t="s">
        <v>74</v>
      </c>
      <c r="N157" s="1" t="s">
        <v>74</v>
      </c>
      <c r="O157" s="1" t="s">
        <v>74</v>
      </c>
      <c r="P157" s="1" t="s">
        <v>74</v>
      </c>
      <c r="Q157" s="1" t="s">
        <v>74</v>
      </c>
      <c r="R157" s="1" t="s">
        <v>74</v>
      </c>
      <c r="S157" s="1" t="s">
        <v>74</v>
      </c>
      <c r="T157" s="1" t="s">
        <v>74</v>
      </c>
      <c r="U157" s="1" t="s">
        <v>74</v>
      </c>
      <c r="V157" s="1" t="s">
        <v>1717</v>
      </c>
      <c r="W157" s="1" t="s">
        <v>74</v>
      </c>
      <c r="X157" s="1" t="s">
        <v>74</v>
      </c>
      <c r="Y157" s="1" t="s">
        <v>74</v>
      </c>
      <c r="Z157" s="1" t="s">
        <v>74</v>
      </c>
      <c r="AA157" s="1" t="s">
        <v>537</v>
      </c>
      <c r="AB157" s="1" t="s">
        <v>1718</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539</v>
      </c>
      <c r="AP157" s="1" t="s">
        <v>540</v>
      </c>
      <c r="AQ157" s="1" t="s">
        <v>74</v>
      </c>
      <c r="AR157" s="1" t="s">
        <v>74</v>
      </c>
      <c r="AS157" s="1" t="s">
        <v>74</v>
      </c>
      <c r="AT157" s="1" t="s">
        <v>461</v>
      </c>
      <c r="AU157" s="1">
        <v>2021.0</v>
      </c>
      <c r="AV157" s="1">
        <v>76.0</v>
      </c>
      <c r="AW157" s="1">
        <v>7.0</v>
      </c>
      <c r="AX157" s="1" t="s">
        <v>74</v>
      </c>
      <c r="AY157" s="1" t="s">
        <v>74</v>
      </c>
      <c r="AZ157" s="1" t="s">
        <v>74</v>
      </c>
      <c r="BA157" s="1" t="s">
        <v>74</v>
      </c>
      <c r="BB157" s="1" t="s">
        <v>1719</v>
      </c>
      <c r="BC157" s="1" t="s">
        <v>1720</v>
      </c>
      <c r="BD157" s="1" t="s">
        <v>74</v>
      </c>
      <c r="BE157" s="1" t="s">
        <v>1721</v>
      </c>
      <c r="BF157" s="2" t="str">
        <f>HYPERLINK("http://dx.doi.org/10.1093/geronb/gbaa092","http://dx.doi.org/10.1093/geronb/gbaa092")</f>
        <v>http://dx.doi.org/10.1093/geronb/gbaa092</v>
      </c>
      <c r="BG157" s="1" t="s">
        <v>74</v>
      </c>
      <c r="BH157" s="1" t="s">
        <v>74</v>
      </c>
      <c r="BI157" s="1" t="s">
        <v>74</v>
      </c>
      <c r="BJ157" s="1" t="s">
        <v>74</v>
      </c>
      <c r="BK157" s="1" t="s">
        <v>74</v>
      </c>
      <c r="BL157" s="1" t="s">
        <v>74</v>
      </c>
      <c r="BM157" s="1" t="s">
        <v>74</v>
      </c>
      <c r="BN157" s="1">
        <v>3.2735013E7</v>
      </c>
      <c r="BO157" s="1" t="s">
        <v>74</v>
      </c>
      <c r="BP157" s="1" t="s">
        <v>74</v>
      </c>
      <c r="BQ157" s="1" t="s">
        <v>74</v>
      </c>
      <c r="BR157" s="1" t="s">
        <v>74</v>
      </c>
      <c r="BS157" s="1" t="s">
        <v>1722</v>
      </c>
      <c r="BT157" s="1" t="str">
        <f>HYPERLINK("https%3A%2F%2Fwww.webofscience.com%2Fwos%2Fwoscc%2Ffull-record%2FWOS:000710985300006","View Full Record in Web of Science")</f>
        <v>View Full Record in Web of Science</v>
      </c>
    </row>
    <row r="158" ht="12.75" customHeight="1">
      <c r="A158" s="1" t="s">
        <v>72</v>
      </c>
      <c r="B158" s="1" t="s">
        <v>1723</v>
      </c>
      <c r="C158" s="1" t="s">
        <v>74</v>
      </c>
      <c r="D158" s="1" t="s">
        <v>74</v>
      </c>
      <c r="E158" s="1" t="s">
        <v>74</v>
      </c>
      <c r="F158" s="1" t="s">
        <v>1724</v>
      </c>
      <c r="G158" s="1" t="s">
        <v>74</v>
      </c>
      <c r="H158" s="1" t="s">
        <v>74</v>
      </c>
      <c r="I158" s="1" t="s">
        <v>1725</v>
      </c>
      <c r="J158" s="1" t="s">
        <v>1017</v>
      </c>
      <c r="K158" s="1" t="s">
        <v>74</v>
      </c>
      <c r="L158" s="1" t="s">
        <v>74</v>
      </c>
      <c r="M158" s="1" t="s">
        <v>74</v>
      </c>
      <c r="N158" s="1" t="s">
        <v>74</v>
      </c>
      <c r="O158" s="1" t="s">
        <v>74</v>
      </c>
      <c r="P158" s="1" t="s">
        <v>74</v>
      </c>
      <c r="Q158" s="1" t="s">
        <v>74</v>
      </c>
      <c r="R158" s="1" t="s">
        <v>74</v>
      </c>
      <c r="S158" s="1" t="s">
        <v>74</v>
      </c>
      <c r="T158" s="1" t="s">
        <v>74</v>
      </c>
      <c r="U158" s="1" t="s">
        <v>74</v>
      </c>
      <c r="V158" s="1" t="s">
        <v>1726</v>
      </c>
      <c r="W158" s="1" t="s">
        <v>74</v>
      </c>
      <c r="X158" s="1" t="s">
        <v>74</v>
      </c>
      <c r="Y158" s="1" t="s">
        <v>74</v>
      </c>
      <c r="Z158" s="1" t="s">
        <v>74</v>
      </c>
      <c r="AA158" s="1" t="s">
        <v>1727</v>
      </c>
      <c r="AB158" s="1" t="s">
        <v>1728</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1019</v>
      </c>
      <c r="AP158" s="1" t="s">
        <v>74</v>
      </c>
      <c r="AQ158" s="1" t="s">
        <v>74</v>
      </c>
      <c r="AR158" s="1" t="s">
        <v>74</v>
      </c>
      <c r="AS158" s="1" t="s">
        <v>74</v>
      </c>
      <c r="AT158" s="1" t="s">
        <v>1729</v>
      </c>
      <c r="AU158" s="1">
        <v>2021.0</v>
      </c>
      <c r="AV158" s="1">
        <v>11.0</v>
      </c>
      <c r="AW158" s="1" t="s">
        <v>74</v>
      </c>
      <c r="AX158" s="1" t="s">
        <v>74</v>
      </c>
      <c r="AY158" s="1" t="s">
        <v>74</v>
      </c>
      <c r="AZ158" s="1" t="s">
        <v>74</v>
      </c>
      <c r="BA158" s="1" t="s">
        <v>74</v>
      </c>
      <c r="BB158" s="1" t="s">
        <v>74</v>
      </c>
      <c r="BC158" s="1" t="s">
        <v>74</v>
      </c>
      <c r="BD158" s="1">
        <v>607693.0</v>
      </c>
      <c r="BE158" s="1" t="s">
        <v>1730</v>
      </c>
      <c r="BF158" s="2" t="str">
        <f>HYPERLINK("http://dx.doi.org/10.3389/fmicb.2020.607693","http://dx.doi.org/10.3389/fmicb.2020.607693")</f>
        <v>http://dx.doi.org/10.3389/fmicb.2020.607693</v>
      </c>
      <c r="BG158" s="1" t="s">
        <v>74</v>
      </c>
      <c r="BH158" s="1" t="s">
        <v>74</v>
      </c>
      <c r="BI158" s="1" t="s">
        <v>74</v>
      </c>
      <c r="BJ158" s="1" t="s">
        <v>74</v>
      </c>
      <c r="BK158" s="1" t="s">
        <v>74</v>
      </c>
      <c r="BL158" s="1" t="s">
        <v>74</v>
      </c>
      <c r="BM158" s="1" t="s">
        <v>74</v>
      </c>
      <c r="BN158" s="1">
        <v>3.3519754E7</v>
      </c>
      <c r="BO158" s="1" t="s">
        <v>74</v>
      </c>
      <c r="BP158" s="1" t="s">
        <v>74</v>
      </c>
      <c r="BQ158" s="1" t="s">
        <v>74</v>
      </c>
      <c r="BR158" s="1" t="s">
        <v>74</v>
      </c>
      <c r="BS158" s="1" t="s">
        <v>1731</v>
      </c>
      <c r="BT158" s="1" t="str">
        <f>HYPERLINK("https%3A%2F%2Fwww.webofscience.com%2Fwos%2Fwoscc%2Ffull-record%2FWOS:000612657900001","View Full Record in Web of Science")</f>
        <v>View Full Record in Web of Science</v>
      </c>
    </row>
    <row r="159" ht="12.75" customHeight="1">
      <c r="A159" s="1" t="s">
        <v>72</v>
      </c>
      <c r="B159" s="1" t="s">
        <v>1732</v>
      </c>
      <c r="C159" s="1" t="s">
        <v>74</v>
      </c>
      <c r="D159" s="1" t="s">
        <v>74</v>
      </c>
      <c r="E159" s="1" t="s">
        <v>74</v>
      </c>
      <c r="F159" s="1" t="s">
        <v>1733</v>
      </c>
      <c r="G159" s="1" t="s">
        <v>74</v>
      </c>
      <c r="H159" s="1" t="s">
        <v>74</v>
      </c>
      <c r="I159" s="1" t="s">
        <v>1734</v>
      </c>
      <c r="J159" s="1" t="s">
        <v>1735</v>
      </c>
      <c r="K159" s="1" t="s">
        <v>74</v>
      </c>
      <c r="L159" s="1" t="s">
        <v>74</v>
      </c>
      <c r="M159" s="1" t="s">
        <v>74</v>
      </c>
      <c r="N159" s="1" t="s">
        <v>74</v>
      </c>
      <c r="O159" s="1" t="s">
        <v>74</v>
      </c>
      <c r="P159" s="1" t="s">
        <v>74</v>
      </c>
      <c r="Q159" s="1" t="s">
        <v>74</v>
      </c>
      <c r="R159" s="1" t="s">
        <v>74</v>
      </c>
      <c r="S159" s="1" t="s">
        <v>74</v>
      </c>
      <c r="T159" s="1" t="s">
        <v>74</v>
      </c>
      <c r="U159" s="1" t="s">
        <v>74</v>
      </c>
      <c r="V159" s="1" t="s">
        <v>1736</v>
      </c>
      <c r="W159" s="1" t="s">
        <v>74</v>
      </c>
      <c r="X159" s="1" t="s">
        <v>74</v>
      </c>
      <c r="Y159" s="1" t="s">
        <v>74</v>
      </c>
      <c r="Z159" s="1" t="s">
        <v>74</v>
      </c>
      <c r="AA159" s="1" t="s">
        <v>1737</v>
      </c>
      <c r="AB159" s="1" t="s">
        <v>1738</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74</v>
      </c>
      <c r="AP159" s="1" t="s">
        <v>1739</v>
      </c>
      <c r="AQ159" s="1" t="s">
        <v>74</v>
      </c>
      <c r="AR159" s="1" t="s">
        <v>74</v>
      </c>
      <c r="AS159" s="1" t="s">
        <v>74</v>
      </c>
      <c r="AT159" s="1" t="s">
        <v>554</v>
      </c>
      <c r="AU159" s="1">
        <v>2020.0</v>
      </c>
      <c r="AV159" s="1">
        <v>21.0</v>
      </c>
      <c r="AW159" s="1">
        <v>12.0</v>
      </c>
      <c r="AX159" s="1" t="s">
        <v>74</v>
      </c>
      <c r="AY159" s="1" t="s">
        <v>74</v>
      </c>
      <c r="AZ159" s="1" t="s">
        <v>74</v>
      </c>
      <c r="BA159" s="1" t="s">
        <v>74</v>
      </c>
      <c r="BB159" s="1" t="s">
        <v>74</v>
      </c>
      <c r="BC159" s="1" t="s">
        <v>74</v>
      </c>
      <c r="BD159" s="1">
        <v>4487.0</v>
      </c>
      <c r="BE159" s="1" t="s">
        <v>1740</v>
      </c>
      <c r="BF159" s="2" t="str">
        <f>HYPERLINK("http://dx.doi.org/10.3390/ijms21124487","http://dx.doi.org/10.3390/ijms21124487")</f>
        <v>http://dx.doi.org/10.3390/ijms21124487</v>
      </c>
      <c r="BG159" s="1" t="s">
        <v>74</v>
      </c>
      <c r="BH159" s="1" t="s">
        <v>74</v>
      </c>
      <c r="BI159" s="1" t="s">
        <v>74</v>
      </c>
      <c r="BJ159" s="1" t="s">
        <v>74</v>
      </c>
      <c r="BK159" s="1" t="s">
        <v>74</v>
      </c>
      <c r="BL159" s="1" t="s">
        <v>74</v>
      </c>
      <c r="BM159" s="1" t="s">
        <v>74</v>
      </c>
      <c r="BN159" s="1">
        <v>3.2599785E7</v>
      </c>
      <c r="BO159" s="1" t="s">
        <v>74</v>
      </c>
      <c r="BP159" s="1" t="s">
        <v>74</v>
      </c>
      <c r="BQ159" s="1" t="s">
        <v>74</v>
      </c>
      <c r="BR159" s="1" t="s">
        <v>74</v>
      </c>
      <c r="BS159" s="1" t="s">
        <v>1741</v>
      </c>
      <c r="BT159" s="1" t="str">
        <f>HYPERLINK("https%3A%2F%2Fwww.webofscience.com%2Fwos%2Fwoscc%2Ffull-record%2FWOS:000549379200001","View Full Record in Web of Science")</f>
        <v>View Full Record in Web of Science</v>
      </c>
    </row>
    <row r="160" ht="12.75" customHeight="1">
      <c r="A160" s="1" t="s">
        <v>72</v>
      </c>
      <c r="B160" s="1" t="s">
        <v>1742</v>
      </c>
      <c r="C160" s="1" t="s">
        <v>74</v>
      </c>
      <c r="D160" s="1" t="s">
        <v>74</v>
      </c>
      <c r="E160" s="1" t="s">
        <v>74</v>
      </c>
      <c r="F160" s="1" t="s">
        <v>1743</v>
      </c>
      <c r="G160" s="1" t="s">
        <v>74</v>
      </c>
      <c r="H160" s="1" t="s">
        <v>74</v>
      </c>
      <c r="I160" s="1" t="s">
        <v>1744</v>
      </c>
      <c r="J160" s="1" t="s">
        <v>1735</v>
      </c>
      <c r="K160" s="1" t="s">
        <v>74</v>
      </c>
      <c r="L160" s="1" t="s">
        <v>74</v>
      </c>
      <c r="M160" s="1" t="s">
        <v>74</v>
      </c>
      <c r="N160" s="1" t="s">
        <v>74</v>
      </c>
      <c r="O160" s="1" t="s">
        <v>74</v>
      </c>
      <c r="P160" s="1" t="s">
        <v>74</v>
      </c>
      <c r="Q160" s="1" t="s">
        <v>74</v>
      </c>
      <c r="R160" s="1" t="s">
        <v>74</v>
      </c>
      <c r="S160" s="1" t="s">
        <v>74</v>
      </c>
      <c r="T160" s="1" t="s">
        <v>74</v>
      </c>
      <c r="U160" s="1" t="s">
        <v>74</v>
      </c>
      <c r="V160" s="1" t="s">
        <v>1745</v>
      </c>
      <c r="W160" s="1" t="s">
        <v>74</v>
      </c>
      <c r="X160" s="1" t="s">
        <v>74</v>
      </c>
      <c r="Y160" s="1" t="s">
        <v>74</v>
      </c>
      <c r="Z160" s="1" t="s">
        <v>74</v>
      </c>
      <c r="AA160" s="1" t="s">
        <v>1746</v>
      </c>
      <c r="AB160" s="1" t="s">
        <v>1747</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74</v>
      </c>
      <c r="AP160" s="1" t="s">
        <v>1739</v>
      </c>
      <c r="AQ160" s="1" t="s">
        <v>74</v>
      </c>
      <c r="AR160" s="1" t="s">
        <v>74</v>
      </c>
      <c r="AS160" s="1" t="s">
        <v>74</v>
      </c>
      <c r="AT160" s="1" t="s">
        <v>83</v>
      </c>
      <c r="AU160" s="1">
        <v>2020.0</v>
      </c>
      <c r="AV160" s="1">
        <v>21.0</v>
      </c>
      <c r="AW160" s="1">
        <v>5.0</v>
      </c>
      <c r="AX160" s="1" t="s">
        <v>74</v>
      </c>
      <c r="AY160" s="1" t="s">
        <v>74</v>
      </c>
      <c r="AZ160" s="1" t="s">
        <v>74</v>
      </c>
      <c r="BA160" s="1" t="s">
        <v>74</v>
      </c>
      <c r="BB160" s="1" t="s">
        <v>74</v>
      </c>
      <c r="BC160" s="1" t="s">
        <v>74</v>
      </c>
      <c r="BD160" s="1">
        <v>1880.0</v>
      </c>
      <c r="BE160" s="1" t="s">
        <v>1748</v>
      </c>
      <c r="BF160" s="2" t="str">
        <f>HYPERLINK("http://dx.doi.org/10.3390/ijms21051880","http://dx.doi.org/10.3390/ijms21051880")</f>
        <v>http://dx.doi.org/10.3390/ijms21051880</v>
      </c>
      <c r="BG160" s="1" t="s">
        <v>74</v>
      </c>
      <c r="BH160" s="1" t="s">
        <v>74</v>
      </c>
      <c r="BI160" s="1" t="s">
        <v>74</v>
      </c>
      <c r="BJ160" s="1" t="s">
        <v>74</v>
      </c>
      <c r="BK160" s="1" t="s">
        <v>74</v>
      </c>
      <c r="BL160" s="1" t="s">
        <v>74</v>
      </c>
      <c r="BM160" s="1" t="s">
        <v>74</v>
      </c>
      <c r="BN160" s="1">
        <v>3.216417E7</v>
      </c>
      <c r="BO160" s="1" t="s">
        <v>74</v>
      </c>
      <c r="BP160" s="1" t="s">
        <v>74</v>
      </c>
      <c r="BQ160" s="1" t="s">
        <v>74</v>
      </c>
      <c r="BR160" s="1" t="s">
        <v>74</v>
      </c>
      <c r="BS160" s="1" t="s">
        <v>1749</v>
      </c>
      <c r="BT160" s="1" t="str">
        <f>HYPERLINK("https%3A%2F%2Fwww.webofscience.com%2Fwos%2Fwoscc%2Ffull-record%2FWOS:000524908500331","View Full Record in Web of Science")</f>
        <v>View Full Record in Web of Science</v>
      </c>
    </row>
    <row r="161" ht="12.75" customHeight="1">
      <c r="A161" s="1" t="s">
        <v>72</v>
      </c>
      <c r="B161" s="1" t="s">
        <v>1750</v>
      </c>
      <c r="C161" s="1" t="s">
        <v>74</v>
      </c>
      <c r="D161" s="1" t="s">
        <v>74</v>
      </c>
      <c r="E161" s="1" t="s">
        <v>74</v>
      </c>
      <c r="F161" s="1" t="s">
        <v>1751</v>
      </c>
      <c r="G161" s="1" t="s">
        <v>74</v>
      </c>
      <c r="H161" s="1" t="s">
        <v>74</v>
      </c>
      <c r="I161" s="1" t="s">
        <v>1752</v>
      </c>
      <c r="J161" s="1" t="s">
        <v>1753</v>
      </c>
      <c r="K161" s="1" t="s">
        <v>74</v>
      </c>
      <c r="L161" s="1" t="s">
        <v>74</v>
      </c>
      <c r="M161" s="1" t="s">
        <v>74</v>
      </c>
      <c r="N161" s="1" t="s">
        <v>74</v>
      </c>
      <c r="O161" s="1" t="s">
        <v>74</v>
      </c>
      <c r="P161" s="1" t="s">
        <v>74</v>
      </c>
      <c r="Q161" s="1" t="s">
        <v>74</v>
      </c>
      <c r="R161" s="1" t="s">
        <v>74</v>
      </c>
      <c r="S161" s="1" t="s">
        <v>74</v>
      </c>
      <c r="T161" s="1" t="s">
        <v>74</v>
      </c>
      <c r="U161" s="1" t="s">
        <v>74</v>
      </c>
      <c r="V161" s="1" t="s">
        <v>74</v>
      </c>
      <c r="W161" s="1" t="s">
        <v>74</v>
      </c>
      <c r="X161" s="1" t="s">
        <v>74</v>
      </c>
      <c r="Y161" s="1" t="s">
        <v>74</v>
      </c>
      <c r="Z161" s="1" t="s">
        <v>74</v>
      </c>
      <c r="AA161" s="1" t="s">
        <v>1754</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1755</v>
      </c>
      <c r="AP161" s="1" t="s">
        <v>1756</v>
      </c>
      <c r="AQ161" s="1" t="s">
        <v>74</v>
      </c>
      <c r="AR161" s="1" t="s">
        <v>74</v>
      </c>
      <c r="AS161" s="1" t="s">
        <v>74</v>
      </c>
      <c r="AT161" s="1" t="s">
        <v>596</v>
      </c>
      <c r="AU161" s="1">
        <v>2019.0</v>
      </c>
      <c r="AV161" s="1">
        <v>14.0</v>
      </c>
      <c r="AW161" s="1">
        <v>11.0</v>
      </c>
      <c r="AX161" s="1" t="s">
        <v>74</v>
      </c>
      <c r="AY161" s="1" t="s">
        <v>74</v>
      </c>
      <c r="AZ161" s="1" t="s">
        <v>74</v>
      </c>
      <c r="BA161" s="1" t="s">
        <v>74</v>
      </c>
      <c r="BB161" s="1">
        <v>1905.0</v>
      </c>
      <c r="BC161" s="1">
        <v>1906.0</v>
      </c>
      <c r="BD161" s="1" t="s">
        <v>1757</v>
      </c>
      <c r="BE161" s="1" t="s">
        <v>1758</v>
      </c>
      <c r="BF161" s="2" t="str">
        <f>HYPERLINK("http://dx.doi.org/10.4103/1673-5374.259614","http://dx.doi.org/10.4103/1673-5374.259614")</f>
        <v>http://dx.doi.org/10.4103/1673-5374.259614</v>
      </c>
      <c r="BG161" s="1" t="s">
        <v>74</v>
      </c>
      <c r="BH161" s="1" t="s">
        <v>74</v>
      </c>
      <c r="BI161" s="1" t="s">
        <v>74</v>
      </c>
      <c r="BJ161" s="1" t="s">
        <v>74</v>
      </c>
      <c r="BK161" s="1" t="s">
        <v>74</v>
      </c>
      <c r="BL161" s="1" t="s">
        <v>74</v>
      </c>
      <c r="BM161" s="1" t="s">
        <v>74</v>
      </c>
      <c r="BN161" s="1">
        <v>3.1290444E7</v>
      </c>
      <c r="BO161" s="1" t="s">
        <v>74</v>
      </c>
      <c r="BP161" s="1" t="s">
        <v>74</v>
      </c>
      <c r="BQ161" s="1" t="s">
        <v>74</v>
      </c>
      <c r="BR161" s="1" t="s">
        <v>74</v>
      </c>
      <c r="BS161" s="1" t="s">
        <v>1759</v>
      </c>
      <c r="BT161" s="1" t="str">
        <f>HYPERLINK("https%3A%2F%2Fwww.webofscience.com%2Fwos%2Fwoscc%2Ffull-record%2FWOS:000474887200012","View Full Record in Web of Science")</f>
        <v>View Full Record in Web of Science</v>
      </c>
    </row>
    <row r="162" ht="12.75" customHeight="1">
      <c r="A162" s="1" t="s">
        <v>72</v>
      </c>
      <c r="B162" s="1" t="s">
        <v>1760</v>
      </c>
      <c r="C162" s="1" t="s">
        <v>74</v>
      </c>
      <c r="D162" s="1" t="s">
        <v>74</v>
      </c>
      <c r="E162" s="1" t="s">
        <v>74</v>
      </c>
      <c r="F162" s="1" t="s">
        <v>1761</v>
      </c>
      <c r="G162" s="1" t="s">
        <v>74</v>
      </c>
      <c r="H162" s="1" t="s">
        <v>74</v>
      </c>
      <c r="I162" s="1" t="s">
        <v>1762</v>
      </c>
      <c r="J162" s="1" t="s">
        <v>1763</v>
      </c>
      <c r="K162" s="1" t="s">
        <v>74</v>
      </c>
      <c r="L162" s="1" t="s">
        <v>74</v>
      </c>
      <c r="M162" s="1" t="s">
        <v>74</v>
      </c>
      <c r="N162" s="1" t="s">
        <v>74</v>
      </c>
      <c r="O162" s="1" t="s">
        <v>74</v>
      </c>
      <c r="P162" s="1" t="s">
        <v>74</v>
      </c>
      <c r="Q162" s="1" t="s">
        <v>74</v>
      </c>
      <c r="R162" s="1" t="s">
        <v>74</v>
      </c>
      <c r="S162" s="1" t="s">
        <v>74</v>
      </c>
      <c r="T162" s="1" t="s">
        <v>74</v>
      </c>
      <c r="U162" s="1" t="s">
        <v>74</v>
      </c>
      <c r="V162" s="1" t="s">
        <v>1764</v>
      </c>
      <c r="W162" s="1" t="s">
        <v>74</v>
      </c>
      <c r="X162" s="1" t="s">
        <v>74</v>
      </c>
      <c r="Y162" s="1" t="s">
        <v>74</v>
      </c>
      <c r="Z162" s="1" t="s">
        <v>74</v>
      </c>
      <c r="AA162" s="1" t="s">
        <v>1765</v>
      </c>
      <c r="AB162" s="1" t="s">
        <v>1766</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1767</v>
      </c>
      <c r="AP162" s="1" t="s">
        <v>74</v>
      </c>
      <c r="AQ162" s="1" t="s">
        <v>74</v>
      </c>
      <c r="AR162" s="1" t="s">
        <v>74</v>
      </c>
      <c r="AS162" s="1" t="s">
        <v>74</v>
      </c>
      <c r="AT162" s="1" t="s">
        <v>120</v>
      </c>
      <c r="AU162" s="1">
        <v>2018.0</v>
      </c>
      <c r="AV162" s="1">
        <v>8.0</v>
      </c>
      <c r="AW162" s="1">
        <v>2.0</v>
      </c>
      <c r="AX162" s="1" t="s">
        <v>74</v>
      </c>
      <c r="AY162" s="1" t="s">
        <v>74</v>
      </c>
      <c r="AZ162" s="1" t="s">
        <v>74</v>
      </c>
      <c r="BA162" s="1" t="s">
        <v>74</v>
      </c>
      <c r="BB162" s="1" t="s">
        <v>74</v>
      </c>
      <c r="BC162" s="1" t="s">
        <v>74</v>
      </c>
      <c r="BD162" s="1">
        <v>69.0</v>
      </c>
      <c r="BE162" s="1" t="s">
        <v>1768</v>
      </c>
      <c r="BF162" s="2" t="str">
        <f>HYPERLINK("http://dx.doi.org/10.3390/cryst8020069","http://dx.doi.org/10.3390/cryst8020069")</f>
        <v>http://dx.doi.org/10.3390/cryst8020069</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1769</v>
      </c>
      <c r="BT162" s="1" t="str">
        <f>HYPERLINK("https%3A%2F%2Fwww.webofscience.com%2Fwos%2Fwoscc%2Ffull-record%2FWOS:000427515800020","View Full Record in Web of Science")</f>
        <v>View Full Record in Web of Science</v>
      </c>
    </row>
    <row r="163" ht="12.75" customHeight="1">
      <c r="A163" s="1" t="s">
        <v>72</v>
      </c>
      <c r="B163" s="1" t="s">
        <v>1770</v>
      </c>
      <c r="C163" s="1" t="s">
        <v>74</v>
      </c>
      <c r="D163" s="1" t="s">
        <v>74</v>
      </c>
      <c r="E163" s="1" t="s">
        <v>74</v>
      </c>
      <c r="F163" s="1" t="s">
        <v>1771</v>
      </c>
      <c r="G163" s="1" t="s">
        <v>74</v>
      </c>
      <c r="H163" s="1" t="s">
        <v>74</v>
      </c>
      <c r="I163" s="1" t="s">
        <v>1772</v>
      </c>
      <c r="J163" s="1" t="s">
        <v>1773</v>
      </c>
      <c r="K163" s="1" t="s">
        <v>74</v>
      </c>
      <c r="L163" s="1" t="s">
        <v>74</v>
      </c>
      <c r="M163" s="1" t="s">
        <v>74</v>
      </c>
      <c r="N163" s="1" t="s">
        <v>74</v>
      </c>
      <c r="O163" s="1" t="s">
        <v>74</v>
      </c>
      <c r="P163" s="1" t="s">
        <v>74</v>
      </c>
      <c r="Q163" s="1" t="s">
        <v>74</v>
      </c>
      <c r="R163" s="1" t="s">
        <v>74</v>
      </c>
      <c r="S163" s="1" t="s">
        <v>74</v>
      </c>
      <c r="T163" s="1" t="s">
        <v>74</v>
      </c>
      <c r="U163" s="1" t="s">
        <v>74</v>
      </c>
      <c r="V163" s="1" t="s">
        <v>1774</v>
      </c>
      <c r="W163" s="1" t="s">
        <v>74</v>
      </c>
      <c r="X163" s="1" t="s">
        <v>74</v>
      </c>
      <c r="Y163" s="1" t="s">
        <v>74</v>
      </c>
      <c r="Z163" s="1" t="s">
        <v>74</v>
      </c>
      <c r="AA163" s="1" t="s">
        <v>1775</v>
      </c>
      <c r="AB163" s="1" t="s">
        <v>1776</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1777</v>
      </c>
      <c r="AP163" s="1" t="s">
        <v>74</v>
      </c>
      <c r="AQ163" s="1" t="s">
        <v>74</v>
      </c>
      <c r="AR163" s="1" t="s">
        <v>74</v>
      </c>
      <c r="AS163" s="1" t="s">
        <v>74</v>
      </c>
      <c r="AT163" s="1" t="s">
        <v>1778</v>
      </c>
      <c r="AU163" s="1">
        <v>2017.0</v>
      </c>
      <c r="AV163" s="1">
        <v>44.0</v>
      </c>
      <c r="AW163" s="1">
        <v>3.0</v>
      </c>
      <c r="AX163" s="1" t="s">
        <v>74</v>
      </c>
      <c r="AY163" s="1" t="s">
        <v>74</v>
      </c>
      <c r="AZ163" s="1" t="s">
        <v>74</v>
      </c>
      <c r="BA163" s="1" t="s">
        <v>74</v>
      </c>
      <c r="BB163" s="1">
        <v>252.0</v>
      </c>
      <c r="BC163" s="1">
        <v>261.0</v>
      </c>
      <c r="BD163" s="1" t="s">
        <v>74</v>
      </c>
      <c r="BE163" s="1" t="s">
        <v>1779</v>
      </c>
      <c r="BF163" s="2" t="str">
        <f>HYPERLINK("http://dx.doi.org/10.7764/rcia.v44i3.1756","http://dx.doi.org/10.7764/rcia.v44i3.1756")</f>
        <v>http://dx.doi.org/10.7764/rcia.v44i3.1756</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1780</v>
      </c>
      <c r="BT163" s="1" t="str">
        <f>HYPERLINK("https%3A%2F%2Fwww.webofscience.com%2Fwos%2Fwoscc%2Ffull-record%2FWOS:000423275500004","View Full Record in Web of Science")</f>
        <v>View Full Record in Web of Science</v>
      </c>
    </row>
    <row r="164" ht="12.75" customHeight="1">
      <c r="A164" s="1" t="s">
        <v>72</v>
      </c>
      <c r="B164" s="1" t="s">
        <v>1781</v>
      </c>
      <c r="C164" s="1" t="s">
        <v>74</v>
      </c>
      <c r="D164" s="1" t="s">
        <v>74</v>
      </c>
      <c r="E164" s="1" t="s">
        <v>74</v>
      </c>
      <c r="F164" s="1" t="s">
        <v>1782</v>
      </c>
      <c r="G164" s="1" t="s">
        <v>74</v>
      </c>
      <c r="H164" s="1" t="s">
        <v>74</v>
      </c>
      <c r="I164" s="1" t="s">
        <v>1783</v>
      </c>
      <c r="J164" s="1" t="s">
        <v>1696</v>
      </c>
      <c r="K164" s="1" t="s">
        <v>74</v>
      </c>
      <c r="L164" s="1" t="s">
        <v>74</v>
      </c>
      <c r="M164" s="1" t="s">
        <v>74</v>
      </c>
      <c r="N164" s="1" t="s">
        <v>74</v>
      </c>
      <c r="O164" s="1" t="s">
        <v>74</v>
      </c>
      <c r="P164" s="1" t="s">
        <v>74</v>
      </c>
      <c r="Q164" s="1" t="s">
        <v>74</v>
      </c>
      <c r="R164" s="1" t="s">
        <v>74</v>
      </c>
      <c r="S164" s="1" t="s">
        <v>74</v>
      </c>
      <c r="T164" s="1" t="s">
        <v>74</v>
      </c>
      <c r="U164" s="1" t="s">
        <v>74</v>
      </c>
      <c r="V164" s="1" t="s">
        <v>1784</v>
      </c>
      <c r="W164" s="1" t="s">
        <v>74</v>
      </c>
      <c r="X164" s="1" t="s">
        <v>74</v>
      </c>
      <c r="Y164" s="1" t="s">
        <v>74</v>
      </c>
      <c r="Z164" s="1" t="s">
        <v>74</v>
      </c>
      <c r="AA164" s="1" t="s">
        <v>1785</v>
      </c>
      <c r="AB164" s="1" t="s">
        <v>1786</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1700</v>
      </c>
      <c r="AP164" s="1" t="s">
        <v>74</v>
      </c>
      <c r="AQ164" s="1" t="s">
        <v>74</v>
      </c>
      <c r="AR164" s="1" t="s">
        <v>74</v>
      </c>
      <c r="AS164" s="1" t="s">
        <v>74</v>
      </c>
      <c r="AT164" s="1" t="s">
        <v>1787</v>
      </c>
      <c r="AU164" s="1">
        <v>2017.0</v>
      </c>
      <c r="AV164" s="1">
        <v>7.0</v>
      </c>
      <c r="AW164" s="1" t="s">
        <v>74</v>
      </c>
      <c r="AX164" s="1" t="s">
        <v>74</v>
      </c>
      <c r="AY164" s="1" t="s">
        <v>74</v>
      </c>
      <c r="AZ164" s="1" t="s">
        <v>74</v>
      </c>
      <c r="BA164" s="1" t="s">
        <v>74</v>
      </c>
      <c r="BB164" s="1" t="s">
        <v>74</v>
      </c>
      <c r="BC164" s="1" t="s">
        <v>74</v>
      </c>
      <c r="BD164" s="1">
        <v>9173.0</v>
      </c>
      <c r="BE164" s="1" t="s">
        <v>1788</v>
      </c>
      <c r="BF164" s="2" t="str">
        <f>HYPERLINK("http://dx.doi.org/10.1038/s41598-017-09471-z","http://dx.doi.org/10.1038/s41598-017-09471-z")</f>
        <v>http://dx.doi.org/10.1038/s41598-017-09471-z</v>
      </c>
      <c r="BG164" s="1" t="s">
        <v>74</v>
      </c>
      <c r="BH164" s="1" t="s">
        <v>74</v>
      </c>
      <c r="BI164" s="1" t="s">
        <v>74</v>
      </c>
      <c r="BJ164" s="1" t="s">
        <v>74</v>
      </c>
      <c r="BK164" s="1" t="s">
        <v>74</v>
      </c>
      <c r="BL164" s="1" t="s">
        <v>74</v>
      </c>
      <c r="BM164" s="1" t="s">
        <v>74</v>
      </c>
      <c r="BN164" s="1">
        <v>2.8835621E7</v>
      </c>
      <c r="BO164" s="1" t="s">
        <v>74</v>
      </c>
      <c r="BP164" s="1" t="s">
        <v>74</v>
      </c>
      <c r="BQ164" s="1" t="s">
        <v>74</v>
      </c>
      <c r="BR164" s="1" t="s">
        <v>74</v>
      </c>
      <c r="BS164" s="1" t="s">
        <v>1789</v>
      </c>
      <c r="BT164" s="1" t="str">
        <f>HYPERLINK("https%3A%2F%2Fwww.webofscience.com%2Fwos%2Fwoscc%2Ffull-record%2FWOS:000408426400006","View Full Record in Web of Science")</f>
        <v>View Full Record in Web of Science</v>
      </c>
    </row>
    <row r="165" ht="12.75" customHeight="1">
      <c r="A165" s="1" t="s">
        <v>72</v>
      </c>
      <c r="B165" s="1" t="s">
        <v>1790</v>
      </c>
      <c r="C165" s="1" t="s">
        <v>74</v>
      </c>
      <c r="D165" s="1" t="s">
        <v>74</v>
      </c>
      <c r="E165" s="1" t="s">
        <v>74</v>
      </c>
      <c r="F165" s="1" t="s">
        <v>1791</v>
      </c>
      <c r="G165" s="1" t="s">
        <v>74</v>
      </c>
      <c r="H165" s="1" t="s">
        <v>74</v>
      </c>
      <c r="I165" s="1" t="s">
        <v>1792</v>
      </c>
      <c r="J165" s="1" t="s">
        <v>1793</v>
      </c>
      <c r="K165" s="1" t="s">
        <v>74</v>
      </c>
      <c r="L165" s="1" t="s">
        <v>74</v>
      </c>
      <c r="M165" s="1" t="s">
        <v>74</v>
      </c>
      <c r="N165" s="1" t="s">
        <v>74</v>
      </c>
      <c r="O165" s="1" t="s">
        <v>74</v>
      </c>
      <c r="P165" s="1" t="s">
        <v>74</v>
      </c>
      <c r="Q165" s="1" t="s">
        <v>74</v>
      </c>
      <c r="R165" s="1" t="s">
        <v>74</v>
      </c>
      <c r="S165" s="1" t="s">
        <v>74</v>
      </c>
      <c r="T165" s="1" t="s">
        <v>74</v>
      </c>
      <c r="U165" s="1" t="s">
        <v>74</v>
      </c>
      <c r="V165" s="1" t="s">
        <v>1794</v>
      </c>
      <c r="W165" s="1" t="s">
        <v>74</v>
      </c>
      <c r="X165" s="1" t="s">
        <v>74</v>
      </c>
      <c r="Y165" s="1" t="s">
        <v>74</v>
      </c>
      <c r="Z165" s="1" t="s">
        <v>74</v>
      </c>
      <c r="AA165" s="1" t="s">
        <v>1795</v>
      </c>
      <c r="AB165" s="1" t="s">
        <v>1796</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1797</v>
      </c>
      <c r="AP165" s="1" t="s">
        <v>1798</v>
      </c>
      <c r="AQ165" s="1" t="s">
        <v>74</v>
      </c>
      <c r="AR165" s="1" t="s">
        <v>74</v>
      </c>
      <c r="AS165" s="1" t="s">
        <v>74</v>
      </c>
      <c r="AT165" s="1" t="s">
        <v>1799</v>
      </c>
      <c r="AU165" s="1">
        <v>2017.0</v>
      </c>
      <c r="AV165" s="1">
        <v>46.0</v>
      </c>
      <c r="AW165" s="1">
        <v>26.0</v>
      </c>
      <c r="AX165" s="1" t="s">
        <v>74</v>
      </c>
      <c r="AY165" s="1" t="s">
        <v>74</v>
      </c>
      <c r="AZ165" s="1" t="s">
        <v>74</v>
      </c>
      <c r="BA165" s="1" t="s">
        <v>74</v>
      </c>
      <c r="BB165" s="1">
        <v>8611.0</v>
      </c>
      <c r="BC165" s="1">
        <v>8620.0</v>
      </c>
      <c r="BD165" s="1" t="s">
        <v>74</v>
      </c>
      <c r="BE165" s="1" t="s">
        <v>1800</v>
      </c>
      <c r="BF165" s="2" t="str">
        <f>HYPERLINK("http://dx.doi.org/10.1039/c7dt01633f","http://dx.doi.org/10.1039/c7dt01633f")</f>
        <v>http://dx.doi.org/10.1039/c7dt01633f</v>
      </c>
      <c r="BG165" s="1" t="s">
        <v>74</v>
      </c>
      <c r="BH165" s="1" t="s">
        <v>74</v>
      </c>
      <c r="BI165" s="1" t="s">
        <v>74</v>
      </c>
      <c r="BJ165" s="1" t="s">
        <v>74</v>
      </c>
      <c r="BK165" s="1" t="s">
        <v>74</v>
      </c>
      <c r="BL165" s="1" t="s">
        <v>74</v>
      </c>
      <c r="BM165" s="1" t="s">
        <v>74</v>
      </c>
      <c r="BN165" s="1">
        <v>2.8644503E7</v>
      </c>
      <c r="BO165" s="1" t="s">
        <v>74</v>
      </c>
      <c r="BP165" s="1" t="s">
        <v>74</v>
      </c>
      <c r="BQ165" s="1" t="s">
        <v>74</v>
      </c>
      <c r="BR165" s="1" t="s">
        <v>74</v>
      </c>
      <c r="BS165" s="1" t="s">
        <v>1801</v>
      </c>
      <c r="BT165" s="1" t="str">
        <f>HYPERLINK("https%3A%2F%2Fwww.webofscience.com%2Fwos%2Fwoscc%2Ffull-record%2FWOS:000404860300032","View Full Record in Web of Science")</f>
        <v>View Full Record in Web of Science</v>
      </c>
    </row>
    <row r="166" ht="12.75" customHeight="1">
      <c r="A166" s="1" t="s">
        <v>346</v>
      </c>
      <c r="B166" s="1" t="s">
        <v>1802</v>
      </c>
      <c r="C166" s="1" t="s">
        <v>74</v>
      </c>
      <c r="D166" s="1" t="s">
        <v>1803</v>
      </c>
      <c r="E166" s="1" t="s">
        <v>74</v>
      </c>
      <c r="F166" s="1" t="s">
        <v>1804</v>
      </c>
      <c r="G166" s="1" t="s">
        <v>74</v>
      </c>
      <c r="H166" s="1" t="s">
        <v>74</v>
      </c>
      <c r="I166" s="1" t="s">
        <v>1805</v>
      </c>
      <c r="J166" s="1" t="s">
        <v>1806</v>
      </c>
      <c r="K166" s="1" t="s">
        <v>1807</v>
      </c>
      <c r="L166" s="1" t="s">
        <v>74</v>
      </c>
      <c r="M166" s="1" t="s">
        <v>74</v>
      </c>
      <c r="N166" s="1" t="s">
        <v>74</v>
      </c>
      <c r="O166" s="1" t="s">
        <v>1808</v>
      </c>
      <c r="P166" s="1" t="s">
        <v>1809</v>
      </c>
      <c r="Q166" s="1" t="s">
        <v>1810</v>
      </c>
      <c r="R166" s="1" t="s">
        <v>1811</v>
      </c>
      <c r="S166" s="1" t="s">
        <v>74</v>
      </c>
      <c r="T166" s="1" t="s">
        <v>74</v>
      </c>
      <c r="U166" s="1" t="s">
        <v>74</v>
      </c>
      <c r="V166" s="1" t="s">
        <v>1812</v>
      </c>
      <c r="W166" s="1" t="s">
        <v>74</v>
      </c>
      <c r="X166" s="1" t="s">
        <v>74</v>
      </c>
      <c r="Y166" s="1" t="s">
        <v>74</v>
      </c>
      <c r="Z166" s="1" t="s">
        <v>74</v>
      </c>
      <c r="AA166" s="1" t="s">
        <v>74</v>
      </c>
      <c r="AB166" s="1" t="s">
        <v>74</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1813</v>
      </c>
      <c r="AP166" s="1" t="s">
        <v>1814</v>
      </c>
      <c r="AQ166" s="1" t="s">
        <v>1815</v>
      </c>
      <c r="AR166" s="1" t="s">
        <v>74</v>
      </c>
      <c r="AS166" s="1" t="s">
        <v>74</v>
      </c>
      <c r="AT166" s="1" t="s">
        <v>74</v>
      </c>
      <c r="AU166" s="1">
        <v>2017.0</v>
      </c>
      <c r="AV166" s="1">
        <v>10451.0</v>
      </c>
      <c r="AW166" s="1" t="s">
        <v>74</v>
      </c>
      <c r="AX166" s="1" t="s">
        <v>74</v>
      </c>
      <c r="AY166" s="1" t="s">
        <v>74</v>
      </c>
      <c r="AZ166" s="1" t="s">
        <v>74</v>
      </c>
      <c r="BA166" s="1" t="s">
        <v>74</v>
      </c>
      <c r="BB166" s="1" t="s">
        <v>74</v>
      </c>
      <c r="BC166" s="1" t="s">
        <v>74</v>
      </c>
      <c r="BD166" s="1" t="s">
        <v>1816</v>
      </c>
      <c r="BE166" s="1" t="s">
        <v>1817</v>
      </c>
      <c r="BF166" s="2" t="str">
        <f>HYPERLINK("http://dx.doi.org/10.1117/12.2281272","http://dx.doi.org/10.1117/12.2281272")</f>
        <v>http://dx.doi.org/10.1117/12.2281272</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1818</v>
      </c>
      <c r="BT166" s="1" t="str">
        <f>HYPERLINK("https%3A%2F%2Fwww.webofscience.com%2Fwos%2Fwoscc%2Ffull-record%2FWOS:000418445700032","View Full Record in Web of Science")</f>
        <v>View Full Record in Web of Science</v>
      </c>
    </row>
    <row r="167" ht="12.75" customHeight="1">
      <c r="A167" s="1" t="s">
        <v>346</v>
      </c>
      <c r="B167" s="1" t="s">
        <v>1819</v>
      </c>
      <c r="C167" s="1" t="s">
        <v>74</v>
      </c>
      <c r="D167" s="1" t="s">
        <v>74</v>
      </c>
      <c r="E167" s="1" t="s">
        <v>348</v>
      </c>
      <c r="F167" s="1" t="s">
        <v>1820</v>
      </c>
      <c r="G167" s="1" t="s">
        <v>74</v>
      </c>
      <c r="H167" s="1" t="s">
        <v>74</v>
      </c>
      <c r="I167" s="1" t="s">
        <v>1821</v>
      </c>
      <c r="J167" s="1" t="s">
        <v>1822</v>
      </c>
      <c r="K167" s="1" t="s">
        <v>1481</v>
      </c>
      <c r="L167" s="1" t="s">
        <v>74</v>
      </c>
      <c r="M167" s="1" t="s">
        <v>74</v>
      </c>
      <c r="N167" s="1" t="s">
        <v>74</v>
      </c>
      <c r="O167" s="1" t="s">
        <v>1823</v>
      </c>
      <c r="P167" s="1" t="s">
        <v>1824</v>
      </c>
      <c r="Q167" s="1" t="s">
        <v>1825</v>
      </c>
      <c r="R167" s="1" t="s">
        <v>1826</v>
      </c>
      <c r="S167" s="1" t="s">
        <v>74</v>
      </c>
      <c r="T167" s="1" t="s">
        <v>74</v>
      </c>
      <c r="U167" s="1" t="s">
        <v>74</v>
      </c>
      <c r="V167" s="1" t="s">
        <v>1827</v>
      </c>
      <c r="W167" s="1" t="s">
        <v>74</v>
      </c>
      <c r="X167" s="1" t="s">
        <v>74</v>
      </c>
      <c r="Y167" s="1" t="s">
        <v>74</v>
      </c>
      <c r="Z167" s="1" t="s">
        <v>74</v>
      </c>
      <c r="AA167" s="1" t="s">
        <v>1828</v>
      </c>
      <c r="AB167" s="1" t="s">
        <v>1829</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74</v>
      </c>
      <c r="AP167" s="1" t="s">
        <v>74</v>
      </c>
      <c r="AQ167" s="1" t="s">
        <v>1830</v>
      </c>
      <c r="AR167" s="1" t="s">
        <v>74</v>
      </c>
      <c r="AS167" s="1" t="s">
        <v>74</v>
      </c>
      <c r="AT167" s="1" t="s">
        <v>74</v>
      </c>
      <c r="AU167" s="1">
        <v>2017.0</v>
      </c>
      <c r="AV167" s="1" t="s">
        <v>74</v>
      </c>
      <c r="AW167" s="1" t="s">
        <v>74</v>
      </c>
      <c r="AX167" s="1" t="s">
        <v>74</v>
      </c>
      <c r="AY167" s="1" t="s">
        <v>74</v>
      </c>
      <c r="AZ167" s="1" t="s">
        <v>74</v>
      </c>
      <c r="BA167" s="1" t="s">
        <v>74</v>
      </c>
      <c r="BB167" s="1">
        <v>1119.0</v>
      </c>
      <c r="BC167" s="1">
        <v>1126.0</v>
      </c>
      <c r="BD167" s="1" t="s">
        <v>74</v>
      </c>
      <c r="BE167" s="1" t="s">
        <v>74</v>
      </c>
      <c r="BF167" s="1" t="s">
        <v>74</v>
      </c>
      <c r="BG167" s="1" t="s">
        <v>74</v>
      </c>
      <c r="BH167" s="1" t="s">
        <v>74</v>
      </c>
      <c r="BI167" s="1" t="s">
        <v>74</v>
      </c>
      <c r="BJ167" s="1" t="s">
        <v>74</v>
      </c>
      <c r="BK167" s="1" t="s">
        <v>74</v>
      </c>
      <c r="BL167" s="1" t="s">
        <v>74</v>
      </c>
      <c r="BM167" s="1" t="s">
        <v>74</v>
      </c>
      <c r="BN167" s="1" t="s">
        <v>74</v>
      </c>
      <c r="BO167" s="1" t="s">
        <v>74</v>
      </c>
      <c r="BP167" s="1" t="s">
        <v>74</v>
      </c>
      <c r="BQ167" s="1" t="s">
        <v>74</v>
      </c>
      <c r="BR167" s="1" t="s">
        <v>74</v>
      </c>
      <c r="BS167" s="1" t="s">
        <v>1831</v>
      </c>
      <c r="BT167" s="1" t="str">
        <f>HYPERLINK("https%3A%2F%2Fwww.webofscience.com%2Fwos%2Fwoscc%2Ffull-record%2FWOS:000426929700145","View Full Record in Web of Science")</f>
        <v>View Full Record in Web of Science</v>
      </c>
    </row>
    <row r="168" ht="12.75" customHeight="1">
      <c r="A168" s="1" t="s">
        <v>72</v>
      </c>
      <c r="B168" s="1" t="s">
        <v>1832</v>
      </c>
      <c r="C168" s="1" t="s">
        <v>74</v>
      </c>
      <c r="D168" s="1" t="s">
        <v>74</v>
      </c>
      <c r="E168" s="1" t="s">
        <v>74</v>
      </c>
      <c r="F168" s="1" t="s">
        <v>1833</v>
      </c>
      <c r="G168" s="1" t="s">
        <v>74</v>
      </c>
      <c r="H168" s="1" t="s">
        <v>74</v>
      </c>
      <c r="I168" s="1" t="s">
        <v>1834</v>
      </c>
      <c r="J168" s="1" t="s">
        <v>1835</v>
      </c>
      <c r="K168" s="1" t="s">
        <v>74</v>
      </c>
      <c r="L168" s="1" t="s">
        <v>74</v>
      </c>
      <c r="M168" s="1" t="s">
        <v>74</v>
      </c>
      <c r="N168" s="1" t="s">
        <v>74</v>
      </c>
      <c r="O168" s="1" t="s">
        <v>74</v>
      </c>
      <c r="P168" s="1" t="s">
        <v>74</v>
      </c>
      <c r="Q168" s="1" t="s">
        <v>74</v>
      </c>
      <c r="R168" s="1" t="s">
        <v>74</v>
      </c>
      <c r="S168" s="1" t="s">
        <v>74</v>
      </c>
      <c r="T168" s="1" t="s">
        <v>74</v>
      </c>
      <c r="U168" s="1" t="s">
        <v>74</v>
      </c>
      <c r="V168" s="1" t="s">
        <v>1836</v>
      </c>
      <c r="W168" s="1" t="s">
        <v>74</v>
      </c>
      <c r="X168" s="1" t="s">
        <v>74</v>
      </c>
      <c r="Y168" s="1" t="s">
        <v>74</v>
      </c>
      <c r="Z168" s="1" t="s">
        <v>74</v>
      </c>
      <c r="AA168" s="1" t="s">
        <v>1837</v>
      </c>
      <c r="AB168" s="1" t="s">
        <v>1838</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1839</v>
      </c>
      <c r="AP168" s="1" t="s">
        <v>1840</v>
      </c>
      <c r="AQ168" s="1" t="s">
        <v>74</v>
      </c>
      <c r="AR168" s="1" t="s">
        <v>74</v>
      </c>
      <c r="AS168" s="1" t="s">
        <v>74</v>
      </c>
      <c r="AT168" s="1" t="s">
        <v>1711</v>
      </c>
      <c r="AU168" s="1">
        <v>2016.0</v>
      </c>
      <c r="AV168" s="1">
        <v>54.0</v>
      </c>
      <c r="AW168" s="1">
        <v>4.0</v>
      </c>
      <c r="AX168" s="1" t="s">
        <v>74</v>
      </c>
      <c r="AY168" s="1" t="s">
        <v>74</v>
      </c>
      <c r="AZ168" s="1" t="s">
        <v>74</v>
      </c>
      <c r="BA168" s="1" t="s">
        <v>74</v>
      </c>
      <c r="BB168" s="1">
        <v>462.0</v>
      </c>
      <c r="BC168" s="1">
        <v>467.0</v>
      </c>
      <c r="BD168" s="1" t="s">
        <v>74</v>
      </c>
      <c r="BE168" s="1" t="s">
        <v>1841</v>
      </c>
      <c r="BF168" s="2" t="str">
        <f>HYPERLINK("http://dx.doi.org/10.17113/ftb.54.04.16.4497","http://dx.doi.org/10.17113/ftb.54.04.16.4497")</f>
        <v>http://dx.doi.org/10.17113/ftb.54.04.16.4497</v>
      </c>
      <c r="BG168" s="1" t="s">
        <v>74</v>
      </c>
      <c r="BH168" s="1" t="s">
        <v>74</v>
      </c>
      <c r="BI168" s="1" t="s">
        <v>74</v>
      </c>
      <c r="BJ168" s="1" t="s">
        <v>74</v>
      </c>
      <c r="BK168" s="1" t="s">
        <v>74</v>
      </c>
      <c r="BL168" s="1" t="s">
        <v>74</v>
      </c>
      <c r="BM168" s="1" t="s">
        <v>74</v>
      </c>
      <c r="BN168" s="1">
        <v>2.8115904E7</v>
      </c>
      <c r="BO168" s="1" t="s">
        <v>74</v>
      </c>
      <c r="BP168" s="1" t="s">
        <v>74</v>
      </c>
      <c r="BQ168" s="1" t="s">
        <v>74</v>
      </c>
      <c r="BR168" s="1" t="s">
        <v>74</v>
      </c>
      <c r="BS168" s="1" t="s">
        <v>1842</v>
      </c>
      <c r="BT168" s="1" t="str">
        <f>HYPERLINK("https%3A%2F%2Fwww.webofscience.com%2Fwos%2Fwoscc%2Ffull-record%2FWOS:000389623700010","View Full Record in Web of Science")</f>
        <v>View Full Record in Web of Science</v>
      </c>
    </row>
    <row r="169" ht="12.75" customHeight="1">
      <c r="A169" s="1" t="s">
        <v>72</v>
      </c>
      <c r="B169" s="1" t="s">
        <v>1843</v>
      </c>
      <c r="C169" s="1" t="s">
        <v>74</v>
      </c>
      <c r="D169" s="1" t="s">
        <v>74</v>
      </c>
      <c r="E169" s="1" t="s">
        <v>74</v>
      </c>
      <c r="F169" s="1" t="s">
        <v>1844</v>
      </c>
      <c r="G169" s="1" t="s">
        <v>74</v>
      </c>
      <c r="H169" s="1" t="s">
        <v>74</v>
      </c>
      <c r="I169" s="1" t="s">
        <v>1845</v>
      </c>
      <c r="J169" s="1" t="s">
        <v>1846</v>
      </c>
      <c r="K169" s="1" t="s">
        <v>74</v>
      </c>
      <c r="L169" s="1" t="s">
        <v>74</v>
      </c>
      <c r="M169" s="1" t="s">
        <v>74</v>
      </c>
      <c r="N169" s="1" t="s">
        <v>74</v>
      </c>
      <c r="O169" s="1" t="s">
        <v>74</v>
      </c>
      <c r="P169" s="1" t="s">
        <v>74</v>
      </c>
      <c r="Q169" s="1" t="s">
        <v>74</v>
      </c>
      <c r="R169" s="1" t="s">
        <v>74</v>
      </c>
      <c r="S169" s="1" t="s">
        <v>74</v>
      </c>
      <c r="T169" s="1" t="s">
        <v>74</v>
      </c>
      <c r="U169" s="1" t="s">
        <v>74</v>
      </c>
      <c r="V169" s="1" t="s">
        <v>1847</v>
      </c>
      <c r="W169" s="1" t="s">
        <v>74</v>
      </c>
      <c r="X169" s="1" t="s">
        <v>74</v>
      </c>
      <c r="Y169" s="1" t="s">
        <v>74</v>
      </c>
      <c r="Z169" s="1" t="s">
        <v>74</v>
      </c>
      <c r="AA169" s="1" t="s">
        <v>1848</v>
      </c>
      <c r="AB169" s="1" t="s">
        <v>1849</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1850</v>
      </c>
      <c r="AP169" s="1" t="s">
        <v>1851</v>
      </c>
      <c r="AQ169" s="1" t="s">
        <v>74</v>
      </c>
      <c r="AR169" s="1" t="s">
        <v>74</v>
      </c>
      <c r="AS169" s="1" t="s">
        <v>74</v>
      </c>
      <c r="AT169" s="1" t="s">
        <v>74</v>
      </c>
      <c r="AU169" s="1">
        <v>2016.0</v>
      </c>
      <c r="AV169" s="1">
        <v>40.0</v>
      </c>
      <c r="AW169" s="1">
        <v>9.0</v>
      </c>
      <c r="AX169" s="1" t="s">
        <v>74</v>
      </c>
      <c r="AY169" s="1" t="s">
        <v>74</v>
      </c>
      <c r="AZ169" s="1" t="s">
        <v>74</v>
      </c>
      <c r="BA169" s="1" t="s">
        <v>74</v>
      </c>
      <c r="BB169" s="1">
        <v>7307.0</v>
      </c>
      <c r="BC169" s="1">
        <v>7310.0</v>
      </c>
      <c r="BD169" s="1" t="s">
        <v>74</v>
      </c>
      <c r="BE169" s="1" t="s">
        <v>1852</v>
      </c>
      <c r="BF169" s="2" t="str">
        <f>HYPERLINK("http://dx.doi.org/10.1039/c6nj01574c","http://dx.doi.org/10.1039/c6nj01574c")</f>
        <v>http://dx.doi.org/10.1039/c6nj01574c</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1853</v>
      </c>
      <c r="BT169" s="1" t="str">
        <f>HYPERLINK("https%3A%2F%2Fwww.webofscience.com%2Fwos%2Fwoscc%2Ffull-record%2FWOS:000382820000012","View Full Record in Web of Science")</f>
        <v>View Full Record in Web of Science</v>
      </c>
    </row>
    <row r="170" ht="12.75" customHeight="1">
      <c r="A170" s="1" t="s">
        <v>72</v>
      </c>
      <c r="B170" s="1" t="s">
        <v>1854</v>
      </c>
      <c r="C170" s="1" t="s">
        <v>74</v>
      </c>
      <c r="D170" s="1" t="s">
        <v>74</v>
      </c>
      <c r="E170" s="1" t="s">
        <v>74</v>
      </c>
      <c r="F170" s="1" t="s">
        <v>1855</v>
      </c>
      <c r="G170" s="1" t="s">
        <v>74</v>
      </c>
      <c r="H170" s="1" t="s">
        <v>74</v>
      </c>
      <c r="I170" s="1" t="s">
        <v>1856</v>
      </c>
      <c r="J170" s="1" t="s">
        <v>1857</v>
      </c>
      <c r="K170" s="1" t="s">
        <v>74</v>
      </c>
      <c r="L170" s="1" t="s">
        <v>74</v>
      </c>
      <c r="M170" s="1" t="s">
        <v>74</v>
      </c>
      <c r="N170" s="1" t="s">
        <v>74</v>
      </c>
      <c r="O170" s="1" t="s">
        <v>74</v>
      </c>
      <c r="P170" s="1" t="s">
        <v>74</v>
      </c>
      <c r="Q170" s="1" t="s">
        <v>74</v>
      </c>
      <c r="R170" s="1" t="s">
        <v>74</v>
      </c>
      <c r="S170" s="1" t="s">
        <v>74</v>
      </c>
      <c r="T170" s="1" t="s">
        <v>74</v>
      </c>
      <c r="U170" s="1" t="s">
        <v>74</v>
      </c>
      <c r="V170" s="1" t="s">
        <v>1858</v>
      </c>
      <c r="W170" s="1" t="s">
        <v>74</v>
      </c>
      <c r="X170" s="1" t="s">
        <v>74</v>
      </c>
      <c r="Y170" s="1" t="s">
        <v>74</v>
      </c>
      <c r="Z170" s="1" t="s">
        <v>74</v>
      </c>
      <c r="AA170" s="1" t="s">
        <v>1859</v>
      </c>
      <c r="AB170" s="1" t="s">
        <v>1860</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1861</v>
      </c>
      <c r="AP170" s="1" t="s">
        <v>1862</v>
      </c>
      <c r="AQ170" s="1" t="s">
        <v>74</v>
      </c>
      <c r="AR170" s="1" t="s">
        <v>74</v>
      </c>
      <c r="AS170" s="1" t="s">
        <v>74</v>
      </c>
      <c r="AT170" s="1" t="s">
        <v>95</v>
      </c>
      <c r="AU170" s="1">
        <v>2015.0</v>
      </c>
      <c r="AV170" s="1">
        <v>50.0</v>
      </c>
      <c r="AW170" s="1">
        <v>8.0</v>
      </c>
      <c r="AX170" s="1" t="s">
        <v>74</v>
      </c>
      <c r="AY170" s="1" t="s">
        <v>74</v>
      </c>
      <c r="AZ170" s="1" t="s">
        <v>74</v>
      </c>
      <c r="BA170" s="1" t="s">
        <v>74</v>
      </c>
      <c r="BB170" s="1">
        <v>628.0</v>
      </c>
      <c r="BC170" s="1">
        <v>632.0</v>
      </c>
      <c r="BD170" s="1" t="s">
        <v>74</v>
      </c>
      <c r="BE170" s="1" t="s">
        <v>1863</v>
      </c>
      <c r="BF170" s="2" t="str">
        <f>HYPERLINK("http://dx.doi.org/10.1179/1743278215Y.0000000007","http://dx.doi.org/10.1179/1743278215Y.0000000007")</f>
        <v>http://dx.doi.org/10.1179/1743278215Y.0000000007</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1864</v>
      </c>
      <c r="BT170" s="1" t="str">
        <f>HYPERLINK("https%3A%2F%2Fwww.webofscience.com%2Fwos%2Fwoscc%2Ffull-record%2FWOS:000366925800008","View Full Record in Web of Science")</f>
        <v>View Full Record in Web of Science</v>
      </c>
    </row>
    <row r="171" ht="12.75" customHeight="1">
      <c r="A171" s="1" t="s">
        <v>72</v>
      </c>
      <c r="B171" s="1" t="s">
        <v>1865</v>
      </c>
      <c r="C171" s="1" t="s">
        <v>74</v>
      </c>
      <c r="D171" s="1" t="s">
        <v>74</v>
      </c>
      <c r="E171" s="1" t="s">
        <v>74</v>
      </c>
      <c r="F171" s="1" t="s">
        <v>1866</v>
      </c>
      <c r="G171" s="1" t="s">
        <v>74</v>
      </c>
      <c r="H171" s="1" t="s">
        <v>74</v>
      </c>
      <c r="I171" s="1" t="s">
        <v>1867</v>
      </c>
      <c r="J171" s="1" t="s">
        <v>1868</v>
      </c>
      <c r="K171" s="1" t="s">
        <v>74</v>
      </c>
      <c r="L171" s="1" t="s">
        <v>74</v>
      </c>
      <c r="M171" s="1" t="s">
        <v>74</v>
      </c>
      <c r="N171" s="1" t="s">
        <v>74</v>
      </c>
      <c r="O171" s="1" t="s">
        <v>74</v>
      </c>
      <c r="P171" s="1" t="s">
        <v>74</v>
      </c>
      <c r="Q171" s="1" t="s">
        <v>74</v>
      </c>
      <c r="R171" s="1" t="s">
        <v>74</v>
      </c>
      <c r="S171" s="1" t="s">
        <v>74</v>
      </c>
      <c r="T171" s="1" t="s">
        <v>74</v>
      </c>
      <c r="U171" s="1" t="s">
        <v>74</v>
      </c>
      <c r="V171" s="1" t="s">
        <v>1869</v>
      </c>
      <c r="W171" s="1" t="s">
        <v>74</v>
      </c>
      <c r="X171" s="1" t="s">
        <v>74</v>
      </c>
      <c r="Y171" s="1" t="s">
        <v>74</v>
      </c>
      <c r="Z171" s="1" t="s">
        <v>74</v>
      </c>
      <c r="AA171" s="1" t="s">
        <v>1870</v>
      </c>
      <c r="AB171" s="1" t="s">
        <v>1871</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1872</v>
      </c>
      <c r="AP171" s="1" t="s">
        <v>74</v>
      </c>
      <c r="AQ171" s="1" t="s">
        <v>74</v>
      </c>
      <c r="AR171" s="1" t="s">
        <v>74</v>
      </c>
      <c r="AS171" s="1" t="s">
        <v>74</v>
      </c>
      <c r="AT171" s="1" t="s">
        <v>232</v>
      </c>
      <c r="AU171" s="1">
        <v>2015.0</v>
      </c>
      <c r="AV171" s="1">
        <v>150.0</v>
      </c>
      <c r="AW171" s="1">
        <v>4.0</v>
      </c>
      <c r="AX171" s="1" t="s">
        <v>74</v>
      </c>
      <c r="AY171" s="1" t="s">
        <v>74</v>
      </c>
      <c r="AZ171" s="1" t="s">
        <v>74</v>
      </c>
      <c r="BA171" s="1" t="s">
        <v>74</v>
      </c>
      <c r="BB171" s="1">
        <v>331.0</v>
      </c>
      <c r="BC171" s="1">
        <v>341.0</v>
      </c>
      <c r="BD171" s="1" t="s">
        <v>74</v>
      </c>
      <c r="BE171" s="1" t="s">
        <v>1873</v>
      </c>
      <c r="BF171" s="2" t="str">
        <f>HYPERLINK("http://dx.doi.org/10.1530/REP-15-0137","http://dx.doi.org/10.1530/REP-15-0137")</f>
        <v>http://dx.doi.org/10.1530/REP-15-0137</v>
      </c>
      <c r="BG171" s="1" t="s">
        <v>74</v>
      </c>
      <c r="BH171" s="1" t="s">
        <v>74</v>
      </c>
      <c r="BI171" s="1" t="s">
        <v>74</v>
      </c>
      <c r="BJ171" s="1" t="s">
        <v>74</v>
      </c>
      <c r="BK171" s="1" t="s">
        <v>74</v>
      </c>
      <c r="BL171" s="1" t="s">
        <v>74</v>
      </c>
      <c r="BM171" s="1" t="s">
        <v>74</v>
      </c>
      <c r="BN171" s="1">
        <v>2.615983E7</v>
      </c>
      <c r="BO171" s="1" t="s">
        <v>74</v>
      </c>
      <c r="BP171" s="1" t="s">
        <v>74</v>
      </c>
      <c r="BQ171" s="1" t="s">
        <v>74</v>
      </c>
      <c r="BR171" s="1" t="s">
        <v>74</v>
      </c>
      <c r="BS171" s="1" t="s">
        <v>1874</v>
      </c>
      <c r="BT171" s="1" t="str">
        <f>HYPERLINK("https%3A%2F%2Fwww.webofscience.com%2Fwos%2Fwoscc%2Ffull-record%2FWOS:000361908800012","View Full Record in Web of Science")</f>
        <v>View Full Record in Web of Science</v>
      </c>
    </row>
    <row r="172" ht="12.75" customHeight="1">
      <c r="A172" s="1" t="s">
        <v>346</v>
      </c>
      <c r="B172" s="1" t="s">
        <v>1875</v>
      </c>
      <c r="C172" s="1" t="s">
        <v>74</v>
      </c>
      <c r="D172" s="1" t="s">
        <v>1876</v>
      </c>
      <c r="E172" s="1" t="s">
        <v>74</v>
      </c>
      <c r="F172" s="1" t="s">
        <v>1877</v>
      </c>
      <c r="G172" s="1" t="s">
        <v>74</v>
      </c>
      <c r="H172" s="1" t="s">
        <v>74</v>
      </c>
      <c r="I172" s="1" t="s">
        <v>1878</v>
      </c>
      <c r="J172" s="1" t="s">
        <v>1879</v>
      </c>
      <c r="K172" s="1" t="s">
        <v>1880</v>
      </c>
      <c r="L172" s="1" t="s">
        <v>74</v>
      </c>
      <c r="M172" s="1" t="s">
        <v>74</v>
      </c>
      <c r="N172" s="1" t="s">
        <v>74</v>
      </c>
      <c r="O172" s="1" t="s">
        <v>1881</v>
      </c>
      <c r="P172" s="1" t="s">
        <v>1882</v>
      </c>
      <c r="Q172" s="1" t="s">
        <v>1883</v>
      </c>
      <c r="R172" s="1" t="s">
        <v>74</v>
      </c>
      <c r="S172" s="1" t="s">
        <v>74</v>
      </c>
      <c r="T172" s="1" t="s">
        <v>74</v>
      </c>
      <c r="U172" s="1" t="s">
        <v>74</v>
      </c>
      <c r="V172" s="1" t="s">
        <v>1884</v>
      </c>
      <c r="W172" s="1" t="s">
        <v>74</v>
      </c>
      <c r="X172" s="1" t="s">
        <v>74</v>
      </c>
      <c r="Y172" s="1" t="s">
        <v>74</v>
      </c>
      <c r="Z172" s="1" t="s">
        <v>74</v>
      </c>
      <c r="AA172" s="1" t="s">
        <v>1885</v>
      </c>
      <c r="AB172" s="1" t="s">
        <v>1886</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1887</v>
      </c>
      <c r="AP172" s="1" t="s">
        <v>74</v>
      </c>
      <c r="AQ172" s="1" t="s">
        <v>74</v>
      </c>
      <c r="AR172" s="1" t="s">
        <v>74</v>
      </c>
      <c r="AS172" s="1" t="s">
        <v>74</v>
      </c>
      <c r="AT172" s="1" t="s">
        <v>74</v>
      </c>
      <c r="AU172" s="1">
        <v>2015.0</v>
      </c>
      <c r="AV172" s="1">
        <v>186.0</v>
      </c>
      <c r="AW172" s="1" t="s">
        <v>74</v>
      </c>
      <c r="AX172" s="1" t="s">
        <v>74</v>
      </c>
      <c r="AY172" s="1" t="s">
        <v>74</v>
      </c>
      <c r="AZ172" s="1" t="s">
        <v>74</v>
      </c>
      <c r="BA172" s="1" t="s">
        <v>74</v>
      </c>
      <c r="BB172" s="1">
        <v>388.0</v>
      </c>
      <c r="BC172" s="1">
        <v>394.0</v>
      </c>
      <c r="BD172" s="1" t="s">
        <v>74</v>
      </c>
      <c r="BE172" s="1" t="s">
        <v>1888</v>
      </c>
      <c r="BF172" s="2" t="str">
        <f>HYPERLINK("http://dx.doi.org/10.1016/j.sbspro.2015.04.094","http://dx.doi.org/10.1016/j.sbspro.2015.04.094")</f>
        <v>http://dx.doi.org/10.1016/j.sbspro.2015.04.094</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1889</v>
      </c>
      <c r="BT172" s="1" t="str">
        <f>HYPERLINK("https%3A%2F%2Fwww.webofscience.com%2Fwos%2Fwoscc%2Ffull-record%2FWOS:000380499600060","View Full Record in Web of Science")</f>
        <v>View Full Record in Web of Science</v>
      </c>
    </row>
    <row r="173" ht="12.75" customHeight="1">
      <c r="A173" s="1" t="s">
        <v>346</v>
      </c>
      <c r="B173" s="1" t="s">
        <v>1890</v>
      </c>
      <c r="C173" s="1" t="s">
        <v>74</v>
      </c>
      <c r="D173" s="1" t="s">
        <v>1891</v>
      </c>
      <c r="E173" s="1" t="s">
        <v>74</v>
      </c>
      <c r="F173" s="1" t="s">
        <v>1892</v>
      </c>
      <c r="G173" s="1" t="s">
        <v>74</v>
      </c>
      <c r="H173" s="1" t="s">
        <v>74</v>
      </c>
      <c r="I173" s="1" t="s">
        <v>1893</v>
      </c>
      <c r="J173" s="1" t="s">
        <v>1894</v>
      </c>
      <c r="K173" s="1" t="s">
        <v>1895</v>
      </c>
      <c r="L173" s="1" t="s">
        <v>74</v>
      </c>
      <c r="M173" s="1" t="s">
        <v>74</v>
      </c>
      <c r="N173" s="1" t="s">
        <v>74</v>
      </c>
      <c r="O173" s="1" t="s">
        <v>1896</v>
      </c>
      <c r="P173" s="1" t="s">
        <v>1897</v>
      </c>
      <c r="Q173" s="1" t="s">
        <v>1898</v>
      </c>
      <c r="R173" s="1" t="s">
        <v>1899</v>
      </c>
      <c r="S173" s="1" t="s">
        <v>74</v>
      </c>
      <c r="T173" s="1" t="s">
        <v>74</v>
      </c>
      <c r="U173" s="1" t="s">
        <v>74</v>
      </c>
      <c r="V173" s="1" t="s">
        <v>1900</v>
      </c>
      <c r="W173" s="1" t="s">
        <v>74</v>
      </c>
      <c r="X173" s="1" t="s">
        <v>74</v>
      </c>
      <c r="Y173" s="1" t="s">
        <v>74</v>
      </c>
      <c r="Z173" s="1" t="s">
        <v>74</v>
      </c>
      <c r="AA173" s="1" t="s">
        <v>1901</v>
      </c>
      <c r="AB173" s="1" t="s">
        <v>1902</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1903</v>
      </c>
      <c r="AP173" s="1" t="s">
        <v>1904</v>
      </c>
      <c r="AQ173" s="1" t="s">
        <v>1905</v>
      </c>
      <c r="AR173" s="1" t="s">
        <v>74</v>
      </c>
      <c r="AS173" s="1" t="s">
        <v>74</v>
      </c>
      <c r="AT173" s="1" t="s">
        <v>74</v>
      </c>
      <c r="AU173" s="1">
        <v>2014.0</v>
      </c>
      <c r="AV173" s="1">
        <v>8857.0</v>
      </c>
      <c r="AW173" s="1" t="s">
        <v>74</v>
      </c>
      <c r="AX173" s="1" t="s">
        <v>74</v>
      </c>
      <c r="AY173" s="1" t="s">
        <v>74</v>
      </c>
      <c r="AZ173" s="1" t="s">
        <v>74</v>
      </c>
      <c r="BA173" s="1" t="s">
        <v>74</v>
      </c>
      <c r="BB173" s="1">
        <v>160.0</v>
      </c>
      <c r="BC173" s="1">
        <v>171.0</v>
      </c>
      <c r="BD173" s="1" t="s">
        <v>74</v>
      </c>
      <c r="BE173" s="1" t="s">
        <v>74</v>
      </c>
      <c r="BF173" s="1" t="s">
        <v>74</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1906</v>
      </c>
      <c r="BT173" s="1" t="str">
        <f>HYPERLINK("https%3A%2F%2Fwww.webofscience.com%2Fwos%2Fwoscc%2Ffull-record%2FWOS:000354938000015","View Full Record in Web of Science")</f>
        <v>View Full Record in Web of Science</v>
      </c>
    </row>
    <row r="174" ht="12.75" customHeight="1">
      <c r="A174" s="1" t="s">
        <v>72</v>
      </c>
      <c r="B174" s="1" t="s">
        <v>1907</v>
      </c>
      <c r="C174" s="1" t="s">
        <v>74</v>
      </c>
      <c r="D174" s="1" t="s">
        <v>74</v>
      </c>
      <c r="E174" s="1" t="s">
        <v>74</v>
      </c>
      <c r="F174" s="1" t="s">
        <v>1908</v>
      </c>
      <c r="G174" s="1" t="s">
        <v>74</v>
      </c>
      <c r="H174" s="1" t="s">
        <v>74</v>
      </c>
      <c r="I174" s="1" t="s">
        <v>1909</v>
      </c>
      <c r="J174" s="1" t="s">
        <v>1910</v>
      </c>
      <c r="K174" s="1" t="s">
        <v>74</v>
      </c>
      <c r="L174" s="1" t="s">
        <v>74</v>
      </c>
      <c r="M174" s="1" t="s">
        <v>74</v>
      </c>
      <c r="N174" s="1" t="s">
        <v>74</v>
      </c>
      <c r="O174" s="1" t="s">
        <v>74</v>
      </c>
      <c r="P174" s="1" t="s">
        <v>74</v>
      </c>
      <c r="Q174" s="1" t="s">
        <v>74</v>
      </c>
      <c r="R174" s="1" t="s">
        <v>74</v>
      </c>
      <c r="S174" s="1" t="s">
        <v>74</v>
      </c>
      <c r="T174" s="1" t="s">
        <v>74</v>
      </c>
      <c r="U174" s="1" t="s">
        <v>74</v>
      </c>
      <c r="V174" s="1" t="s">
        <v>1911</v>
      </c>
      <c r="W174" s="1" t="s">
        <v>74</v>
      </c>
      <c r="X174" s="1" t="s">
        <v>74</v>
      </c>
      <c r="Y174" s="1" t="s">
        <v>74</v>
      </c>
      <c r="Z174" s="1" t="s">
        <v>74</v>
      </c>
      <c r="AA174" s="1" t="s">
        <v>1912</v>
      </c>
      <c r="AB174" s="1" t="s">
        <v>1913</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1914</v>
      </c>
      <c r="AP174" s="1" t="s">
        <v>1915</v>
      </c>
      <c r="AQ174" s="1" t="s">
        <v>74</v>
      </c>
      <c r="AR174" s="1" t="s">
        <v>74</v>
      </c>
      <c r="AS174" s="1" t="s">
        <v>74</v>
      </c>
      <c r="AT174" s="1" t="s">
        <v>1174</v>
      </c>
      <c r="AU174" s="1">
        <v>2012.0</v>
      </c>
      <c r="AV174" s="1">
        <v>99.0</v>
      </c>
      <c r="AW174" s="1" t="s">
        <v>74</v>
      </c>
      <c r="AX174" s="1" t="s">
        <v>74</v>
      </c>
      <c r="AY174" s="1" t="s">
        <v>74</v>
      </c>
      <c r="AZ174" s="1" t="s">
        <v>74</v>
      </c>
      <c r="BA174" s="1" t="s">
        <v>74</v>
      </c>
      <c r="BB174" s="1">
        <v>119.0</v>
      </c>
      <c r="BC174" s="1">
        <v>124.0</v>
      </c>
      <c r="BD174" s="1" t="s">
        <v>74</v>
      </c>
      <c r="BE174" s="1" t="s">
        <v>1916</v>
      </c>
      <c r="BF174" s="2" t="str">
        <f>HYPERLINK("http://dx.doi.org/10.1016/j.talanta.2012.05.028","http://dx.doi.org/10.1016/j.talanta.2012.05.028")</f>
        <v>http://dx.doi.org/10.1016/j.talanta.2012.05.028</v>
      </c>
      <c r="BG174" s="1" t="s">
        <v>74</v>
      </c>
      <c r="BH174" s="1" t="s">
        <v>74</v>
      </c>
      <c r="BI174" s="1" t="s">
        <v>74</v>
      </c>
      <c r="BJ174" s="1" t="s">
        <v>74</v>
      </c>
      <c r="BK174" s="1" t="s">
        <v>74</v>
      </c>
      <c r="BL174" s="1" t="s">
        <v>74</v>
      </c>
      <c r="BM174" s="1" t="s">
        <v>74</v>
      </c>
      <c r="BN174" s="1">
        <v>2.296753E7</v>
      </c>
      <c r="BO174" s="1" t="s">
        <v>74</v>
      </c>
      <c r="BP174" s="1" t="s">
        <v>74</v>
      </c>
      <c r="BQ174" s="1" t="s">
        <v>74</v>
      </c>
      <c r="BR174" s="1" t="s">
        <v>74</v>
      </c>
      <c r="BS174" s="1" t="s">
        <v>1917</v>
      </c>
      <c r="BT174" s="1" t="str">
        <f>HYPERLINK("https%3A%2F%2Fwww.webofscience.com%2Fwos%2Fwoscc%2Ffull-record%2FWOS:000309785300017","View Full Record in Web of Science")</f>
        <v>View Full Record in Web of Science</v>
      </c>
    </row>
    <row r="175" ht="12.75" customHeight="1">
      <c r="A175" s="1" t="s">
        <v>72</v>
      </c>
      <c r="B175" s="1" t="s">
        <v>1918</v>
      </c>
      <c r="C175" s="1" t="s">
        <v>74</v>
      </c>
      <c r="D175" s="1" t="s">
        <v>74</v>
      </c>
      <c r="E175" s="1" t="s">
        <v>74</v>
      </c>
      <c r="F175" s="1" t="s">
        <v>1919</v>
      </c>
      <c r="G175" s="1" t="s">
        <v>74</v>
      </c>
      <c r="H175" s="1" t="s">
        <v>74</v>
      </c>
      <c r="I175" s="1" t="s">
        <v>1920</v>
      </c>
      <c r="J175" s="1" t="s">
        <v>1921</v>
      </c>
      <c r="K175" s="1" t="s">
        <v>74</v>
      </c>
      <c r="L175" s="1" t="s">
        <v>74</v>
      </c>
      <c r="M175" s="1" t="s">
        <v>74</v>
      </c>
      <c r="N175" s="1" t="s">
        <v>74</v>
      </c>
      <c r="O175" s="1" t="s">
        <v>74</v>
      </c>
      <c r="P175" s="1" t="s">
        <v>74</v>
      </c>
      <c r="Q175" s="1" t="s">
        <v>74</v>
      </c>
      <c r="R175" s="1" t="s">
        <v>74</v>
      </c>
      <c r="S175" s="1" t="s">
        <v>74</v>
      </c>
      <c r="T175" s="1" t="s">
        <v>74</v>
      </c>
      <c r="U175" s="1" t="s">
        <v>74</v>
      </c>
      <c r="V175" s="1" t="s">
        <v>1922</v>
      </c>
      <c r="W175" s="1" t="s">
        <v>74</v>
      </c>
      <c r="X175" s="1" t="s">
        <v>74</v>
      </c>
      <c r="Y175" s="1" t="s">
        <v>74</v>
      </c>
      <c r="Z175" s="1" t="s">
        <v>74</v>
      </c>
      <c r="AA175" s="1" t="s">
        <v>74</v>
      </c>
      <c r="AB175" s="1" t="s">
        <v>1923</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1924</v>
      </c>
      <c r="AP175" s="1" t="s">
        <v>74</v>
      </c>
      <c r="AQ175" s="1" t="s">
        <v>74</v>
      </c>
      <c r="AR175" s="1" t="s">
        <v>74</v>
      </c>
      <c r="AS175" s="1" t="s">
        <v>74</v>
      </c>
      <c r="AT175" s="1" t="s">
        <v>164</v>
      </c>
      <c r="AU175" s="1">
        <v>2012.0</v>
      </c>
      <c r="AV175" s="1">
        <v>4.0</v>
      </c>
      <c r="AW175" s="1">
        <v>3.0</v>
      </c>
      <c r="AX175" s="1" t="s">
        <v>74</v>
      </c>
      <c r="AY175" s="1" t="s">
        <v>74</v>
      </c>
      <c r="AZ175" s="1" t="s">
        <v>74</v>
      </c>
      <c r="BA175" s="1" t="s">
        <v>74</v>
      </c>
      <c r="BB175" s="1">
        <v>128.0</v>
      </c>
      <c r="BC175" s="1">
        <v>152.0</v>
      </c>
      <c r="BD175" s="1" t="s">
        <v>74</v>
      </c>
      <c r="BE175" s="1" t="s">
        <v>1925</v>
      </c>
      <c r="BF175" s="2" t="str">
        <f>HYPERLINK("http://dx.doi.org/10.1257/mac.4.3.128","http://dx.doi.org/10.1257/mac.4.3.128")</f>
        <v>http://dx.doi.org/10.1257/mac.4.3.128</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1926</v>
      </c>
      <c r="BT175" s="1" t="str">
        <f>HYPERLINK("https%3A%2F%2Fwww.webofscience.com%2Fwos%2Fwoscc%2Ffull-record%2FWOS:000305838000005","View Full Record in Web of Science")</f>
        <v>View Full Record in Web of Science</v>
      </c>
    </row>
    <row r="176" ht="12.75" customHeight="1">
      <c r="A176" s="1" t="s">
        <v>72</v>
      </c>
      <c r="B176" s="1" t="s">
        <v>1927</v>
      </c>
      <c r="C176" s="1" t="s">
        <v>74</v>
      </c>
      <c r="D176" s="1" t="s">
        <v>74</v>
      </c>
      <c r="E176" s="1" t="s">
        <v>74</v>
      </c>
      <c r="F176" s="1" t="s">
        <v>1928</v>
      </c>
      <c r="G176" s="1" t="s">
        <v>74</v>
      </c>
      <c r="H176" s="1" t="s">
        <v>74</v>
      </c>
      <c r="I176" s="1" t="s">
        <v>1929</v>
      </c>
      <c r="J176" s="1" t="s">
        <v>1930</v>
      </c>
      <c r="K176" s="1" t="s">
        <v>74</v>
      </c>
      <c r="L176" s="1" t="s">
        <v>74</v>
      </c>
      <c r="M176" s="1" t="s">
        <v>74</v>
      </c>
      <c r="N176" s="1" t="s">
        <v>74</v>
      </c>
      <c r="O176" s="1" t="s">
        <v>74</v>
      </c>
      <c r="P176" s="1" t="s">
        <v>74</v>
      </c>
      <c r="Q176" s="1" t="s">
        <v>74</v>
      </c>
      <c r="R176" s="1" t="s">
        <v>74</v>
      </c>
      <c r="S176" s="1" t="s">
        <v>74</v>
      </c>
      <c r="T176" s="1" t="s">
        <v>74</v>
      </c>
      <c r="U176" s="1" t="s">
        <v>74</v>
      </c>
      <c r="V176" s="1" t="s">
        <v>1931</v>
      </c>
      <c r="W176" s="1" t="s">
        <v>74</v>
      </c>
      <c r="X176" s="1" t="s">
        <v>74</v>
      </c>
      <c r="Y176" s="1" t="s">
        <v>74</v>
      </c>
      <c r="Z176" s="1" t="s">
        <v>74</v>
      </c>
      <c r="AA176" s="1" t="s">
        <v>1932</v>
      </c>
      <c r="AB176" s="1" t="s">
        <v>1933</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1934</v>
      </c>
      <c r="AP176" s="1" t="s">
        <v>74</v>
      </c>
      <c r="AQ176" s="1" t="s">
        <v>74</v>
      </c>
      <c r="AR176" s="1" t="s">
        <v>74</v>
      </c>
      <c r="AS176" s="1" t="s">
        <v>74</v>
      </c>
      <c r="AT176" s="1" t="s">
        <v>1935</v>
      </c>
      <c r="AU176" s="1">
        <v>2012.0</v>
      </c>
      <c r="AV176" s="1">
        <v>49.0</v>
      </c>
      <c r="AW176" s="1">
        <v>13.0</v>
      </c>
      <c r="AX176" s="1" t="s">
        <v>74</v>
      </c>
      <c r="AY176" s="1" t="s">
        <v>74</v>
      </c>
      <c r="AZ176" s="1" t="s">
        <v>74</v>
      </c>
      <c r="BA176" s="1" t="s">
        <v>74</v>
      </c>
      <c r="BB176" s="1">
        <v>1453.0</v>
      </c>
      <c r="BC176" s="1">
        <v>1462.0</v>
      </c>
      <c r="BD176" s="1" t="s">
        <v>74</v>
      </c>
      <c r="BE176" s="1" t="s">
        <v>1936</v>
      </c>
      <c r="BF176" s="2" t="str">
        <f>HYPERLINK("http://dx.doi.org/10.1016/j.ijsolstr.2012.02.023","http://dx.doi.org/10.1016/j.ijsolstr.2012.02.023")</f>
        <v>http://dx.doi.org/10.1016/j.ijsolstr.2012.02.023</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1937</v>
      </c>
      <c r="BT176" s="1" t="str">
        <f>HYPERLINK("https%3A%2F%2Fwww.webofscience.com%2Fwos%2Fwoscc%2Ffull-record%2FWOS:000304744400003","View Full Record in Web of Science")</f>
        <v>View Full Record in Web of Science</v>
      </c>
    </row>
    <row r="177" ht="12.75" customHeight="1">
      <c r="A177" s="1" t="s">
        <v>72</v>
      </c>
      <c r="B177" s="1" t="s">
        <v>1938</v>
      </c>
      <c r="C177" s="1" t="s">
        <v>74</v>
      </c>
      <c r="D177" s="1" t="s">
        <v>74</v>
      </c>
      <c r="E177" s="1" t="s">
        <v>74</v>
      </c>
      <c r="F177" s="1" t="s">
        <v>1939</v>
      </c>
      <c r="G177" s="1" t="s">
        <v>74</v>
      </c>
      <c r="H177" s="1" t="s">
        <v>74</v>
      </c>
      <c r="I177" s="1" t="s">
        <v>1940</v>
      </c>
      <c r="J177" s="1" t="s">
        <v>1941</v>
      </c>
      <c r="K177" s="1" t="s">
        <v>74</v>
      </c>
      <c r="L177" s="1" t="s">
        <v>74</v>
      </c>
      <c r="M177" s="1" t="s">
        <v>74</v>
      </c>
      <c r="N177" s="1" t="s">
        <v>74</v>
      </c>
      <c r="O177" s="1" t="s">
        <v>74</v>
      </c>
      <c r="P177" s="1" t="s">
        <v>74</v>
      </c>
      <c r="Q177" s="1" t="s">
        <v>74</v>
      </c>
      <c r="R177" s="1" t="s">
        <v>74</v>
      </c>
      <c r="S177" s="1" t="s">
        <v>74</v>
      </c>
      <c r="T177" s="1" t="s">
        <v>74</v>
      </c>
      <c r="U177" s="1" t="s">
        <v>74</v>
      </c>
      <c r="V177" s="1" t="s">
        <v>1942</v>
      </c>
      <c r="W177" s="1" t="s">
        <v>74</v>
      </c>
      <c r="X177" s="1" t="s">
        <v>74</v>
      </c>
      <c r="Y177" s="1" t="s">
        <v>74</v>
      </c>
      <c r="Z177" s="1" t="s">
        <v>74</v>
      </c>
      <c r="AA177" s="1" t="s">
        <v>1943</v>
      </c>
      <c r="AB177" s="1" t="s">
        <v>1944</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1945</v>
      </c>
      <c r="AP177" s="1" t="s">
        <v>74</v>
      </c>
      <c r="AQ177" s="1" t="s">
        <v>74</v>
      </c>
      <c r="AR177" s="1" t="s">
        <v>74</v>
      </c>
      <c r="AS177" s="1" t="s">
        <v>74</v>
      </c>
      <c r="AT177" s="1" t="s">
        <v>1946</v>
      </c>
      <c r="AU177" s="1">
        <v>2010.0</v>
      </c>
      <c r="AV177" s="1">
        <v>114.0</v>
      </c>
      <c r="AW177" s="1">
        <v>29.0</v>
      </c>
      <c r="AX177" s="1" t="s">
        <v>74</v>
      </c>
      <c r="AY177" s="1" t="s">
        <v>74</v>
      </c>
      <c r="AZ177" s="1" t="s">
        <v>74</v>
      </c>
      <c r="BA177" s="1" t="s">
        <v>74</v>
      </c>
      <c r="BB177" s="1">
        <v>12792.0</v>
      </c>
      <c r="BC177" s="1">
        <v>12799.0</v>
      </c>
      <c r="BD177" s="1" t="s">
        <v>74</v>
      </c>
      <c r="BE177" s="1" t="s">
        <v>1947</v>
      </c>
      <c r="BF177" s="2" t="str">
        <f>HYPERLINK("http://dx.doi.org/10.1021/jp103507k","http://dx.doi.org/10.1021/jp103507k")</f>
        <v>http://dx.doi.org/10.1021/jp103507k</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1948</v>
      </c>
      <c r="BT177" s="1" t="str">
        <f>HYPERLINK("https%3A%2F%2Fwww.webofscience.com%2Fwos%2Fwoscc%2Ffull-record%2FWOS:000280070900057","View Full Record in Web of Science")</f>
        <v>View Full Record in Web of Science</v>
      </c>
    </row>
    <row r="178" ht="12.75" customHeight="1">
      <c r="A178" s="1" t="s">
        <v>72</v>
      </c>
      <c r="B178" s="1" t="s">
        <v>1949</v>
      </c>
      <c r="C178" s="1" t="s">
        <v>74</v>
      </c>
      <c r="D178" s="1" t="s">
        <v>74</v>
      </c>
      <c r="E178" s="1" t="s">
        <v>74</v>
      </c>
      <c r="F178" s="1" t="s">
        <v>1950</v>
      </c>
      <c r="G178" s="1" t="s">
        <v>74</v>
      </c>
      <c r="H178" s="1" t="s">
        <v>74</v>
      </c>
      <c r="I178" s="1" t="s">
        <v>1951</v>
      </c>
      <c r="J178" s="1" t="s">
        <v>1952</v>
      </c>
      <c r="K178" s="1" t="s">
        <v>74</v>
      </c>
      <c r="L178" s="1" t="s">
        <v>74</v>
      </c>
      <c r="M178" s="1" t="s">
        <v>74</v>
      </c>
      <c r="N178" s="1" t="s">
        <v>74</v>
      </c>
      <c r="O178" s="1" t="s">
        <v>74</v>
      </c>
      <c r="P178" s="1" t="s">
        <v>74</v>
      </c>
      <c r="Q178" s="1" t="s">
        <v>74</v>
      </c>
      <c r="R178" s="1" t="s">
        <v>74</v>
      </c>
      <c r="S178" s="1" t="s">
        <v>74</v>
      </c>
      <c r="T178" s="1" t="s">
        <v>74</v>
      </c>
      <c r="U178" s="1" t="s">
        <v>74</v>
      </c>
      <c r="V178" s="1" t="s">
        <v>1953</v>
      </c>
      <c r="W178" s="1" t="s">
        <v>74</v>
      </c>
      <c r="X178" s="1" t="s">
        <v>74</v>
      </c>
      <c r="Y178" s="1" t="s">
        <v>74</v>
      </c>
      <c r="Z178" s="1" t="s">
        <v>74</v>
      </c>
      <c r="AA178" s="1" t="s">
        <v>1954</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1955</v>
      </c>
      <c r="AP178" s="1" t="s">
        <v>74</v>
      </c>
      <c r="AQ178" s="1" t="s">
        <v>74</v>
      </c>
      <c r="AR178" s="1" t="s">
        <v>74</v>
      </c>
      <c r="AS178" s="1" t="s">
        <v>74</v>
      </c>
      <c r="AT178" s="1" t="s">
        <v>485</v>
      </c>
      <c r="AU178" s="1">
        <v>2009.0</v>
      </c>
      <c r="AV178" s="1">
        <v>18.0</v>
      </c>
      <c r="AW178" s="1">
        <v>2.0</v>
      </c>
      <c r="AX178" s="1" t="s">
        <v>74</v>
      </c>
      <c r="AY178" s="1" t="s">
        <v>74</v>
      </c>
      <c r="AZ178" s="1" t="s">
        <v>74</v>
      </c>
      <c r="BA178" s="1" t="s">
        <v>74</v>
      </c>
      <c r="BB178" s="1">
        <v>164.0</v>
      </c>
      <c r="BC178" s="1">
        <v>166.0</v>
      </c>
      <c r="BD178" s="1" t="s">
        <v>74</v>
      </c>
      <c r="BE178" s="1" t="s">
        <v>1956</v>
      </c>
      <c r="BF178" s="2" t="str">
        <f>HYPERLINK("http://dx.doi.org/10.1016/j.jstrokecerebrovasdis.2008.08.004","http://dx.doi.org/10.1016/j.jstrokecerebrovasdis.2008.08.004")</f>
        <v>http://dx.doi.org/10.1016/j.jstrokecerebrovasdis.2008.08.004</v>
      </c>
      <c r="BG178" s="1" t="s">
        <v>74</v>
      </c>
      <c r="BH178" s="1" t="s">
        <v>74</v>
      </c>
      <c r="BI178" s="1" t="s">
        <v>74</v>
      </c>
      <c r="BJ178" s="1" t="s">
        <v>74</v>
      </c>
      <c r="BK178" s="1" t="s">
        <v>74</v>
      </c>
      <c r="BL178" s="1" t="s">
        <v>74</v>
      </c>
      <c r="BM178" s="1" t="s">
        <v>74</v>
      </c>
      <c r="BN178" s="1">
        <v>1.9251194E7</v>
      </c>
      <c r="BO178" s="1" t="s">
        <v>74</v>
      </c>
      <c r="BP178" s="1" t="s">
        <v>74</v>
      </c>
      <c r="BQ178" s="1" t="s">
        <v>74</v>
      </c>
      <c r="BR178" s="1" t="s">
        <v>74</v>
      </c>
      <c r="BS178" s="1" t="s">
        <v>1957</v>
      </c>
      <c r="BT178" s="1" t="str">
        <f>HYPERLINK("https%3A%2F%2Fwww.webofscience.com%2Fwos%2Fwoscc%2Ffull-record%2FWOS:000264221400013","View Full Record in Web of Science")</f>
        <v>View Full Record in Web of Science</v>
      </c>
    </row>
    <row r="179" ht="12.75" customHeight="1">
      <c r="A179" s="1" t="s">
        <v>72</v>
      </c>
      <c r="B179" s="1" t="s">
        <v>1958</v>
      </c>
      <c r="C179" s="1" t="s">
        <v>74</v>
      </c>
      <c r="D179" s="1" t="s">
        <v>74</v>
      </c>
      <c r="E179" s="1" t="s">
        <v>74</v>
      </c>
      <c r="F179" s="1" t="s">
        <v>1959</v>
      </c>
      <c r="G179" s="1" t="s">
        <v>74</v>
      </c>
      <c r="H179" s="1" t="s">
        <v>74</v>
      </c>
      <c r="I179" s="1" t="s">
        <v>1960</v>
      </c>
      <c r="J179" s="1" t="s">
        <v>1961</v>
      </c>
      <c r="K179" s="1" t="s">
        <v>74</v>
      </c>
      <c r="L179" s="1" t="s">
        <v>74</v>
      </c>
      <c r="M179" s="1" t="s">
        <v>74</v>
      </c>
      <c r="N179" s="1" t="s">
        <v>74</v>
      </c>
      <c r="O179" s="1" t="s">
        <v>74</v>
      </c>
      <c r="P179" s="1" t="s">
        <v>74</v>
      </c>
      <c r="Q179" s="1" t="s">
        <v>74</v>
      </c>
      <c r="R179" s="1" t="s">
        <v>74</v>
      </c>
      <c r="S179" s="1" t="s">
        <v>74</v>
      </c>
      <c r="T179" s="1" t="s">
        <v>74</v>
      </c>
      <c r="U179" s="1" t="s">
        <v>74</v>
      </c>
      <c r="V179" s="1" t="s">
        <v>1962</v>
      </c>
      <c r="W179" s="1" t="s">
        <v>74</v>
      </c>
      <c r="X179" s="1" t="s">
        <v>74</v>
      </c>
      <c r="Y179" s="1" t="s">
        <v>74</v>
      </c>
      <c r="Z179" s="1" t="s">
        <v>74</v>
      </c>
      <c r="AA179" s="1" t="s">
        <v>1963</v>
      </c>
      <c r="AB179" s="1" t="s">
        <v>1964</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1965</v>
      </c>
      <c r="AP179" s="1" t="s">
        <v>74</v>
      </c>
      <c r="AQ179" s="1" t="s">
        <v>74</v>
      </c>
      <c r="AR179" s="1" t="s">
        <v>74</v>
      </c>
      <c r="AS179" s="1" t="s">
        <v>74</v>
      </c>
      <c r="AT179" s="1" t="s">
        <v>1316</v>
      </c>
      <c r="AU179" s="1">
        <v>2008.0</v>
      </c>
      <c r="AV179" s="1">
        <v>21.0</v>
      </c>
      <c r="AW179" s="1">
        <v>1.0</v>
      </c>
      <c r="AX179" s="1" t="s">
        <v>74</v>
      </c>
      <c r="AY179" s="1" t="s">
        <v>74</v>
      </c>
      <c r="AZ179" s="1" t="s">
        <v>74</v>
      </c>
      <c r="BA179" s="1" t="s">
        <v>74</v>
      </c>
      <c r="BB179" s="1">
        <v>101.0</v>
      </c>
      <c r="BC179" s="1">
        <v>120.0</v>
      </c>
      <c r="BD179" s="1" t="s">
        <v>74</v>
      </c>
      <c r="BE179" s="1" t="s">
        <v>74</v>
      </c>
      <c r="BF179" s="1" t="s">
        <v>74</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1966</v>
      </c>
      <c r="BT179" s="1" t="str">
        <f>HYPERLINK("https%3A%2F%2Fwww.webofscience.com%2Fwos%2Fwoscc%2Ffull-record%2FWOS:000252834300006","View Full Record in Web of Science")</f>
        <v>View Full Record in Web of Science</v>
      </c>
    </row>
    <row r="180" ht="12.75" customHeight="1">
      <c r="A180" s="1" t="s">
        <v>72</v>
      </c>
      <c r="B180" s="1" t="s">
        <v>1967</v>
      </c>
      <c r="C180" s="1" t="s">
        <v>74</v>
      </c>
      <c r="D180" s="1" t="s">
        <v>74</v>
      </c>
      <c r="E180" s="1" t="s">
        <v>74</v>
      </c>
      <c r="F180" s="1" t="s">
        <v>1967</v>
      </c>
      <c r="G180" s="1" t="s">
        <v>74</v>
      </c>
      <c r="H180" s="1" t="s">
        <v>74</v>
      </c>
      <c r="I180" s="1" t="s">
        <v>1968</v>
      </c>
      <c r="J180" s="1" t="s">
        <v>1440</v>
      </c>
      <c r="K180" s="1" t="s">
        <v>74</v>
      </c>
      <c r="L180" s="1" t="s">
        <v>74</v>
      </c>
      <c r="M180" s="1" t="s">
        <v>74</v>
      </c>
      <c r="N180" s="1" t="s">
        <v>74</v>
      </c>
      <c r="O180" s="1" t="s">
        <v>74</v>
      </c>
      <c r="P180" s="1" t="s">
        <v>74</v>
      </c>
      <c r="Q180" s="1" t="s">
        <v>74</v>
      </c>
      <c r="R180" s="1" t="s">
        <v>74</v>
      </c>
      <c r="S180" s="1" t="s">
        <v>74</v>
      </c>
      <c r="T180" s="1" t="s">
        <v>74</v>
      </c>
      <c r="U180" s="1" t="s">
        <v>74</v>
      </c>
      <c r="V180" s="1" t="s">
        <v>1969</v>
      </c>
      <c r="W180" s="1" t="s">
        <v>74</v>
      </c>
      <c r="X180" s="1" t="s">
        <v>74</v>
      </c>
      <c r="Y180" s="1" t="s">
        <v>74</v>
      </c>
      <c r="Z180" s="1" t="s">
        <v>74</v>
      </c>
      <c r="AA180" s="1" t="s">
        <v>74</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1443</v>
      </c>
      <c r="AP180" s="1" t="s">
        <v>1444</v>
      </c>
      <c r="AQ180" s="1" t="s">
        <v>74</v>
      </c>
      <c r="AR180" s="1" t="s">
        <v>74</v>
      </c>
      <c r="AS180" s="1" t="s">
        <v>74</v>
      </c>
      <c r="AT180" s="1" t="s">
        <v>83</v>
      </c>
      <c r="AU180" s="1">
        <v>2005.0</v>
      </c>
      <c r="AV180" s="1">
        <v>133.0</v>
      </c>
      <c r="AW180" s="1">
        <v>3.0</v>
      </c>
      <c r="AX180" s="1" t="s">
        <v>74</v>
      </c>
      <c r="AY180" s="1" t="s">
        <v>74</v>
      </c>
      <c r="AZ180" s="1" t="s">
        <v>74</v>
      </c>
      <c r="BA180" s="1" t="s">
        <v>74</v>
      </c>
      <c r="BB180" s="1">
        <v>362.0</v>
      </c>
      <c r="BC180" s="1">
        <v>370.0</v>
      </c>
      <c r="BD180" s="1" t="s">
        <v>74</v>
      </c>
      <c r="BE180" s="1" t="s">
        <v>74</v>
      </c>
      <c r="BF180" s="1" t="s">
        <v>74</v>
      </c>
      <c r="BG180" s="1" t="s">
        <v>74</v>
      </c>
      <c r="BH180" s="1" t="s">
        <v>74</v>
      </c>
      <c r="BI180" s="1" t="s">
        <v>74</v>
      </c>
      <c r="BJ180" s="1" t="s">
        <v>74</v>
      </c>
      <c r="BK180" s="1" t="s">
        <v>74</v>
      </c>
      <c r="BL180" s="1" t="s">
        <v>74</v>
      </c>
      <c r="BM180" s="1" t="s">
        <v>74</v>
      </c>
      <c r="BN180" s="1">
        <v>1.5880192E7</v>
      </c>
      <c r="BO180" s="1" t="s">
        <v>74</v>
      </c>
      <c r="BP180" s="1" t="s">
        <v>74</v>
      </c>
      <c r="BQ180" s="1" t="s">
        <v>74</v>
      </c>
      <c r="BR180" s="1" t="s">
        <v>74</v>
      </c>
      <c r="BS180" s="1" t="s">
        <v>1970</v>
      </c>
      <c r="BT180" s="1" t="str">
        <f>HYPERLINK("https%3A%2F%2Fwww.webofscience.com%2Fwos%2Fwoscc%2Ffull-record%2FWOS:000228990600013","View Full Record in Web of Science")</f>
        <v>View Full Record in Web of Science</v>
      </c>
    </row>
    <row r="181" ht="12.75" customHeight="1">
      <c r="A181" s="1" t="s">
        <v>72</v>
      </c>
      <c r="B181" s="1" t="s">
        <v>1971</v>
      </c>
      <c r="C181" s="1" t="s">
        <v>74</v>
      </c>
      <c r="D181" s="1" t="s">
        <v>74</v>
      </c>
      <c r="E181" s="1" t="s">
        <v>74</v>
      </c>
      <c r="F181" s="1" t="s">
        <v>1971</v>
      </c>
      <c r="G181" s="1" t="s">
        <v>74</v>
      </c>
      <c r="H181" s="1" t="s">
        <v>74</v>
      </c>
      <c r="I181" s="1" t="s">
        <v>1972</v>
      </c>
      <c r="J181" s="1" t="s">
        <v>1973</v>
      </c>
      <c r="K181" s="1" t="s">
        <v>74</v>
      </c>
      <c r="L181" s="1" t="s">
        <v>74</v>
      </c>
      <c r="M181" s="1" t="s">
        <v>74</v>
      </c>
      <c r="N181" s="1" t="s">
        <v>74</v>
      </c>
      <c r="O181" s="1" t="s">
        <v>74</v>
      </c>
      <c r="P181" s="1" t="s">
        <v>74</v>
      </c>
      <c r="Q181" s="1" t="s">
        <v>74</v>
      </c>
      <c r="R181" s="1" t="s">
        <v>74</v>
      </c>
      <c r="S181" s="1" t="s">
        <v>74</v>
      </c>
      <c r="T181" s="1" t="s">
        <v>74</v>
      </c>
      <c r="U181" s="1" t="s">
        <v>74</v>
      </c>
      <c r="V181" s="1" t="s">
        <v>1974</v>
      </c>
      <c r="W181" s="1" t="s">
        <v>74</v>
      </c>
      <c r="X181" s="1" t="s">
        <v>74</v>
      </c>
      <c r="Y181" s="1" t="s">
        <v>74</v>
      </c>
      <c r="Z181" s="1" t="s">
        <v>74</v>
      </c>
      <c r="AA181" s="1" t="s">
        <v>1975</v>
      </c>
      <c r="AB181" s="1" t="s">
        <v>1976</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1977</v>
      </c>
      <c r="AP181" s="1" t="s">
        <v>1978</v>
      </c>
      <c r="AQ181" s="1" t="s">
        <v>74</v>
      </c>
      <c r="AR181" s="1" t="s">
        <v>74</v>
      </c>
      <c r="AS181" s="1" t="s">
        <v>74</v>
      </c>
      <c r="AT181" s="1" t="s">
        <v>1979</v>
      </c>
      <c r="AU181" s="1">
        <v>2004.0</v>
      </c>
      <c r="AV181" s="1">
        <v>360.0</v>
      </c>
      <c r="AW181" s="1" t="s">
        <v>428</v>
      </c>
      <c r="AX181" s="1" t="s">
        <v>74</v>
      </c>
      <c r="AY181" s="1" t="s">
        <v>74</v>
      </c>
      <c r="AZ181" s="1" t="s">
        <v>74</v>
      </c>
      <c r="BA181" s="1" t="s">
        <v>74</v>
      </c>
      <c r="BB181" s="1">
        <v>41.0</v>
      </c>
      <c r="BC181" s="1">
        <v>44.0</v>
      </c>
      <c r="BD181" s="1" t="s">
        <v>74</v>
      </c>
      <c r="BE181" s="1" t="s">
        <v>1980</v>
      </c>
      <c r="BF181" s="2" t="str">
        <f>HYPERLINK("http://dx.doi.org/10.1016/j.neulet.2004.01.080","http://dx.doi.org/10.1016/j.neulet.2004.01.080")</f>
        <v>http://dx.doi.org/10.1016/j.neulet.2004.01.080</v>
      </c>
      <c r="BG181" s="1" t="s">
        <v>74</v>
      </c>
      <c r="BH181" s="1" t="s">
        <v>74</v>
      </c>
      <c r="BI181" s="1" t="s">
        <v>74</v>
      </c>
      <c r="BJ181" s="1" t="s">
        <v>74</v>
      </c>
      <c r="BK181" s="1" t="s">
        <v>74</v>
      </c>
      <c r="BL181" s="1" t="s">
        <v>74</v>
      </c>
      <c r="BM181" s="1" t="s">
        <v>74</v>
      </c>
      <c r="BN181" s="1">
        <v>1.5082174E7</v>
      </c>
      <c r="BO181" s="1" t="s">
        <v>74</v>
      </c>
      <c r="BP181" s="1" t="s">
        <v>74</v>
      </c>
      <c r="BQ181" s="1" t="s">
        <v>74</v>
      </c>
      <c r="BR181" s="1" t="s">
        <v>74</v>
      </c>
      <c r="BS181" s="1" t="s">
        <v>1981</v>
      </c>
      <c r="BT181" s="1" t="str">
        <f>HYPERLINK("https%3A%2F%2Fwww.webofscience.com%2Fwos%2Fwoscc%2Ffull-record%2FWOS:000221080500011","View Full Record in Web of Science")</f>
        <v>View Full Record in Web of Science</v>
      </c>
    </row>
    <row r="182" ht="12.75" customHeight="1">
      <c r="A182" s="1" t="s">
        <v>72</v>
      </c>
      <c r="B182" s="1" t="s">
        <v>1982</v>
      </c>
      <c r="C182" s="1" t="s">
        <v>74</v>
      </c>
      <c r="D182" s="1" t="s">
        <v>74</v>
      </c>
      <c r="E182" s="1" t="s">
        <v>74</v>
      </c>
      <c r="F182" s="1" t="s">
        <v>1982</v>
      </c>
      <c r="G182" s="1" t="s">
        <v>74</v>
      </c>
      <c r="H182" s="1" t="s">
        <v>74</v>
      </c>
      <c r="I182" s="1" t="s">
        <v>1983</v>
      </c>
      <c r="J182" s="1" t="s">
        <v>1984</v>
      </c>
      <c r="K182" s="1" t="s">
        <v>74</v>
      </c>
      <c r="L182" s="1" t="s">
        <v>74</v>
      </c>
      <c r="M182" s="1" t="s">
        <v>74</v>
      </c>
      <c r="N182" s="1" t="s">
        <v>74</v>
      </c>
      <c r="O182" s="1" t="s">
        <v>74</v>
      </c>
      <c r="P182" s="1" t="s">
        <v>74</v>
      </c>
      <c r="Q182" s="1" t="s">
        <v>74</v>
      </c>
      <c r="R182" s="1" t="s">
        <v>74</v>
      </c>
      <c r="S182" s="1" t="s">
        <v>74</v>
      </c>
      <c r="T182" s="1" t="s">
        <v>74</v>
      </c>
      <c r="U182" s="1" t="s">
        <v>74</v>
      </c>
      <c r="V182" s="1" t="s">
        <v>1985</v>
      </c>
      <c r="W182" s="1" t="s">
        <v>74</v>
      </c>
      <c r="X182" s="1" t="s">
        <v>74</v>
      </c>
      <c r="Y182" s="1" t="s">
        <v>74</v>
      </c>
      <c r="Z182" s="1" t="s">
        <v>74</v>
      </c>
      <c r="AA182" s="1" t="s">
        <v>1986</v>
      </c>
      <c r="AB182" s="1" t="s">
        <v>1987</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1988</v>
      </c>
      <c r="AP182" s="1" t="s">
        <v>1989</v>
      </c>
      <c r="AQ182" s="1" t="s">
        <v>74</v>
      </c>
      <c r="AR182" s="1" t="s">
        <v>74</v>
      </c>
      <c r="AS182" s="1" t="s">
        <v>74</v>
      </c>
      <c r="AT182" s="1" t="s">
        <v>1990</v>
      </c>
      <c r="AU182" s="1">
        <v>2003.0</v>
      </c>
      <c r="AV182" s="1">
        <v>477.0</v>
      </c>
      <c r="AW182" s="1">
        <v>1.0</v>
      </c>
      <c r="AX182" s="1" t="s">
        <v>74</v>
      </c>
      <c r="AY182" s="1" t="s">
        <v>74</v>
      </c>
      <c r="AZ182" s="1" t="s">
        <v>74</v>
      </c>
      <c r="BA182" s="1" t="s">
        <v>74</v>
      </c>
      <c r="BB182" s="1">
        <v>23.0</v>
      </c>
      <c r="BC182" s="1">
        <v>28.0</v>
      </c>
      <c r="BD182" s="1" t="s">
        <v>74</v>
      </c>
      <c r="BE182" s="1" t="s">
        <v>1991</v>
      </c>
      <c r="BF182" s="2" t="str">
        <f>HYPERLINK("http://dx.doi.org/10.1016/S0014-2999(03)02192-7","http://dx.doi.org/10.1016/S0014-2999(03)02192-7")</f>
        <v>http://dx.doi.org/10.1016/S0014-2999(03)02192-7</v>
      </c>
      <c r="BG182" s="1" t="s">
        <v>74</v>
      </c>
      <c r="BH182" s="1" t="s">
        <v>74</v>
      </c>
      <c r="BI182" s="1" t="s">
        <v>74</v>
      </c>
      <c r="BJ182" s="1" t="s">
        <v>74</v>
      </c>
      <c r="BK182" s="1" t="s">
        <v>74</v>
      </c>
      <c r="BL182" s="1" t="s">
        <v>74</v>
      </c>
      <c r="BM182" s="1" t="s">
        <v>74</v>
      </c>
      <c r="BN182" s="1">
        <v>1.4512094E7</v>
      </c>
      <c r="BO182" s="1" t="s">
        <v>74</v>
      </c>
      <c r="BP182" s="1" t="s">
        <v>74</v>
      </c>
      <c r="BQ182" s="1" t="s">
        <v>74</v>
      </c>
      <c r="BR182" s="1" t="s">
        <v>74</v>
      </c>
      <c r="BS182" s="1" t="s">
        <v>1992</v>
      </c>
      <c r="BT182" s="1" t="str">
        <f>HYPERLINK("https%3A%2F%2Fwww.webofscience.com%2Fwos%2Fwoscc%2Ffull-record%2FWOS:000185674300004","View Full Record in Web of Science")</f>
        <v>View Full Record in Web of Science</v>
      </c>
    </row>
    <row r="183" ht="12.75" customHeight="1">
      <c r="A183" s="1" t="s">
        <v>72</v>
      </c>
      <c r="B183" s="1" t="s">
        <v>1993</v>
      </c>
      <c r="C183" s="1" t="s">
        <v>74</v>
      </c>
      <c r="D183" s="1" t="s">
        <v>74</v>
      </c>
      <c r="E183" s="1" t="s">
        <v>74</v>
      </c>
      <c r="F183" s="1" t="s">
        <v>1993</v>
      </c>
      <c r="G183" s="1" t="s">
        <v>74</v>
      </c>
      <c r="H183" s="1" t="s">
        <v>74</v>
      </c>
      <c r="I183" s="1" t="s">
        <v>1994</v>
      </c>
      <c r="J183" s="1" t="s">
        <v>1930</v>
      </c>
      <c r="K183" s="1" t="s">
        <v>74</v>
      </c>
      <c r="L183" s="1" t="s">
        <v>74</v>
      </c>
      <c r="M183" s="1" t="s">
        <v>74</v>
      </c>
      <c r="N183" s="1" t="s">
        <v>74</v>
      </c>
      <c r="O183" s="1" t="s">
        <v>1995</v>
      </c>
      <c r="P183" s="1" t="s">
        <v>1996</v>
      </c>
      <c r="Q183" s="1" t="s">
        <v>1997</v>
      </c>
      <c r="R183" s="1" t="s">
        <v>74</v>
      </c>
      <c r="S183" s="1" t="s">
        <v>1998</v>
      </c>
      <c r="T183" s="1" t="s">
        <v>74</v>
      </c>
      <c r="U183" s="1" t="s">
        <v>74</v>
      </c>
      <c r="V183" s="1" t="s">
        <v>1999</v>
      </c>
      <c r="W183" s="1" t="s">
        <v>74</v>
      </c>
      <c r="X183" s="1" t="s">
        <v>74</v>
      </c>
      <c r="Y183" s="1" t="s">
        <v>74</v>
      </c>
      <c r="Z183" s="1" t="s">
        <v>74</v>
      </c>
      <c r="AA183" s="1" t="s">
        <v>74</v>
      </c>
      <c r="AB183" s="1" t="s">
        <v>74</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1934</v>
      </c>
      <c r="AP183" s="1" t="s">
        <v>74</v>
      </c>
      <c r="AQ183" s="1" t="s">
        <v>74</v>
      </c>
      <c r="AR183" s="1" t="s">
        <v>74</v>
      </c>
      <c r="AS183" s="1" t="s">
        <v>74</v>
      </c>
      <c r="AT183" s="1" t="s">
        <v>461</v>
      </c>
      <c r="AU183" s="1">
        <v>2003.0</v>
      </c>
      <c r="AV183" s="1">
        <v>40.0</v>
      </c>
      <c r="AW183" s="1">
        <v>19.0</v>
      </c>
      <c r="AX183" s="1" t="s">
        <v>74</v>
      </c>
      <c r="AY183" s="1" t="s">
        <v>74</v>
      </c>
      <c r="AZ183" s="1" t="s">
        <v>74</v>
      </c>
      <c r="BA183" s="1" t="s">
        <v>74</v>
      </c>
      <c r="BB183" s="1">
        <v>5081.0</v>
      </c>
      <c r="BC183" s="1">
        <v>5095.0</v>
      </c>
      <c r="BD183" s="1" t="s">
        <v>74</v>
      </c>
      <c r="BE183" s="1" t="s">
        <v>2000</v>
      </c>
      <c r="BF183" s="2" t="str">
        <f>HYPERLINK("http://dx.doi.org/10.1016/S0020-7683(03)00256-7","http://dx.doi.org/10.1016/S0020-7683(03)00256-7")</f>
        <v>http://dx.doi.org/10.1016/S0020-7683(03)00256-7</v>
      </c>
      <c r="BG183" s="1" t="s">
        <v>74</v>
      </c>
      <c r="BH183" s="1" t="s">
        <v>74</v>
      </c>
      <c r="BI183" s="1" t="s">
        <v>74</v>
      </c>
      <c r="BJ183" s="1" t="s">
        <v>74</v>
      </c>
      <c r="BK183" s="1" t="s">
        <v>74</v>
      </c>
      <c r="BL183" s="1" t="s">
        <v>74</v>
      </c>
      <c r="BM183" s="1" t="s">
        <v>74</v>
      </c>
      <c r="BN183" s="1" t="s">
        <v>74</v>
      </c>
      <c r="BO183" s="1" t="s">
        <v>74</v>
      </c>
      <c r="BP183" s="1" t="s">
        <v>74</v>
      </c>
      <c r="BQ183" s="1" t="s">
        <v>74</v>
      </c>
      <c r="BR183" s="1" t="s">
        <v>74</v>
      </c>
      <c r="BS183" s="1" t="s">
        <v>2001</v>
      </c>
      <c r="BT183" s="1" t="str">
        <f>HYPERLINK("https%3A%2F%2Fwww.webofscience.com%2Fwos%2Fwoscc%2Ffull-record%2FWOS:000184674700011","View Full Record in Web of Science")</f>
        <v>View Full Record in Web of Science</v>
      </c>
    </row>
    <row r="184" ht="12.75" customHeight="1">
      <c r="A184" s="1" t="s">
        <v>72</v>
      </c>
      <c r="B184" s="1" t="s">
        <v>2002</v>
      </c>
      <c r="C184" s="1" t="s">
        <v>74</v>
      </c>
      <c r="D184" s="1" t="s">
        <v>74</v>
      </c>
      <c r="E184" s="1" t="s">
        <v>74</v>
      </c>
      <c r="F184" s="1" t="s">
        <v>2002</v>
      </c>
      <c r="G184" s="1" t="s">
        <v>74</v>
      </c>
      <c r="H184" s="1" t="s">
        <v>74</v>
      </c>
      <c r="I184" s="1" t="s">
        <v>2003</v>
      </c>
      <c r="J184" s="1" t="s">
        <v>1192</v>
      </c>
      <c r="K184" s="1" t="s">
        <v>74</v>
      </c>
      <c r="L184" s="1" t="s">
        <v>74</v>
      </c>
      <c r="M184" s="1" t="s">
        <v>74</v>
      </c>
      <c r="N184" s="1" t="s">
        <v>74</v>
      </c>
      <c r="O184" s="1" t="s">
        <v>74</v>
      </c>
      <c r="P184" s="1" t="s">
        <v>74</v>
      </c>
      <c r="Q184" s="1" t="s">
        <v>74</v>
      </c>
      <c r="R184" s="1" t="s">
        <v>74</v>
      </c>
      <c r="S184" s="1" t="s">
        <v>74</v>
      </c>
      <c r="T184" s="1" t="s">
        <v>74</v>
      </c>
      <c r="U184" s="1" t="s">
        <v>74</v>
      </c>
      <c r="V184" s="1" t="s">
        <v>2004</v>
      </c>
      <c r="W184" s="1" t="s">
        <v>74</v>
      </c>
      <c r="X184" s="1" t="s">
        <v>74</v>
      </c>
      <c r="Y184" s="1" t="s">
        <v>74</v>
      </c>
      <c r="Z184" s="1" t="s">
        <v>74</v>
      </c>
      <c r="AA184" s="1" t="s">
        <v>2005</v>
      </c>
      <c r="AB184" s="1" t="s">
        <v>843</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1195</v>
      </c>
      <c r="AP184" s="1" t="s">
        <v>74</v>
      </c>
      <c r="AQ184" s="1" t="s">
        <v>74</v>
      </c>
      <c r="AR184" s="1" t="s">
        <v>74</v>
      </c>
      <c r="AS184" s="1" t="s">
        <v>74</v>
      </c>
      <c r="AT184" s="1" t="s">
        <v>164</v>
      </c>
      <c r="AU184" s="1">
        <v>2002.0</v>
      </c>
      <c r="AV184" s="1">
        <v>65.0</v>
      </c>
      <c r="AW184" s="1">
        <v>1.0</v>
      </c>
      <c r="AX184" s="1" t="s">
        <v>74</v>
      </c>
      <c r="AY184" s="1" t="s">
        <v>74</v>
      </c>
      <c r="AZ184" s="1" t="s">
        <v>74</v>
      </c>
      <c r="BA184" s="1" t="s">
        <v>74</v>
      </c>
      <c r="BB184" s="1">
        <v>37.0</v>
      </c>
      <c r="BC184" s="1">
        <v>42.0</v>
      </c>
      <c r="BD184" s="1" t="s">
        <v>2006</v>
      </c>
      <c r="BE184" s="1" t="s">
        <v>2007</v>
      </c>
      <c r="BF184" s="2" t="str">
        <f>HYPERLINK("http://dx.doi.org/10.1016/S0304-386X(02)00062-2","http://dx.doi.org/10.1016/S0304-386X(02)00062-2")</f>
        <v>http://dx.doi.org/10.1016/S0304-386X(02)00062-2</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2008</v>
      </c>
      <c r="BT184" s="1" t="str">
        <f>HYPERLINK("https%3A%2F%2Fwww.webofscience.com%2Fwos%2Fwoscc%2Ffull-record%2FWOS:000177708100006","View Full Record in Web of Science")</f>
        <v>View Full Record in Web of Science</v>
      </c>
    </row>
    <row r="185" ht="12.75" customHeight="1">
      <c r="A185" s="1" t="s">
        <v>72</v>
      </c>
      <c r="B185" s="1" t="s">
        <v>2009</v>
      </c>
      <c r="C185" s="1" t="s">
        <v>74</v>
      </c>
      <c r="D185" s="1" t="s">
        <v>74</v>
      </c>
      <c r="E185" s="1" t="s">
        <v>74</v>
      </c>
      <c r="F185" s="1" t="s">
        <v>2009</v>
      </c>
      <c r="G185" s="1" t="s">
        <v>74</v>
      </c>
      <c r="H185" s="1" t="s">
        <v>74</v>
      </c>
      <c r="I185" s="1" t="s">
        <v>2010</v>
      </c>
      <c r="J185" s="1" t="s">
        <v>2011</v>
      </c>
      <c r="K185" s="1" t="s">
        <v>74</v>
      </c>
      <c r="L185" s="1" t="s">
        <v>74</v>
      </c>
      <c r="M185" s="1" t="s">
        <v>74</v>
      </c>
      <c r="N185" s="1" t="s">
        <v>74</v>
      </c>
      <c r="O185" s="1" t="s">
        <v>74</v>
      </c>
      <c r="P185" s="1" t="s">
        <v>74</v>
      </c>
      <c r="Q185" s="1" t="s">
        <v>74</v>
      </c>
      <c r="R185" s="1" t="s">
        <v>74</v>
      </c>
      <c r="S185" s="1" t="s">
        <v>74</v>
      </c>
      <c r="T185" s="1" t="s">
        <v>74</v>
      </c>
      <c r="U185" s="1" t="s">
        <v>74</v>
      </c>
      <c r="V185" s="1" t="s">
        <v>2012</v>
      </c>
      <c r="W185" s="1" t="s">
        <v>74</v>
      </c>
      <c r="X185" s="1" t="s">
        <v>74</v>
      </c>
      <c r="Y185" s="1" t="s">
        <v>74</v>
      </c>
      <c r="Z185" s="1" t="s">
        <v>74</v>
      </c>
      <c r="AA185" s="1" t="s">
        <v>74</v>
      </c>
      <c r="AB185" s="1" t="s">
        <v>74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2013</v>
      </c>
      <c r="AP185" s="1" t="s">
        <v>2014</v>
      </c>
      <c r="AQ185" s="1" t="s">
        <v>74</v>
      </c>
      <c r="AR185" s="1" t="s">
        <v>74</v>
      </c>
      <c r="AS185" s="1" t="s">
        <v>74</v>
      </c>
      <c r="AT185" s="1" t="s">
        <v>2015</v>
      </c>
      <c r="AU185" s="1">
        <v>2001.0</v>
      </c>
      <c r="AV185" s="1">
        <v>63.0</v>
      </c>
      <c r="AW185" s="1">
        <v>4.0</v>
      </c>
      <c r="AX185" s="1" t="s">
        <v>74</v>
      </c>
      <c r="AY185" s="1" t="s">
        <v>74</v>
      </c>
      <c r="AZ185" s="1" t="s">
        <v>74</v>
      </c>
      <c r="BA185" s="1" t="s">
        <v>74</v>
      </c>
      <c r="BB185" s="1" t="s">
        <v>74</v>
      </c>
      <c r="BC185" s="1" t="s">
        <v>74</v>
      </c>
      <c r="BD185" s="1">
        <v>48502.0</v>
      </c>
      <c r="BE185" s="1" t="s">
        <v>2016</v>
      </c>
      <c r="BF185" s="2" t="str">
        <f>HYPERLINK("http://dx.doi.org/10.1103/PhysRevD.63.048502","http://dx.doi.org/10.1103/PhysRevD.63.048502")</f>
        <v>http://dx.doi.org/10.1103/PhysRevD.63.048502</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2017</v>
      </c>
      <c r="BT185" s="1" t="str">
        <f>HYPERLINK("https%3A%2F%2Fwww.webofscience.com%2Fwos%2Fwoscc%2Ffull-record%2FWOS:000166996900093","View Full Record in Web of Science")</f>
        <v>View Full Record in Web of Science</v>
      </c>
    </row>
    <row r="186" ht="12.75" customHeight="1">
      <c r="A186" s="1" t="s">
        <v>72</v>
      </c>
      <c r="B186" s="1" t="s">
        <v>2018</v>
      </c>
      <c r="C186" s="1" t="s">
        <v>74</v>
      </c>
      <c r="D186" s="1" t="s">
        <v>74</v>
      </c>
      <c r="E186" s="1" t="s">
        <v>74</v>
      </c>
      <c r="F186" s="1" t="s">
        <v>2018</v>
      </c>
      <c r="G186" s="1" t="s">
        <v>74</v>
      </c>
      <c r="H186" s="1" t="s">
        <v>74</v>
      </c>
      <c r="I186" s="1" t="s">
        <v>2019</v>
      </c>
      <c r="J186" s="1" t="s">
        <v>752</v>
      </c>
      <c r="K186" s="1" t="s">
        <v>74</v>
      </c>
      <c r="L186" s="1" t="s">
        <v>74</v>
      </c>
      <c r="M186" s="1" t="s">
        <v>74</v>
      </c>
      <c r="N186" s="1" t="s">
        <v>74</v>
      </c>
      <c r="O186" s="1" t="s">
        <v>74</v>
      </c>
      <c r="P186" s="1" t="s">
        <v>74</v>
      </c>
      <c r="Q186" s="1" t="s">
        <v>74</v>
      </c>
      <c r="R186" s="1" t="s">
        <v>74</v>
      </c>
      <c r="S186" s="1" t="s">
        <v>74</v>
      </c>
      <c r="T186" s="1" t="s">
        <v>74</v>
      </c>
      <c r="U186" s="1" t="s">
        <v>74</v>
      </c>
      <c r="V186" s="1" t="s">
        <v>2020</v>
      </c>
      <c r="W186" s="1" t="s">
        <v>74</v>
      </c>
      <c r="X186" s="1" t="s">
        <v>74</v>
      </c>
      <c r="Y186" s="1" t="s">
        <v>74</v>
      </c>
      <c r="Z186" s="1" t="s">
        <v>74</v>
      </c>
      <c r="AA186" s="1" t="s">
        <v>2021</v>
      </c>
      <c r="AB186" s="1" t="s">
        <v>1194</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756</v>
      </c>
      <c r="AP186" s="1" t="s">
        <v>74</v>
      </c>
      <c r="AQ186" s="1" t="s">
        <v>74</v>
      </c>
      <c r="AR186" s="1" t="s">
        <v>74</v>
      </c>
      <c r="AS186" s="1" t="s">
        <v>74</v>
      </c>
      <c r="AT186" s="1" t="s">
        <v>83</v>
      </c>
      <c r="AU186" s="1">
        <v>1999.0</v>
      </c>
      <c r="AV186" s="1">
        <v>12.0</v>
      </c>
      <c r="AW186" s="1">
        <v>3.0</v>
      </c>
      <c r="AX186" s="1" t="s">
        <v>74</v>
      </c>
      <c r="AY186" s="1" t="s">
        <v>74</v>
      </c>
      <c r="AZ186" s="1" t="s">
        <v>74</v>
      </c>
      <c r="BA186" s="1" t="s">
        <v>74</v>
      </c>
      <c r="BB186" s="1">
        <v>323.0</v>
      </c>
      <c r="BC186" s="1">
        <v>327.0</v>
      </c>
      <c r="BD186" s="1" t="s">
        <v>74</v>
      </c>
      <c r="BE186" s="1" t="s">
        <v>2022</v>
      </c>
      <c r="BF186" s="2" t="str">
        <f>HYPERLINK("http://dx.doi.org/10.1016/S0892-6875(99)00009-6","http://dx.doi.org/10.1016/S0892-6875(99)00009-6")</f>
        <v>http://dx.doi.org/10.1016/S0892-6875(99)00009-6</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2023</v>
      </c>
      <c r="BT186" s="1" t="str">
        <f>HYPERLINK("https%3A%2F%2Fwww.webofscience.com%2Fwos%2Fwoscc%2Ffull-record%2FWOS:000079180700008","View Full Record in Web of Science")</f>
        <v>View Full Record in Web of Science</v>
      </c>
    </row>
    <row r="187" ht="12.75" customHeight="1">
      <c r="A187" s="1" t="s">
        <v>72</v>
      </c>
      <c r="B187" s="1" t="s">
        <v>2024</v>
      </c>
      <c r="C187" s="1" t="s">
        <v>74</v>
      </c>
      <c r="D187" s="1" t="s">
        <v>74</v>
      </c>
      <c r="E187" s="1" t="s">
        <v>74</v>
      </c>
      <c r="F187" s="1" t="s">
        <v>2024</v>
      </c>
      <c r="G187" s="1" t="s">
        <v>74</v>
      </c>
      <c r="H187" s="1" t="s">
        <v>74</v>
      </c>
      <c r="I187" s="1" t="s">
        <v>2025</v>
      </c>
      <c r="J187" s="1" t="s">
        <v>2026</v>
      </c>
      <c r="K187" s="1" t="s">
        <v>74</v>
      </c>
      <c r="L187" s="1" t="s">
        <v>74</v>
      </c>
      <c r="M187" s="1" t="s">
        <v>74</v>
      </c>
      <c r="N187" s="1" t="s">
        <v>74</v>
      </c>
      <c r="O187" s="1" t="s">
        <v>74</v>
      </c>
      <c r="P187" s="1" t="s">
        <v>74</v>
      </c>
      <c r="Q187" s="1" t="s">
        <v>74</v>
      </c>
      <c r="R187" s="1" t="s">
        <v>74</v>
      </c>
      <c r="S187" s="1" t="s">
        <v>74</v>
      </c>
      <c r="T187" s="1" t="s">
        <v>74</v>
      </c>
      <c r="U187" s="1" t="s">
        <v>74</v>
      </c>
      <c r="V187" s="1" t="s">
        <v>2027</v>
      </c>
      <c r="W187" s="1" t="s">
        <v>74</v>
      </c>
      <c r="X187" s="1" t="s">
        <v>74</v>
      </c>
      <c r="Y187" s="1" t="s">
        <v>74</v>
      </c>
      <c r="Z187" s="1" t="s">
        <v>74</v>
      </c>
      <c r="AA187" s="1" t="s">
        <v>74</v>
      </c>
      <c r="AB187" s="1" t="s">
        <v>74</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2028</v>
      </c>
      <c r="AP187" s="1" t="s">
        <v>74</v>
      </c>
      <c r="AQ187" s="1" t="s">
        <v>74</v>
      </c>
      <c r="AR187" s="1" t="s">
        <v>74</v>
      </c>
      <c r="AS187" s="1" t="s">
        <v>74</v>
      </c>
      <c r="AT187" s="1" t="s">
        <v>74</v>
      </c>
      <c r="AU187" s="1">
        <v>1996.0</v>
      </c>
      <c r="AV187" s="1">
        <v>78.0</v>
      </c>
      <c r="AW187" s="1">
        <v>6.0</v>
      </c>
      <c r="AX187" s="1" t="s">
        <v>74</v>
      </c>
      <c r="AY187" s="1" t="s">
        <v>74</v>
      </c>
      <c r="AZ187" s="1" t="s">
        <v>74</v>
      </c>
      <c r="BA187" s="1" t="s">
        <v>74</v>
      </c>
      <c r="BB187" s="1">
        <v>511.0</v>
      </c>
      <c r="BC187" s="1">
        <v>517.0</v>
      </c>
      <c r="BD187" s="1" t="s">
        <v>74</v>
      </c>
      <c r="BE187" s="1" t="s">
        <v>2029</v>
      </c>
      <c r="BF187" s="2" t="str">
        <f>HYPERLINK("http://dx.doi.org/10.1016/0300-9084(96)84757-2","http://dx.doi.org/10.1016/0300-9084(96)84757-2")</f>
        <v>http://dx.doi.org/10.1016/0300-9084(96)84757-2</v>
      </c>
      <c r="BG187" s="1" t="s">
        <v>74</v>
      </c>
      <c r="BH187" s="1" t="s">
        <v>74</v>
      </c>
      <c r="BI187" s="1" t="s">
        <v>74</v>
      </c>
      <c r="BJ187" s="1" t="s">
        <v>74</v>
      </c>
      <c r="BK187" s="1" t="s">
        <v>74</v>
      </c>
      <c r="BL187" s="1" t="s">
        <v>74</v>
      </c>
      <c r="BM187" s="1" t="s">
        <v>74</v>
      </c>
      <c r="BN187" s="1">
        <v>8915540.0</v>
      </c>
      <c r="BO187" s="1" t="s">
        <v>74</v>
      </c>
      <c r="BP187" s="1" t="s">
        <v>74</v>
      </c>
      <c r="BQ187" s="1" t="s">
        <v>74</v>
      </c>
      <c r="BR187" s="1" t="s">
        <v>74</v>
      </c>
      <c r="BS187" s="1" t="s">
        <v>2030</v>
      </c>
      <c r="BT187" s="1" t="str">
        <f>HYPERLINK("https%3A%2F%2Fwww.webofscience.com%2Fwos%2Fwoscc%2Ffull-record%2FWOS:A1996VQ65100015","View Full Record in Web of Science")</f>
        <v>View Full Record in Web of Science</v>
      </c>
    </row>
    <row r="188" ht="12.75" customHeight="1">
      <c r="A188" s="1" t="s">
        <v>72</v>
      </c>
      <c r="B188" s="1" t="s">
        <v>2031</v>
      </c>
      <c r="C188" s="1" t="s">
        <v>74</v>
      </c>
      <c r="D188" s="1" t="s">
        <v>74</v>
      </c>
      <c r="E188" s="1" t="s">
        <v>74</v>
      </c>
      <c r="F188" s="1" t="s">
        <v>2032</v>
      </c>
      <c r="G188" s="1" t="s">
        <v>74</v>
      </c>
      <c r="H188" s="1" t="s">
        <v>74</v>
      </c>
      <c r="I188" s="1" t="s">
        <v>2033</v>
      </c>
      <c r="J188" s="1" t="s">
        <v>2034</v>
      </c>
      <c r="K188" s="1" t="s">
        <v>74</v>
      </c>
      <c r="L188" s="1" t="s">
        <v>74</v>
      </c>
      <c r="M188" s="1" t="s">
        <v>74</v>
      </c>
      <c r="N188" s="1" t="s">
        <v>74</v>
      </c>
      <c r="O188" s="1" t="s">
        <v>74</v>
      </c>
      <c r="P188" s="1" t="s">
        <v>74</v>
      </c>
      <c r="Q188" s="1" t="s">
        <v>74</v>
      </c>
      <c r="R188" s="1" t="s">
        <v>74</v>
      </c>
      <c r="S188" s="1" t="s">
        <v>74</v>
      </c>
      <c r="T188" s="1" t="s">
        <v>74</v>
      </c>
      <c r="U188" s="1" t="s">
        <v>74</v>
      </c>
      <c r="V188" s="1" t="s">
        <v>2035</v>
      </c>
      <c r="W188" s="1" t="s">
        <v>74</v>
      </c>
      <c r="X188" s="1" t="s">
        <v>74</v>
      </c>
      <c r="Y188" s="1" t="s">
        <v>74</v>
      </c>
      <c r="Z188" s="1" t="s">
        <v>74</v>
      </c>
      <c r="AA188" s="1" t="s">
        <v>74</v>
      </c>
      <c r="AB188" s="1" t="s">
        <v>74</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2036</v>
      </c>
      <c r="AP188" s="1" t="s">
        <v>2037</v>
      </c>
      <c r="AQ188" s="1" t="s">
        <v>74</v>
      </c>
      <c r="AR188" s="1" t="s">
        <v>74</v>
      </c>
      <c r="AS188" s="1" t="s">
        <v>74</v>
      </c>
      <c r="AT188" s="1" t="s">
        <v>554</v>
      </c>
      <c r="AU188" s="1">
        <v>2025.0</v>
      </c>
      <c r="AV188" s="1">
        <v>36.0</v>
      </c>
      <c r="AW188" s="1">
        <v>3.0</v>
      </c>
      <c r="AX188" s="1" t="s">
        <v>74</v>
      </c>
      <c r="AY188" s="1" t="s">
        <v>74</v>
      </c>
      <c r="AZ188" s="1" t="s">
        <v>74</v>
      </c>
      <c r="BA188" s="1" t="s">
        <v>74</v>
      </c>
      <c r="BB188" s="1" t="s">
        <v>74</v>
      </c>
      <c r="BC188" s="1" t="s">
        <v>74</v>
      </c>
      <c r="BD188" s="1">
        <v>38.0</v>
      </c>
      <c r="BE188" s="1" t="s">
        <v>2038</v>
      </c>
      <c r="BF188" s="2" t="str">
        <f>HYPERLINK("http://dx.doi.org/10.1007/s10532-025-10134-4","http://dx.doi.org/10.1007/s10532-025-10134-4")</f>
        <v>http://dx.doi.org/10.1007/s10532-025-10134-4</v>
      </c>
      <c r="BG188" s="1" t="s">
        <v>74</v>
      </c>
      <c r="BH188" s="1" t="s">
        <v>74</v>
      </c>
      <c r="BI188" s="1" t="s">
        <v>74</v>
      </c>
      <c r="BJ188" s="1" t="s">
        <v>74</v>
      </c>
      <c r="BK188" s="1" t="s">
        <v>74</v>
      </c>
      <c r="BL188" s="1" t="s">
        <v>74</v>
      </c>
      <c r="BM188" s="1" t="s">
        <v>74</v>
      </c>
      <c r="BN188" s="1">
        <v>4.0317375E7</v>
      </c>
      <c r="BO188" s="1" t="s">
        <v>74</v>
      </c>
      <c r="BP188" s="1" t="s">
        <v>74</v>
      </c>
      <c r="BQ188" s="1" t="s">
        <v>74</v>
      </c>
      <c r="BR188" s="1" t="s">
        <v>74</v>
      </c>
      <c r="BS188" s="1" t="s">
        <v>2039</v>
      </c>
      <c r="BT188" s="1" t="str">
        <f>HYPERLINK("https%3A%2F%2Fwww.webofscience.com%2Fwos%2Fwoscc%2Ffull-record%2FWOS:001480766300001","View Full Record in Web of Science")</f>
        <v>View Full Record in Web of Science</v>
      </c>
    </row>
    <row r="189" ht="12.75" customHeight="1">
      <c r="A189" s="1" t="s">
        <v>72</v>
      </c>
      <c r="B189" s="1" t="s">
        <v>2040</v>
      </c>
      <c r="C189" s="1" t="s">
        <v>74</v>
      </c>
      <c r="D189" s="1" t="s">
        <v>74</v>
      </c>
      <c r="E189" s="1" t="s">
        <v>74</v>
      </c>
      <c r="F189" s="1" t="s">
        <v>2041</v>
      </c>
      <c r="G189" s="1" t="s">
        <v>74</v>
      </c>
      <c r="H189" s="1" t="s">
        <v>74</v>
      </c>
      <c r="I189" s="1" t="s">
        <v>2042</v>
      </c>
      <c r="J189" s="1" t="s">
        <v>206</v>
      </c>
      <c r="K189" s="1" t="s">
        <v>74</v>
      </c>
      <c r="L189" s="1" t="s">
        <v>74</v>
      </c>
      <c r="M189" s="1" t="s">
        <v>74</v>
      </c>
      <c r="N189" s="1" t="s">
        <v>74</v>
      </c>
      <c r="O189" s="1" t="s">
        <v>74</v>
      </c>
      <c r="P189" s="1" t="s">
        <v>74</v>
      </c>
      <c r="Q189" s="1" t="s">
        <v>74</v>
      </c>
      <c r="R189" s="1" t="s">
        <v>74</v>
      </c>
      <c r="S189" s="1" t="s">
        <v>74</v>
      </c>
      <c r="T189" s="1" t="s">
        <v>74</v>
      </c>
      <c r="U189" s="1" t="s">
        <v>74</v>
      </c>
      <c r="V189" s="1" t="s">
        <v>2043</v>
      </c>
      <c r="W189" s="1" t="s">
        <v>74</v>
      </c>
      <c r="X189" s="1" t="s">
        <v>74</v>
      </c>
      <c r="Y189" s="1" t="s">
        <v>74</v>
      </c>
      <c r="Z189" s="1" t="s">
        <v>74</v>
      </c>
      <c r="AA189" s="1" t="s">
        <v>1314</v>
      </c>
      <c r="AB189" s="1" t="s">
        <v>2044</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210</v>
      </c>
      <c r="AP189" s="1" t="s">
        <v>211</v>
      </c>
      <c r="AQ189" s="1" t="s">
        <v>74</v>
      </c>
      <c r="AR189" s="1" t="s">
        <v>74</v>
      </c>
      <c r="AS189" s="1" t="s">
        <v>74</v>
      </c>
      <c r="AT189" s="1" t="s">
        <v>1935</v>
      </c>
      <c r="AU189" s="1">
        <v>2025.0</v>
      </c>
      <c r="AV189" s="1">
        <v>622.0</v>
      </c>
      <c r="AW189" s="1" t="s">
        <v>74</v>
      </c>
      <c r="AX189" s="1" t="s">
        <v>74</v>
      </c>
      <c r="AY189" s="1" t="s">
        <v>74</v>
      </c>
      <c r="AZ189" s="1" t="s">
        <v>74</v>
      </c>
      <c r="BA189" s="1" t="s">
        <v>74</v>
      </c>
      <c r="BB189" s="1" t="s">
        <v>74</v>
      </c>
      <c r="BC189" s="1" t="s">
        <v>74</v>
      </c>
      <c r="BD189" s="1">
        <v>172939.0</v>
      </c>
      <c r="BE189" s="1" t="s">
        <v>2045</v>
      </c>
      <c r="BF189" s="2" t="str">
        <f>HYPERLINK("http://dx.doi.org/10.1016/j.jmmm.2025.172939","http://dx.doi.org/10.1016/j.jmmm.2025.172939")</f>
        <v>http://dx.doi.org/10.1016/j.jmmm.2025.172939</v>
      </c>
      <c r="BG189" s="1" t="s">
        <v>74</v>
      </c>
      <c r="BH189" s="1" t="s">
        <v>2046</v>
      </c>
      <c r="BI189" s="1" t="s">
        <v>74</v>
      </c>
      <c r="BJ189" s="1" t="s">
        <v>74</v>
      </c>
      <c r="BK189" s="1" t="s">
        <v>74</v>
      </c>
      <c r="BL189" s="1" t="s">
        <v>74</v>
      </c>
      <c r="BM189" s="1" t="s">
        <v>74</v>
      </c>
      <c r="BN189" s="1" t="s">
        <v>74</v>
      </c>
      <c r="BO189" s="1" t="s">
        <v>74</v>
      </c>
      <c r="BP189" s="1" t="s">
        <v>74</v>
      </c>
      <c r="BQ189" s="1" t="s">
        <v>74</v>
      </c>
      <c r="BR189" s="1" t="s">
        <v>74</v>
      </c>
      <c r="BS189" s="1" t="s">
        <v>2047</v>
      </c>
      <c r="BT189" s="1" t="str">
        <f>HYPERLINK("https%3A%2F%2Fwww.webofscience.com%2Fwos%2Fwoscc%2Ffull-record%2FWOS:001449979900001","View Full Record in Web of Science")</f>
        <v>View Full Record in Web of Science</v>
      </c>
    </row>
    <row r="190" ht="12.75" customHeight="1">
      <c r="A190" s="1" t="s">
        <v>72</v>
      </c>
      <c r="B190" s="1" t="s">
        <v>2048</v>
      </c>
      <c r="C190" s="1" t="s">
        <v>74</v>
      </c>
      <c r="D190" s="1" t="s">
        <v>74</v>
      </c>
      <c r="E190" s="1" t="s">
        <v>74</v>
      </c>
      <c r="F190" s="1" t="s">
        <v>2049</v>
      </c>
      <c r="G190" s="1" t="s">
        <v>74</v>
      </c>
      <c r="H190" s="1" t="s">
        <v>74</v>
      </c>
      <c r="I190" s="1" t="s">
        <v>2050</v>
      </c>
      <c r="J190" s="1" t="s">
        <v>510</v>
      </c>
      <c r="K190" s="1" t="s">
        <v>74</v>
      </c>
      <c r="L190" s="1" t="s">
        <v>74</v>
      </c>
      <c r="M190" s="1" t="s">
        <v>74</v>
      </c>
      <c r="N190" s="1" t="s">
        <v>74</v>
      </c>
      <c r="O190" s="1" t="s">
        <v>74</v>
      </c>
      <c r="P190" s="1" t="s">
        <v>74</v>
      </c>
      <c r="Q190" s="1" t="s">
        <v>74</v>
      </c>
      <c r="R190" s="1" t="s">
        <v>74</v>
      </c>
      <c r="S190" s="1" t="s">
        <v>74</v>
      </c>
      <c r="T190" s="1" t="s">
        <v>74</v>
      </c>
      <c r="U190" s="1" t="s">
        <v>74</v>
      </c>
      <c r="V190" s="1" t="s">
        <v>2051</v>
      </c>
      <c r="W190" s="1" t="s">
        <v>74</v>
      </c>
      <c r="X190" s="1" t="s">
        <v>74</v>
      </c>
      <c r="Y190" s="1" t="s">
        <v>74</v>
      </c>
      <c r="Z190" s="1" t="s">
        <v>74</v>
      </c>
      <c r="AA190" s="1" t="s">
        <v>2052</v>
      </c>
      <c r="AB190" s="1" t="s">
        <v>2053</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514</v>
      </c>
      <c r="AP190" s="1" t="s">
        <v>74</v>
      </c>
      <c r="AQ190" s="1" t="s">
        <v>74</v>
      </c>
      <c r="AR190" s="1" t="s">
        <v>74</v>
      </c>
      <c r="AS190" s="1" t="s">
        <v>74</v>
      </c>
      <c r="AT190" s="1" t="s">
        <v>2054</v>
      </c>
      <c r="AU190" s="1">
        <v>2024.0</v>
      </c>
      <c r="AV190" s="1">
        <v>19.0</v>
      </c>
      <c r="AW190" s="1">
        <v>12.0</v>
      </c>
      <c r="AX190" s="1" t="s">
        <v>74</v>
      </c>
      <c r="AY190" s="1" t="s">
        <v>74</v>
      </c>
      <c r="AZ190" s="1" t="s">
        <v>74</v>
      </c>
      <c r="BA190" s="1" t="s">
        <v>74</v>
      </c>
      <c r="BB190" s="1" t="s">
        <v>74</v>
      </c>
      <c r="BC190" s="1" t="s">
        <v>74</v>
      </c>
      <c r="BD190" s="1" t="s">
        <v>2055</v>
      </c>
      <c r="BE190" s="1" t="s">
        <v>2056</v>
      </c>
      <c r="BF190" s="2" t="str">
        <f>HYPERLINK("http://dx.doi.org/10.1371/journal.pone.0311414","http://dx.doi.org/10.1371/journal.pone.0311414")</f>
        <v>http://dx.doi.org/10.1371/journal.pone.0311414</v>
      </c>
      <c r="BG190" s="1" t="s">
        <v>74</v>
      </c>
      <c r="BH190" s="1" t="s">
        <v>74</v>
      </c>
      <c r="BI190" s="1" t="s">
        <v>74</v>
      </c>
      <c r="BJ190" s="1" t="s">
        <v>74</v>
      </c>
      <c r="BK190" s="1" t="s">
        <v>74</v>
      </c>
      <c r="BL190" s="1" t="s">
        <v>74</v>
      </c>
      <c r="BM190" s="1" t="s">
        <v>74</v>
      </c>
      <c r="BN190" s="1">
        <v>3.9621706E7</v>
      </c>
      <c r="BO190" s="1" t="s">
        <v>74</v>
      </c>
      <c r="BP190" s="1" t="s">
        <v>74</v>
      </c>
      <c r="BQ190" s="1" t="s">
        <v>74</v>
      </c>
      <c r="BR190" s="1" t="s">
        <v>74</v>
      </c>
      <c r="BS190" s="1" t="s">
        <v>2057</v>
      </c>
      <c r="BT190" s="1" t="str">
        <f>HYPERLINK("https%3A%2F%2Fwww.webofscience.com%2Fwos%2Fwoscc%2Ffull-record%2FWOS:001371910800072","View Full Record in Web of Science")</f>
        <v>View Full Record in Web of Science</v>
      </c>
    </row>
    <row r="191" ht="12.75" customHeight="1">
      <c r="A191" s="1" t="s">
        <v>72</v>
      </c>
      <c r="B191" s="1" t="s">
        <v>2058</v>
      </c>
      <c r="C191" s="1" t="s">
        <v>74</v>
      </c>
      <c r="D191" s="1" t="s">
        <v>74</v>
      </c>
      <c r="E191" s="1" t="s">
        <v>74</v>
      </c>
      <c r="F191" s="1" t="s">
        <v>2059</v>
      </c>
      <c r="G191" s="1" t="s">
        <v>74</v>
      </c>
      <c r="H191" s="1" t="s">
        <v>74</v>
      </c>
      <c r="I191" s="1" t="s">
        <v>2060</v>
      </c>
      <c r="J191" s="1" t="s">
        <v>2061</v>
      </c>
      <c r="K191" s="1" t="s">
        <v>74</v>
      </c>
      <c r="L191" s="1" t="s">
        <v>74</v>
      </c>
      <c r="M191" s="1" t="s">
        <v>74</v>
      </c>
      <c r="N191" s="1" t="s">
        <v>74</v>
      </c>
      <c r="O191" s="1" t="s">
        <v>74</v>
      </c>
      <c r="P191" s="1" t="s">
        <v>74</v>
      </c>
      <c r="Q191" s="1" t="s">
        <v>74</v>
      </c>
      <c r="R191" s="1" t="s">
        <v>74</v>
      </c>
      <c r="S191" s="1" t="s">
        <v>74</v>
      </c>
      <c r="T191" s="1" t="s">
        <v>74</v>
      </c>
      <c r="U191" s="1" t="s">
        <v>74</v>
      </c>
      <c r="V191" s="1" t="s">
        <v>2062</v>
      </c>
      <c r="W191" s="1" t="s">
        <v>74</v>
      </c>
      <c r="X191" s="1" t="s">
        <v>74</v>
      </c>
      <c r="Y191" s="1" t="s">
        <v>74</v>
      </c>
      <c r="Z191" s="1" t="s">
        <v>74</v>
      </c>
      <c r="AA191" s="1" t="s">
        <v>2063</v>
      </c>
      <c r="AB191" s="1" t="s">
        <v>2064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74</v>
      </c>
      <c r="AP191" s="1" t="s">
        <v>2065</v>
      </c>
      <c r="AQ191" s="1" t="s">
        <v>74</v>
      </c>
      <c r="AR191" s="1" t="s">
        <v>74</v>
      </c>
      <c r="AS191" s="1" t="s">
        <v>74</v>
      </c>
      <c r="AT191" s="1" t="s">
        <v>596</v>
      </c>
      <c r="AU191" s="1">
        <v>2024.0</v>
      </c>
      <c r="AV191" s="1">
        <v>14.0</v>
      </c>
      <c r="AW191" s="1">
        <v>22.0</v>
      </c>
      <c r="AX191" s="1" t="s">
        <v>74</v>
      </c>
      <c r="AY191" s="1" t="s">
        <v>74</v>
      </c>
      <c r="AZ191" s="1" t="s">
        <v>74</v>
      </c>
      <c r="BA191" s="1" t="s">
        <v>74</v>
      </c>
      <c r="BB191" s="1" t="s">
        <v>74</v>
      </c>
      <c r="BC191" s="1" t="s">
        <v>74</v>
      </c>
      <c r="BD191" s="1">
        <v>10429.0</v>
      </c>
      <c r="BE191" s="1" t="s">
        <v>2066</v>
      </c>
      <c r="BF191" s="2" t="str">
        <f>HYPERLINK("http://dx.doi.org/10.3390/app142210429","http://dx.doi.org/10.3390/app142210429")</f>
        <v>http://dx.doi.org/10.3390/app142210429</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2067</v>
      </c>
      <c r="BT191" s="1" t="str">
        <f>HYPERLINK("https%3A%2F%2Fwww.webofscience.com%2Fwos%2Fwoscc%2Ffull-record%2FWOS:001366967600001","View Full Record in Web of Science")</f>
        <v>View Full Record in Web of Science</v>
      </c>
    </row>
    <row r="192" ht="12.75" customHeight="1">
      <c r="A192" s="1" t="s">
        <v>72</v>
      </c>
      <c r="B192" s="1" t="s">
        <v>2068</v>
      </c>
      <c r="C192" s="1" t="s">
        <v>74</v>
      </c>
      <c r="D192" s="1" t="s">
        <v>74</v>
      </c>
      <c r="E192" s="1" t="s">
        <v>74</v>
      </c>
      <c r="F192" s="1" t="s">
        <v>2069</v>
      </c>
      <c r="G192" s="1" t="s">
        <v>74</v>
      </c>
      <c r="H192" s="1" t="s">
        <v>74</v>
      </c>
      <c r="I192" s="1" t="s">
        <v>2070</v>
      </c>
      <c r="J192" s="1" t="s">
        <v>90</v>
      </c>
      <c r="K192" s="1" t="s">
        <v>74</v>
      </c>
      <c r="L192" s="1" t="s">
        <v>74</v>
      </c>
      <c r="M192" s="1" t="s">
        <v>74</v>
      </c>
      <c r="N192" s="1" t="s">
        <v>74</v>
      </c>
      <c r="O192" s="1" t="s">
        <v>74</v>
      </c>
      <c r="P192" s="1" t="s">
        <v>74</v>
      </c>
      <c r="Q192" s="1" t="s">
        <v>74</v>
      </c>
      <c r="R192" s="1" t="s">
        <v>74</v>
      </c>
      <c r="S192" s="1" t="s">
        <v>74</v>
      </c>
      <c r="T192" s="1" t="s">
        <v>74</v>
      </c>
      <c r="U192" s="1" t="s">
        <v>74</v>
      </c>
      <c r="V192" s="1" t="s">
        <v>2071</v>
      </c>
      <c r="W192" s="1" t="s">
        <v>74</v>
      </c>
      <c r="X192" s="1" t="s">
        <v>74</v>
      </c>
      <c r="Y192" s="1" t="s">
        <v>74</v>
      </c>
      <c r="Z192" s="1" t="s">
        <v>74</v>
      </c>
      <c r="AA192" s="1" t="s">
        <v>2072</v>
      </c>
      <c r="AB192" s="1" t="s">
        <v>2073</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74</v>
      </c>
      <c r="AP192" s="1" t="s">
        <v>94</v>
      </c>
      <c r="AQ192" s="1" t="s">
        <v>74</v>
      </c>
      <c r="AR192" s="1" t="s">
        <v>74</v>
      </c>
      <c r="AS192" s="1" t="s">
        <v>74</v>
      </c>
      <c r="AT192" s="1" t="s">
        <v>164</v>
      </c>
      <c r="AU192" s="1">
        <v>2024.0</v>
      </c>
      <c r="AV192" s="1">
        <v>29.0</v>
      </c>
      <c r="AW192" s="1">
        <v>14.0</v>
      </c>
      <c r="AX192" s="1" t="s">
        <v>74</v>
      </c>
      <c r="AY192" s="1" t="s">
        <v>74</v>
      </c>
      <c r="AZ192" s="1" t="s">
        <v>74</v>
      </c>
      <c r="BA192" s="1" t="s">
        <v>74</v>
      </c>
      <c r="BB192" s="1" t="s">
        <v>74</v>
      </c>
      <c r="BC192" s="1" t="s">
        <v>74</v>
      </c>
      <c r="BD192" s="1">
        <v>3263.0</v>
      </c>
      <c r="BE192" s="1" t="s">
        <v>2074</v>
      </c>
      <c r="BF192" s="2" t="str">
        <f>HYPERLINK("http://dx.doi.org/10.3390/molecules29143263","http://dx.doi.org/10.3390/molecules29143263")</f>
        <v>http://dx.doi.org/10.3390/molecules29143263</v>
      </c>
      <c r="BG192" s="1" t="s">
        <v>74</v>
      </c>
      <c r="BH192" s="1" t="s">
        <v>74</v>
      </c>
      <c r="BI192" s="1" t="s">
        <v>74</v>
      </c>
      <c r="BJ192" s="1" t="s">
        <v>74</v>
      </c>
      <c r="BK192" s="1" t="s">
        <v>74</v>
      </c>
      <c r="BL192" s="1" t="s">
        <v>74</v>
      </c>
      <c r="BM192" s="1" t="s">
        <v>74</v>
      </c>
      <c r="BN192" s="1">
        <v>3.9064841E7</v>
      </c>
      <c r="BO192" s="1" t="s">
        <v>74</v>
      </c>
      <c r="BP192" s="1" t="s">
        <v>74</v>
      </c>
      <c r="BQ192" s="1" t="s">
        <v>74</v>
      </c>
      <c r="BR192" s="1" t="s">
        <v>74</v>
      </c>
      <c r="BS192" s="1" t="s">
        <v>2075</v>
      </c>
      <c r="BT192" s="1" t="str">
        <f>HYPERLINK("https%3A%2F%2Fwww.webofscience.com%2Fwos%2Fwoscc%2Ffull-record%2FWOS:001277742100001","View Full Record in Web of Science")</f>
        <v>View Full Record in Web of Science</v>
      </c>
    </row>
    <row r="193" ht="12.75" customHeight="1">
      <c r="A193" s="1" t="s">
        <v>72</v>
      </c>
      <c r="B193" s="1" t="s">
        <v>2076</v>
      </c>
      <c r="C193" s="1" t="s">
        <v>74</v>
      </c>
      <c r="D193" s="1" t="s">
        <v>74</v>
      </c>
      <c r="E193" s="1" t="s">
        <v>74</v>
      </c>
      <c r="F193" s="1" t="s">
        <v>2077</v>
      </c>
      <c r="G193" s="1" t="s">
        <v>74</v>
      </c>
      <c r="H193" s="1" t="s">
        <v>74</v>
      </c>
      <c r="I193" s="1" t="s">
        <v>2078</v>
      </c>
      <c r="J193" s="1" t="s">
        <v>2079</v>
      </c>
      <c r="K193" s="1" t="s">
        <v>74</v>
      </c>
      <c r="L193" s="1" t="s">
        <v>74</v>
      </c>
      <c r="M193" s="1" t="s">
        <v>74</v>
      </c>
      <c r="N193" s="1" t="s">
        <v>74</v>
      </c>
      <c r="O193" s="1" t="s">
        <v>74</v>
      </c>
      <c r="P193" s="1" t="s">
        <v>74</v>
      </c>
      <c r="Q193" s="1" t="s">
        <v>74</v>
      </c>
      <c r="R193" s="1" t="s">
        <v>74</v>
      </c>
      <c r="S193" s="1" t="s">
        <v>74</v>
      </c>
      <c r="T193" s="1" t="s">
        <v>74</v>
      </c>
      <c r="U193" s="1" t="s">
        <v>74</v>
      </c>
      <c r="V193" s="1" t="s">
        <v>2080</v>
      </c>
      <c r="W193" s="1" t="s">
        <v>74</v>
      </c>
      <c r="X193" s="1" t="s">
        <v>74</v>
      </c>
      <c r="Y193" s="1" t="s">
        <v>74</v>
      </c>
      <c r="Z193" s="1" t="s">
        <v>74</v>
      </c>
      <c r="AA193" s="1" t="s">
        <v>2081</v>
      </c>
      <c r="AB193" s="1" t="s">
        <v>2082</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2083</v>
      </c>
      <c r="AP193" s="1" t="s">
        <v>2084</v>
      </c>
      <c r="AQ193" s="1" t="s">
        <v>74</v>
      </c>
      <c r="AR193" s="1" t="s">
        <v>74</v>
      </c>
      <c r="AS193" s="1" t="s">
        <v>74</v>
      </c>
      <c r="AT193" s="1" t="s">
        <v>2085</v>
      </c>
      <c r="AU193" s="1">
        <v>2024.0</v>
      </c>
      <c r="AV193" s="1">
        <v>14.0</v>
      </c>
      <c r="AW193" s="1">
        <v>1.0</v>
      </c>
      <c r="AX193" s="1" t="s">
        <v>74</v>
      </c>
      <c r="AY193" s="1" t="s">
        <v>74</v>
      </c>
      <c r="AZ193" s="1" t="s">
        <v>74</v>
      </c>
      <c r="BA193" s="1" t="s">
        <v>74</v>
      </c>
      <c r="BB193" s="1" t="s">
        <v>74</v>
      </c>
      <c r="BC193" s="1" t="s">
        <v>74</v>
      </c>
      <c r="BD193" s="1">
        <v>2.0220173E7</v>
      </c>
      <c r="BE193" s="1" t="s">
        <v>2086</v>
      </c>
      <c r="BF193" s="2" t="str">
        <f>HYPERLINK("http://dx.doi.org/10.1515/jogs-2022-0173","http://dx.doi.org/10.1515/jogs-2022-0173")</f>
        <v>http://dx.doi.org/10.1515/jogs-2022-0173</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2087</v>
      </c>
      <c r="BT193" s="1" t="str">
        <f>HYPERLINK("https%3A%2F%2Fwww.webofscience.com%2Fwos%2Fwoscc%2Ffull-record%2FWOS:001223159200001","View Full Record in Web of Science")</f>
        <v>View Full Record in Web of Science</v>
      </c>
    </row>
    <row r="194" ht="12.75" customHeight="1">
      <c r="A194" s="1" t="s">
        <v>72</v>
      </c>
      <c r="B194" s="1" t="s">
        <v>2088</v>
      </c>
      <c r="C194" s="1" t="s">
        <v>74</v>
      </c>
      <c r="D194" s="1" t="s">
        <v>74</v>
      </c>
      <c r="E194" s="1" t="s">
        <v>74</v>
      </c>
      <c r="F194" s="1" t="s">
        <v>2089</v>
      </c>
      <c r="G194" s="1" t="s">
        <v>74</v>
      </c>
      <c r="H194" s="1" t="s">
        <v>74</v>
      </c>
      <c r="I194" s="1" t="s">
        <v>2090</v>
      </c>
      <c r="J194" s="1" t="s">
        <v>2091</v>
      </c>
      <c r="K194" s="1" t="s">
        <v>74</v>
      </c>
      <c r="L194" s="1" t="s">
        <v>74</v>
      </c>
      <c r="M194" s="1" t="s">
        <v>74</v>
      </c>
      <c r="N194" s="1" t="s">
        <v>74</v>
      </c>
      <c r="O194" s="1" t="s">
        <v>74</v>
      </c>
      <c r="P194" s="1" t="s">
        <v>74</v>
      </c>
      <c r="Q194" s="1" t="s">
        <v>74</v>
      </c>
      <c r="R194" s="1" t="s">
        <v>74</v>
      </c>
      <c r="S194" s="1" t="s">
        <v>74</v>
      </c>
      <c r="T194" s="1" t="s">
        <v>74</v>
      </c>
      <c r="U194" s="1" t="s">
        <v>74</v>
      </c>
      <c r="V194" s="1" t="s">
        <v>2092</v>
      </c>
      <c r="W194" s="1" t="s">
        <v>74</v>
      </c>
      <c r="X194" s="1" t="s">
        <v>74</v>
      </c>
      <c r="Y194" s="1" t="s">
        <v>74</v>
      </c>
      <c r="Z194" s="1" t="s">
        <v>74</v>
      </c>
      <c r="AA194" s="1" t="s">
        <v>2093</v>
      </c>
      <c r="AB194" s="1" t="s">
        <v>2094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2095</v>
      </c>
      <c r="AP194" s="1" t="s">
        <v>2096</v>
      </c>
      <c r="AQ194" s="1" t="s">
        <v>74</v>
      </c>
      <c r="AR194" s="1" t="s">
        <v>74</v>
      </c>
      <c r="AS194" s="1" t="s">
        <v>74</v>
      </c>
      <c r="AT194" s="1" t="s">
        <v>2097</v>
      </c>
      <c r="AU194" s="1">
        <v>2024.0</v>
      </c>
      <c r="AV194" s="1" t="s">
        <v>74</v>
      </c>
      <c r="AW194" s="1" t="s">
        <v>74</v>
      </c>
      <c r="AX194" s="1" t="s">
        <v>74</v>
      </c>
      <c r="AY194" s="1" t="s">
        <v>74</v>
      </c>
      <c r="AZ194" s="1" t="s">
        <v>74</v>
      </c>
      <c r="BA194" s="1" t="s">
        <v>74</v>
      </c>
      <c r="BB194" s="1" t="s">
        <v>74</v>
      </c>
      <c r="BC194" s="1" t="s">
        <v>74</v>
      </c>
      <c r="BD194" s="1" t="s">
        <v>74</v>
      </c>
      <c r="BE194" s="1" t="s">
        <v>2098</v>
      </c>
      <c r="BF194" s="2" t="str">
        <f>HYPERLINK("http://dx.doi.org/10.1080/08959420.2024.2348965","http://dx.doi.org/10.1080/08959420.2024.2348965")</f>
        <v>http://dx.doi.org/10.1080/08959420.2024.2348965</v>
      </c>
      <c r="BG194" s="1" t="s">
        <v>74</v>
      </c>
      <c r="BH194" s="1" t="s">
        <v>2099</v>
      </c>
      <c r="BI194" s="1" t="s">
        <v>74</v>
      </c>
      <c r="BJ194" s="1" t="s">
        <v>74</v>
      </c>
      <c r="BK194" s="1" t="s">
        <v>74</v>
      </c>
      <c r="BL194" s="1" t="s">
        <v>74</v>
      </c>
      <c r="BM194" s="1" t="s">
        <v>74</v>
      </c>
      <c r="BN194" s="1">
        <v>3.8696673E7</v>
      </c>
      <c r="BO194" s="1" t="s">
        <v>74</v>
      </c>
      <c r="BP194" s="1" t="s">
        <v>74</v>
      </c>
      <c r="BQ194" s="1" t="s">
        <v>74</v>
      </c>
      <c r="BR194" s="1" t="s">
        <v>74</v>
      </c>
      <c r="BS194" s="1" t="s">
        <v>2100</v>
      </c>
      <c r="BT194" s="1" t="str">
        <f>HYPERLINK("https%3A%2F%2Fwww.webofscience.com%2Fwos%2Fwoscc%2Ffull-record%2FWOS:001216976300001","View Full Record in Web of Science")</f>
        <v>View Full Record in Web of Science</v>
      </c>
    </row>
    <row r="195" ht="12.75" customHeight="1">
      <c r="A195" s="1" t="s">
        <v>72</v>
      </c>
      <c r="B195" s="1" t="s">
        <v>2101</v>
      </c>
      <c r="C195" s="1" t="s">
        <v>74</v>
      </c>
      <c r="D195" s="1" t="s">
        <v>74</v>
      </c>
      <c r="E195" s="1" t="s">
        <v>74</v>
      </c>
      <c r="F195" s="1" t="s">
        <v>2102</v>
      </c>
      <c r="G195" s="1" t="s">
        <v>74</v>
      </c>
      <c r="H195" s="1" t="s">
        <v>74</v>
      </c>
      <c r="I195" s="1" t="s">
        <v>2103</v>
      </c>
      <c r="J195" s="1" t="s">
        <v>1735</v>
      </c>
      <c r="K195" s="1" t="s">
        <v>74</v>
      </c>
      <c r="L195" s="1" t="s">
        <v>74</v>
      </c>
      <c r="M195" s="1" t="s">
        <v>74</v>
      </c>
      <c r="N195" s="1" t="s">
        <v>74</v>
      </c>
      <c r="O195" s="1" t="s">
        <v>74</v>
      </c>
      <c r="P195" s="1" t="s">
        <v>74</v>
      </c>
      <c r="Q195" s="1" t="s">
        <v>74</v>
      </c>
      <c r="R195" s="1" t="s">
        <v>74</v>
      </c>
      <c r="S195" s="1" t="s">
        <v>74</v>
      </c>
      <c r="T195" s="1" t="s">
        <v>74</v>
      </c>
      <c r="U195" s="1" t="s">
        <v>74</v>
      </c>
      <c r="V195" s="1" t="s">
        <v>2104</v>
      </c>
      <c r="W195" s="1" t="s">
        <v>74</v>
      </c>
      <c r="X195" s="1" t="s">
        <v>74</v>
      </c>
      <c r="Y195" s="1" t="s">
        <v>74</v>
      </c>
      <c r="Z195" s="1" t="s">
        <v>74</v>
      </c>
      <c r="AA195" s="1" t="s">
        <v>2105</v>
      </c>
      <c r="AB195" s="1" t="s">
        <v>2106</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2107</v>
      </c>
      <c r="AP195" s="1" t="s">
        <v>1739</v>
      </c>
      <c r="AQ195" s="1" t="s">
        <v>74</v>
      </c>
      <c r="AR195" s="1" t="s">
        <v>74</v>
      </c>
      <c r="AS195" s="1" t="s">
        <v>74</v>
      </c>
      <c r="AT195" s="1" t="s">
        <v>120</v>
      </c>
      <c r="AU195" s="1">
        <v>2023.0</v>
      </c>
      <c r="AV195" s="1">
        <v>24.0</v>
      </c>
      <c r="AW195" s="1">
        <v>3.0</v>
      </c>
      <c r="AX195" s="1" t="s">
        <v>74</v>
      </c>
      <c r="AY195" s="1" t="s">
        <v>74</v>
      </c>
      <c r="AZ195" s="1" t="s">
        <v>74</v>
      </c>
      <c r="BA195" s="1" t="s">
        <v>74</v>
      </c>
      <c r="BB195" s="1" t="s">
        <v>74</v>
      </c>
      <c r="BC195" s="1" t="s">
        <v>74</v>
      </c>
      <c r="BD195" s="1">
        <v>1958.0</v>
      </c>
      <c r="BE195" s="1" t="s">
        <v>2108</v>
      </c>
      <c r="BF195" s="2" t="str">
        <f>HYPERLINK("http://dx.doi.org/10.3390/ijms24031958","http://dx.doi.org/10.3390/ijms24031958")</f>
        <v>http://dx.doi.org/10.3390/ijms24031958</v>
      </c>
      <c r="BG195" s="1" t="s">
        <v>74</v>
      </c>
      <c r="BH195" s="1" t="s">
        <v>74</v>
      </c>
      <c r="BI195" s="1" t="s">
        <v>74</v>
      </c>
      <c r="BJ195" s="1" t="s">
        <v>74</v>
      </c>
      <c r="BK195" s="1" t="s">
        <v>74</v>
      </c>
      <c r="BL195" s="1" t="s">
        <v>74</v>
      </c>
      <c r="BM195" s="1" t="s">
        <v>74</v>
      </c>
      <c r="BN195" s="1">
        <v>3.6768285E7</v>
      </c>
      <c r="BO195" s="1" t="s">
        <v>74</v>
      </c>
      <c r="BP195" s="1" t="s">
        <v>74</v>
      </c>
      <c r="BQ195" s="1" t="s">
        <v>74</v>
      </c>
      <c r="BR195" s="1" t="s">
        <v>74</v>
      </c>
      <c r="BS195" s="1" t="s">
        <v>2109</v>
      </c>
      <c r="BT195" s="1" t="str">
        <f>HYPERLINK("https%3A%2F%2Fwww.webofscience.com%2Fwos%2Fwoscc%2Ffull-record%2FWOS:000932788500001","View Full Record in Web of Science")</f>
        <v>View Full Record in Web of Science</v>
      </c>
    </row>
    <row r="196" ht="12.75" customHeight="1">
      <c r="A196" s="1" t="s">
        <v>72</v>
      </c>
      <c r="B196" s="1" t="s">
        <v>2110</v>
      </c>
      <c r="C196" s="1" t="s">
        <v>74</v>
      </c>
      <c r="D196" s="1" t="s">
        <v>74</v>
      </c>
      <c r="E196" s="1" t="s">
        <v>74</v>
      </c>
      <c r="F196" s="1" t="s">
        <v>2111</v>
      </c>
      <c r="G196" s="1" t="s">
        <v>74</v>
      </c>
      <c r="H196" s="1" t="s">
        <v>74</v>
      </c>
      <c r="I196" s="1" t="s">
        <v>2112</v>
      </c>
      <c r="J196" s="1" t="s">
        <v>2113</v>
      </c>
      <c r="K196" s="1" t="s">
        <v>74</v>
      </c>
      <c r="L196" s="1" t="s">
        <v>74</v>
      </c>
      <c r="M196" s="1" t="s">
        <v>74</v>
      </c>
      <c r="N196" s="1" t="s">
        <v>74</v>
      </c>
      <c r="O196" s="1" t="s">
        <v>74</v>
      </c>
      <c r="P196" s="1" t="s">
        <v>74</v>
      </c>
      <c r="Q196" s="1" t="s">
        <v>74</v>
      </c>
      <c r="R196" s="1" t="s">
        <v>74</v>
      </c>
      <c r="S196" s="1" t="s">
        <v>74</v>
      </c>
      <c r="T196" s="1" t="s">
        <v>74</v>
      </c>
      <c r="U196" s="1" t="s">
        <v>74</v>
      </c>
      <c r="V196" s="1" t="s">
        <v>2114</v>
      </c>
      <c r="W196" s="1" t="s">
        <v>74</v>
      </c>
      <c r="X196" s="1" t="s">
        <v>74</v>
      </c>
      <c r="Y196" s="1" t="s">
        <v>74</v>
      </c>
      <c r="Z196" s="1" t="s">
        <v>74</v>
      </c>
      <c r="AA196" s="1" t="s">
        <v>2115</v>
      </c>
      <c r="AB196" s="1" t="s">
        <v>74</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2116</v>
      </c>
      <c r="AP196" s="1" t="s">
        <v>74</v>
      </c>
      <c r="AQ196" s="1" t="s">
        <v>74</v>
      </c>
      <c r="AR196" s="1" t="s">
        <v>74</v>
      </c>
      <c r="AS196" s="1" t="s">
        <v>74</v>
      </c>
      <c r="AT196" s="1" t="s">
        <v>596</v>
      </c>
      <c r="AU196" s="1">
        <v>2022.0</v>
      </c>
      <c r="AV196" s="1">
        <v>68.0</v>
      </c>
      <c r="AW196" s="1" t="s">
        <v>74</v>
      </c>
      <c r="AX196" s="1" t="s">
        <v>74</v>
      </c>
      <c r="AY196" s="1" t="s">
        <v>74</v>
      </c>
      <c r="AZ196" s="1" t="s">
        <v>74</v>
      </c>
      <c r="BA196" s="1" t="s">
        <v>74</v>
      </c>
      <c r="BB196" s="1" t="s">
        <v>74</v>
      </c>
      <c r="BC196" s="1" t="s">
        <v>74</v>
      </c>
      <c r="BD196" s="1">
        <v>102880.0</v>
      </c>
      <c r="BE196" s="1" t="s">
        <v>2117</v>
      </c>
      <c r="BF196" s="2" t="str">
        <f>HYPERLINK("http://dx.doi.org/10.1016/j.algal.2022.102880","http://dx.doi.org/10.1016/j.algal.2022.102880")</f>
        <v>http://dx.doi.org/10.1016/j.algal.2022.102880</v>
      </c>
      <c r="BG196" s="1" t="s">
        <v>74</v>
      </c>
      <c r="BH196" s="1" t="s">
        <v>948</v>
      </c>
      <c r="BI196" s="1" t="s">
        <v>74</v>
      </c>
      <c r="BJ196" s="1" t="s">
        <v>74</v>
      </c>
      <c r="BK196" s="1" t="s">
        <v>74</v>
      </c>
      <c r="BL196" s="1" t="s">
        <v>74</v>
      </c>
      <c r="BM196" s="1" t="s">
        <v>74</v>
      </c>
      <c r="BN196" s="1" t="s">
        <v>74</v>
      </c>
      <c r="BO196" s="1" t="s">
        <v>74</v>
      </c>
      <c r="BP196" s="1" t="s">
        <v>74</v>
      </c>
      <c r="BQ196" s="1" t="s">
        <v>74</v>
      </c>
      <c r="BR196" s="1" t="s">
        <v>74</v>
      </c>
      <c r="BS196" s="1" t="s">
        <v>2118</v>
      </c>
      <c r="BT196" s="1" t="str">
        <f>HYPERLINK("https%3A%2F%2Fwww.webofscience.com%2Fwos%2Fwoscc%2Ffull-record%2FWOS:000933373100006","View Full Record in Web of Science")</f>
        <v>View Full Record in Web of Science</v>
      </c>
    </row>
    <row r="197" ht="12.75" customHeight="1">
      <c r="A197" s="1" t="s">
        <v>346</v>
      </c>
      <c r="B197" s="1" t="s">
        <v>2119</v>
      </c>
      <c r="C197" s="1" t="s">
        <v>74</v>
      </c>
      <c r="D197" s="1" t="s">
        <v>2120</v>
      </c>
      <c r="E197" s="1" t="s">
        <v>74</v>
      </c>
      <c r="F197" s="1" t="s">
        <v>2121</v>
      </c>
      <c r="G197" s="1" t="s">
        <v>74</v>
      </c>
      <c r="H197" s="1" t="s">
        <v>74</v>
      </c>
      <c r="I197" s="1" t="s">
        <v>2122</v>
      </c>
      <c r="J197" s="1" t="s">
        <v>2123</v>
      </c>
      <c r="K197" s="1" t="s">
        <v>2124</v>
      </c>
      <c r="L197" s="1" t="s">
        <v>74</v>
      </c>
      <c r="M197" s="1" t="s">
        <v>74</v>
      </c>
      <c r="N197" s="1" t="s">
        <v>74</v>
      </c>
      <c r="O197" s="1" t="s">
        <v>2125</v>
      </c>
      <c r="P197" s="1" t="s">
        <v>2126</v>
      </c>
      <c r="Q197" s="1" t="s">
        <v>2127</v>
      </c>
      <c r="R197" s="1" t="s">
        <v>74</v>
      </c>
      <c r="S197" s="1" t="s">
        <v>74</v>
      </c>
      <c r="T197" s="1" t="s">
        <v>74</v>
      </c>
      <c r="U197" s="1" t="s">
        <v>74</v>
      </c>
      <c r="V197" s="1" t="s">
        <v>2128</v>
      </c>
      <c r="W197" s="1" t="s">
        <v>74</v>
      </c>
      <c r="X197" s="1" t="s">
        <v>74</v>
      </c>
      <c r="Y197" s="1" t="s">
        <v>74</v>
      </c>
      <c r="Z197" s="1" t="s">
        <v>74</v>
      </c>
      <c r="AA197" s="1" t="s">
        <v>2129</v>
      </c>
      <c r="AB197" s="1" t="s">
        <v>1333</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2130</v>
      </c>
      <c r="AP197" s="1" t="s">
        <v>2131</v>
      </c>
      <c r="AQ197" s="1" t="s">
        <v>2132</v>
      </c>
      <c r="AR197" s="1" t="s">
        <v>74</v>
      </c>
      <c r="AS197" s="1" t="s">
        <v>74</v>
      </c>
      <c r="AT197" s="1" t="s">
        <v>74</v>
      </c>
      <c r="AU197" s="1">
        <v>2022.0</v>
      </c>
      <c r="AV197" s="1">
        <v>259.0</v>
      </c>
      <c r="AW197" s="1" t="s">
        <v>74</v>
      </c>
      <c r="AX197" s="1" t="s">
        <v>74</v>
      </c>
      <c r="AY197" s="1" t="s">
        <v>74</v>
      </c>
      <c r="AZ197" s="1" t="s">
        <v>74</v>
      </c>
      <c r="BA197" s="1" t="s">
        <v>74</v>
      </c>
      <c r="BB197" s="1">
        <v>354.0</v>
      </c>
      <c r="BC197" s="1">
        <v>364.0</v>
      </c>
      <c r="BD197" s="1" t="s">
        <v>74</v>
      </c>
      <c r="BE197" s="1" t="s">
        <v>2133</v>
      </c>
      <c r="BF197" s="2" t="str">
        <f>HYPERLINK("http://dx.doi.org/10.1007/978-981-16-5792-4_35","http://dx.doi.org/10.1007/978-981-16-5792-4_35")</f>
        <v>http://dx.doi.org/10.1007/978-981-16-5792-4_35</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2134</v>
      </c>
      <c r="BT197" s="1" t="str">
        <f>HYPERLINK("https%3A%2F%2Fwww.webofscience.com%2Fwos%2Fwoscc%2Ffull-record%2FWOS:000867637000035","View Full Record in Web of Science")</f>
        <v>View Full Record in Web of Science</v>
      </c>
    </row>
    <row r="198" ht="12.75" customHeight="1">
      <c r="A198" s="1" t="s">
        <v>72</v>
      </c>
      <c r="B198" s="1" t="s">
        <v>2135</v>
      </c>
      <c r="C198" s="1" t="s">
        <v>74</v>
      </c>
      <c r="D198" s="1" t="s">
        <v>74</v>
      </c>
      <c r="E198" s="1" t="s">
        <v>74</v>
      </c>
      <c r="F198" s="1" t="s">
        <v>2136</v>
      </c>
      <c r="G198" s="1" t="s">
        <v>74</v>
      </c>
      <c r="H198" s="1" t="s">
        <v>74</v>
      </c>
      <c r="I198" s="1" t="s">
        <v>2137</v>
      </c>
      <c r="J198" s="1" t="s">
        <v>1145</v>
      </c>
      <c r="K198" s="1" t="s">
        <v>74</v>
      </c>
      <c r="L198" s="1" t="s">
        <v>74</v>
      </c>
      <c r="M198" s="1" t="s">
        <v>74</v>
      </c>
      <c r="N198" s="1" t="s">
        <v>74</v>
      </c>
      <c r="O198" s="1" t="s">
        <v>74</v>
      </c>
      <c r="P198" s="1" t="s">
        <v>74</v>
      </c>
      <c r="Q198" s="1" t="s">
        <v>74</v>
      </c>
      <c r="R198" s="1" t="s">
        <v>74</v>
      </c>
      <c r="S198" s="1" t="s">
        <v>74</v>
      </c>
      <c r="T198" s="1" t="s">
        <v>74</v>
      </c>
      <c r="U198" s="1" t="s">
        <v>74</v>
      </c>
      <c r="V198" s="1" t="s">
        <v>2138</v>
      </c>
      <c r="W198" s="1" t="s">
        <v>74</v>
      </c>
      <c r="X198" s="1" t="s">
        <v>74</v>
      </c>
      <c r="Y198" s="1" t="s">
        <v>74</v>
      </c>
      <c r="Z198" s="1" t="s">
        <v>74</v>
      </c>
      <c r="AA198" s="1" t="s">
        <v>2139</v>
      </c>
      <c r="AB198" s="1" t="s">
        <v>2140</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1148</v>
      </c>
      <c r="AP198" s="1" t="s">
        <v>74</v>
      </c>
      <c r="AQ198" s="1" t="s">
        <v>74</v>
      </c>
      <c r="AR198" s="1" t="s">
        <v>74</v>
      </c>
      <c r="AS198" s="1" t="s">
        <v>74</v>
      </c>
      <c r="AT198" s="1" t="s">
        <v>95</v>
      </c>
      <c r="AU198" s="1">
        <v>2020.0</v>
      </c>
      <c r="AV198" s="1">
        <v>65.0</v>
      </c>
      <c r="AW198" s="1">
        <v>4.0</v>
      </c>
      <c r="AX198" s="1" t="s">
        <v>74</v>
      </c>
      <c r="AY198" s="1" t="s">
        <v>74</v>
      </c>
      <c r="AZ198" s="1" t="s">
        <v>74</v>
      </c>
      <c r="BA198" s="1" t="s">
        <v>74</v>
      </c>
      <c r="BB198" s="1">
        <v>5023.0</v>
      </c>
      <c r="BC198" s="1">
        <v>5026.0</v>
      </c>
      <c r="BD198" s="1" t="s">
        <v>74</v>
      </c>
      <c r="BE198" s="1" t="s">
        <v>74</v>
      </c>
      <c r="BF198" s="1" t="s">
        <v>74</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2141</v>
      </c>
      <c r="BT198" s="1" t="str">
        <f>HYPERLINK("https%3A%2F%2Fwww.webofscience.com%2Fwos%2Fwoscc%2Ffull-record%2FWOS:000596297000016","View Full Record in Web of Science")</f>
        <v>View Full Record in Web of Science</v>
      </c>
    </row>
    <row r="199" ht="12.75" customHeight="1">
      <c r="A199" s="1" t="s">
        <v>72</v>
      </c>
      <c r="B199" s="1" t="s">
        <v>2142</v>
      </c>
      <c r="C199" s="1" t="s">
        <v>74</v>
      </c>
      <c r="D199" s="1" t="s">
        <v>74</v>
      </c>
      <c r="E199" s="1" t="s">
        <v>74</v>
      </c>
      <c r="F199" s="1" t="s">
        <v>2143</v>
      </c>
      <c r="G199" s="1" t="s">
        <v>74</v>
      </c>
      <c r="H199" s="1" t="s">
        <v>74</v>
      </c>
      <c r="I199" s="1" t="s">
        <v>2144</v>
      </c>
      <c r="J199" s="1" t="s">
        <v>2145</v>
      </c>
      <c r="K199" s="1" t="s">
        <v>74</v>
      </c>
      <c r="L199" s="1" t="s">
        <v>74</v>
      </c>
      <c r="M199" s="1" t="s">
        <v>74</v>
      </c>
      <c r="N199" s="1" t="s">
        <v>74</v>
      </c>
      <c r="O199" s="1" t="s">
        <v>74</v>
      </c>
      <c r="P199" s="1" t="s">
        <v>74</v>
      </c>
      <c r="Q199" s="1" t="s">
        <v>74</v>
      </c>
      <c r="R199" s="1" t="s">
        <v>74</v>
      </c>
      <c r="S199" s="1" t="s">
        <v>74</v>
      </c>
      <c r="T199" s="1" t="s">
        <v>74</v>
      </c>
      <c r="U199" s="1" t="s">
        <v>74</v>
      </c>
      <c r="V199" s="1" t="s">
        <v>2146</v>
      </c>
      <c r="W199" s="1" t="s">
        <v>74</v>
      </c>
      <c r="X199" s="1" t="s">
        <v>74</v>
      </c>
      <c r="Y199" s="1" t="s">
        <v>74</v>
      </c>
      <c r="Z199" s="1" t="s">
        <v>74</v>
      </c>
      <c r="AA199" s="1" t="s">
        <v>74</v>
      </c>
      <c r="AB199" s="1" t="s">
        <v>74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2147</v>
      </c>
      <c r="AP199" s="1" t="s">
        <v>2148</v>
      </c>
      <c r="AQ199" s="1" t="s">
        <v>74</v>
      </c>
      <c r="AR199" s="1" t="s">
        <v>74</v>
      </c>
      <c r="AS199" s="1" t="s">
        <v>74</v>
      </c>
      <c r="AT199" s="1" t="s">
        <v>2149</v>
      </c>
      <c r="AU199" s="1">
        <v>2019.0</v>
      </c>
      <c r="AV199" s="1">
        <v>23.0</v>
      </c>
      <c r="AW199" s="1">
        <v>45.0</v>
      </c>
      <c r="AX199" s="1" t="s">
        <v>74</v>
      </c>
      <c r="AY199" s="1" t="s">
        <v>74</v>
      </c>
      <c r="AZ199" s="1" t="s">
        <v>74</v>
      </c>
      <c r="BA199" s="1" t="s">
        <v>74</v>
      </c>
      <c r="BB199" s="1">
        <v>147.0</v>
      </c>
      <c r="BC199" s="1">
        <v>169.0</v>
      </c>
      <c r="BD199" s="1" t="s">
        <v>74</v>
      </c>
      <c r="BE199" s="1" t="s">
        <v>74</v>
      </c>
      <c r="BF199" s="1" t="s">
        <v>74</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2150</v>
      </c>
      <c r="BT199" s="1" t="str">
        <f>HYPERLINK("https%3A%2F%2Fwww.webofscience.com%2Fwos%2Fwoscc%2Ffull-record%2FWOS:000504836900006","View Full Record in Web of Science")</f>
        <v>View Full Record in Web of Science</v>
      </c>
    </row>
    <row r="200" ht="12.75" customHeight="1">
      <c r="A200" s="1" t="s">
        <v>72</v>
      </c>
      <c r="B200" s="1" t="s">
        <v>2151</v>
      </c>
      <c r="C200" s="1" t="s">
        <v>74</v>
      </c>
      <c r="D200" s="1" t="s">
        <v>74</v>
      </c>
      <c r="E200" s="1" t="s">
        <v>74</v>
      </c>
      <c r="F200" s="1" t="s">
        <v>2152</v>
      </c>
      <c r="G200" s="1" t="s">
        <v>74</v>
      </c>
      <c r="H200" s="1" t="s">
        <v>74</v>
      </c>
      <c r="I200" s="1" t="s">
        <v>2153</v>
      </c>
      <c r="J200" s="1" t="s">
        <v>2154</v>
      </c>
      <c r="K200" s="1" t="s">
        <v>74</v>
      </c>
      <c r="L200" s="1" t="s">
        <v>74</v>
      </c>
      <c r="M200" s="1" t="s">
        <v>74</v>
      </c>
      <c r="N200" s="1" t="s">
        <v>74</v>
      </c>
      <c r="O200" s="1" t="s">
        <v>74</v>
      </c>
      <c r="P200" s="1" t="s">
        <v>74</v>
      </c>
      <c r="Q200" s="1" t="s">
        <v>74</v>
      </c>
      <c r="R200" s="1" t="s">
        <v>74</v>
      </c>
      <c r="S200" s="1" t="s">
        <v>74</v>
      </c>
      <c r="T200" s="1" t="s">
        <v>74</v>
      </c>
      <c r="U200" s="1" t="s">
        <v>74</v>
      </c>
      <c r="V200" s="1" t="s">
        <v>2155</v>
      </c>
      <c r="W200" s="1" t="s">
        <v>74</v>
      </c>
      <c r="X200" s="1" t="s">
        <v>74</v>
      </c>
      <c r="Y200" s="1" t="s">
        <v>74</v>
      </c>
      <c r="Z200" s="1" t="s">
        <v>74</v>
      </c>
      <c r="AA200" s="1" t="s">
        <v>2156</v>
      </c>
      <c r="AB200" s="1" t="s">
        <v>2157</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2158</v>
      </c>
      <c r="AP200" s="1" t="s">
        <v>2159</v>
      </c>
      <c r="AQ200" s="1" t="s">
        <v>74</v>
      </c>
      <c r="AR200" s="1" t="s">
        <v>74</v>
      </c>
      <c r="AS200" s="1" t="s">
        <v>74</v>
      </c>
      <c r="AT200" s="1" t="s">
        <v>187</v>
      </c>
      <c r="AU200" s="1">
        <v>2019.0</v>
      </c>
      <c r="AV200" s="1">
        <v>31.0</v>
      </c>
      <c r="AW200" s="1">
        <v>2.0</v>
      </c>
      <c r="AX200" s="1" t="s">
        <v>74</v>
      </c>
      <c r="AY200" s="1" t="s">
        <v>74</v>
      </c>
      <c r="AZ200" s="1" t="s">
        <v>74</v>
      </c>
      <c r="BA200" s="1" t="s">
        <v>74</v>
      </c>
      <c r="BB200" s="1">
        <v>1415.0</v>
      </c>
      <c r="BC200" s="1">
        <v>1424.0</v>
      </c>
      <c r="BD200" s="1" t="s">
        <v>74</v>
      </c>
      <c r="BE200" s="1" t="s">
        <v>2160</v>
      </c>
      <c r="BF200" s="2" t="str">
        <f>HYPERLINK("http://dx.doi.org/10.1007/s10811-018-1595-y","http://dx.doi.org/10.1007/s10811-018-1595-y")</f>
        <v>http://dx.doi.org/10.1007/s10811-018-1595-y</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2161</v>
      </c>
      <c r="BT200" s="1" t="str">
        <f>HYPERLINK("https%3A%2F%2Fwww.webofscience.com%2Fwos%2Fwoscc%2Ffull-record%2FWOS:000463988500056","View Full Record in Web of Science")</f>
        <v>View Full Record in Web of Science</v>
      </c>
    </row>
    <row r="201" ht="12.75" customHeight="1">
      <c r="A201" s="1" t="s">
        <v>72</v>
      </c>
      <c r="B201" s="1" t="s">
        <v>499</v>
      </c>
      <c r="C201" s="1" t="s">
        <v>74</v>
      </c>
      <c r="D201" s="1" t="s">
        <v>74</v>
      </c>
      <c r="E201" s="1" t="s">
        <v>74</v>
      </c>
      <c r="F201" s="1" t="s">
        <v>2162</v>
      </c>
      <c r="G201" s="1" t="s">
        <v>74</v>
      </c>
      <c r="H201" s="1" t="s">
        <v>74</v>
      </c>
      <c r="I201" s="1" t="s">
        <v>2163</v>
      </c>
      <c r="J201" s="1" t="s">
        <v>502</v>
      </c>
      <c r="K201" s="1" t="s">
        <v>74</v>
      </c>
      <c r="L201" s="1" t="s">
        <v>74</v>
      </c>
      <c r="M201" s="1" t="s">
        <v>74</v>
      </c>
      <c r="N201" s="1" t="s">
        <v>74</v>
      </c>
      <c r="O201" s="1" t="s">
        <v>74</v>
      </c>
      <c r="P201" s="1" t="s">
        <v>74</v>
      </c>
      <c r="Q201" s="1" t="s">
        <v>74</v>
      </c>
      <c r="R201" s="1" t="s">
        <v>74</v>
      </c>
      <c r="S201" s="1" t="s">
        <v>74</v>
      </c>
      <c r="T201" s="1" t="s">
        <v>74</v>
      </c>
      <c r="U201" s="1" t="s">
        <v>74</v>
      </c>
      <c r="V201" s="1" t="s">
        <v>74</v>
      </c>
      <c r="W201" s="1" t="s">
        <v>74</v>
      </c>
      <c r="X201" s="1" t="s">
        <v>74</v>
      </c>
      <c r="Y201" s="1" t="s">
        <v>74</v>
      </c>
      <c r="Z201" s="1" t="s">
        <v>74</v>
      </c>
      <c r="AA201" s="1" t="s">
        <v>74</v>
      </c>
      <c r="AB201" s="1" t="s">
        <v>74</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503</v>
      </c>
      <c r="AP201" s="1" t="s">
        <v>504</v>
      </c>
      <c r="AQ201" s="1" t="s">
        <v>74</v>
      </c>
      <c r="AR201" s="1" t="s">
        <v>74</v>
      </c>
      <c r="AS201" s="1" t="s">
        <v>74</v>
      </c>
      <c r="AT201" s="1" t="s">
        <v>187</v>
      </c>
      <c r="AU201" s="1">
        <v>2019.0</v>
      </c>
      <c r="AV201" s="1">
        <v>76.0</v>
      </c>
      <c r="AW201" s="1">
        <v>2.0</v>
      </c>
      <c r="AX201" s="1" t="s">
        <v>74</v>
      </c>
      <c r="AY201" s="1" t="s">
        <v>74</v>
      </c>
      <c r="AZ201" s="1" t="s">
        <v>74</v>
      </c>
      <c r="BA201" s="1" t="s">
        <v>74</v>
      </c>
      <c r="BB201" s="1">
        <v>384.0</v>
      </c>
      <c r="BC201" s="1">
        <v>385.0</v>
      </c>
      <c r="BD201" s="1" t="s">
        <v>74</v>
      </c>
      <c r="BE201" s="1" t="s">
        <v>2164</v>
      </c>
      <c r="BF201" s="2" t="str">
        <f>HYPERLINK("http://dx.doi.org/10.1017/tam.2019.24","http://dx.doi.org/10.1017/tam.2019.24")</f>
        <v>http://dx.doi.org/10.1017/tam.2019.24</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2165</v>
      </c>
      <c r="BT201" s="1" t="str">
        <f>HYPERLINK("https%3A%2F%2Fwww.webofscience.com%2Fwos%2Fwoscc%2Ffull-record%2FWOS:000462769300025","View Full Record in Web of Science")</f>
        <v>View Full Record in Web of Science</v>
      </c>
    </row>
    <row r="202" ht="12.75" customHeight="1">
      <c r="A202" s="1" t="s">
        <v>72</v>
      </c>
      <c r="B202" s="1" t="s">
        <v>2166</v>
      </c>
      <c r="C202" s="1" t="s">
        <v>74</v>
      </c>
      <c r="D202" s="1" t="s">
        <v>74</v>
      </c>
      <c r="E202" s="1" t="s">
        <v>74</v>
      </c>
      <c r="F202" s="1" t="s">
        <v>2167</v>
      </c>
      <c r="G202" s="1" t="s">
        <v>74</v>
      </c>
      <c r="H202" s="1" t="s">
        <v>74</v>
      </c>
      <c r="I202" s="1" t="s">
        <v>2168</v>
      </c>
      <c r="J202" s="1" t="s">
        <v>2169</v>
      </c>
      <c r="K202" s="1" t="s">
        <v>74</v>
      </c>
      <c r="L202" s="1" t="s">
        <v>74</v>
      </c>
      <c r="M202" s="1" t="s">
        <v>74</v>
      </c>
      <c r="N202" s="1" t="s">
        <v>74</v>
      </c>
      <c r="O202" s="1" t="s">
        <v>74</v>
      </c>
      <c r="P202" s="1" t="s">
        <v>74</v>
      </c>
      <c r="Q202" s="1" t="s">
        <v>74</v>
      </c>
      <c r="R202" s="1" t="s">
        <v>74</v>
      </c>
      <c r="S202" s="1" t="s">
        <v>74</v>
      </c>
      <c r="T202" s="1" t="s">
        <v>74</v>
      </c>
      <c r="U202" s="1" t="s">
        <v>74</v>
      </c>
      <c r="V202" s="1" t="s">
        <v>2170</v>
      </c>
      <c r="W202" s="1" t="s">
        <v>74</v>
      </c>
      <c r="X202" s="1" t="s">
        <v>74</v>
      </c>
      <c r="Y202" s="1" t="s">
        <v>74</v>
      </c>
      <c r="Z202" s="1" t="s">
        <v>74</v>
      </c>
      <c r="AA202" s="1" t="s">
        <v>2171</v>
      </c>
      <c r="AB202" s="1" t="s">
        <v>2172</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2173</v>
      </c>
      <c r="AP202" s="1" t="s">
        <v>74</v>
      </c>
      <c r="AQ202" s="1" t="s">
        <v>74</v>
      </c>
      <c r="AR202" s="1" t="s">
        <v>74</v>
      </c>
      <c r="AS202" s="1" t="s">
        <v>74</v>
      </c>
      <c r="AT202" s="1" t="s">
        <v>74</v>
      </c>
      <c r="AU202" s="1">
        <v>2019.0</v>
      </c>
      <c r="AV202" s="1">
        <v>37.0</v>
      </c>
      <c r="AW202" s="1">
        <v>1.0</v>
      </c>
      <c r="AX202" s="1" t="s">
        <v>74</v>
      </c>
      <c r="AY202" s="1" t="s">
        <v>74</v>
      </c>
      <c r="AZ202" s="1" t="s">
        <v>74</v>
      </c>
      <c r="BA202" s="1" t="s">
        <v>74</v>
      </c>
      <c r="BB202" s="1">
        <v>39.0</v>
      </c>
      <c r="BC202" s="1">
        <v>51.0</v>
      </c>
      <c r="BD202" s="1" t="s">
        <v>74</v>
      </c>
      <c r="BE202" s="1" t="s">
        <v>2174</v>
      </c>
      <c r="BF202" s="2" t="str">
        <f>HYPERLINK("http://dx.doi.org/10.4067/S0718-48082019000100039","http://dx.doi.org/10.4067/S0718-48082019000100039")</f>
        <v>http://dx.doi.org/10.4067/S0718-48082019000100039</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2175</v>
      </c>
      <c r="BT202" s="1" t="str">
        <f>HYPERLINK("https%3A%2F%2Fwww.webofscience.com%2Fwos%2Fwoscc%2Ffull-record%2FWOS:000465387200004","View Full Record in Web of Science")</f>
        <v>View Full Record in Web of Science</v>
      </c>
    </row>
    <row r="203" ht="12.75" customHeight="1">
      <c r="A203" s="1" t="s">
        <v>72</v>
      </c>
      <c r="B203" s="1" t="s">
        <v>2176</v>
      </c>
      <c r="C203" s="1" t="s">
        <v>74</v>
      </c>
      <c r="D203" s="1" t="s">
        <v>74</v>
      </c>
      <c r="E203" s="1" t="s">
        <v>74</v>
      </c>
      <c r="F203" s="1" t="s">
        <v>2177</v>
      </c>
      <c r="G203" s="1" t="s">
        <v>74</v>
      </c>
      <c r="H203" s="1" t="s">
        <v>74</v>
      </c>
      <c r="I203" s="1" t="s">
        <v>2178</v>
      </c>
      <c r="J203" s="1" t="s">
        <v>2179</v>
      </c>
      <c r="K203" s="1" t="s">
        <v>74</v>
      </c>
      <c r="L203" s="1" t="s">
        <v>74</v>
      </c>
      <c r="M203" s="1" t="s">
        <v>74</v>
      </c>
      <c r="N203" s="1" t="s">
        <v>74</v>
      </c>
      <c r="O203" s="1" t="s">
        <v>74</v>
      </c>
      <c r="P203" s="1" t="s">
        <v>74</v>
      </c>
      <c r="Q203" s="1" t="s">
        <v>74</v>
      </c>
      <c r="R203" s="1" t="s">
        <v>74</v>
      </c>
      <c r="S203" s="1" t="s">
        <v>74</v>
      </c>
      <c r="T203" s="1" t="s">
        <v>74</v>
      </c>
      <c r="U203" s="1" t="s">
        <v>74</v>
      </c>
      <c r="V203" s="1" t="s">
        <v>2180</v>
      </c>
      <c r="W203" s="1" t="s">
        <v>74</v>
      </c>
      <c r="X203" s="1" t="s">
        <v>74</v>
      </c>
      <c r="Y203" s="1" t="s">
        <v>74</v>
      </c>
      <c r="Z203" s="1" t="s">
        <v>74</v>
      </c>
      <c r="AA203" s="1" t="s">
        <v>2181</v>
      </c>
      <c r="AB203" s="1" t="s">
        <v>2182</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2183</v>
      </c>
      <c r="AP203" s="1" t="s">
        <v>2184</v>
      </c>
      <c r="AQ203" s="1" t="s">
        <v>74</v>
      </c>
      <c r="AR203" s="1" t="s">
        <v>74</v>
      </c>
      <c r="AS203" s="1" t="s">
        <v>74</v>
      </c>
      <c r="AT203" s="1" t="s">
        <v>187</v>
      </c>
      <c r="AU203" s="1">
        <v>2018.0</v>
      </c>
      <c r="AV203" s="1">
        <v>49.0</v>
      </c>
      <c r="AW203" s="1">
        <v>2.0</v>
      </c>
      <c r="AX203" s="1" t="s">
        <v>74</v>
      </c>
      <c r="AY203" s="1" t="s">
        <v>74</v>
      </c>
      <c r="AZ203" s="1" t="s">
        <v>74</v>
      </c>
      <c r="BA203" s="1" t="s">
        <v>74</v>
      </c>
      <c r="BB203" s="1">
        <v>195.0</v>
      </c>
      <c r="BC203" s="1">
        <v>225.0</v>
      </c>
      <c r="BD203" s="1" t="s">
        <v>74</v>
      </c>
      <c r="BE203" s="1" t="s">
        <v>2185</v>
      </c>
      <c r="BF203" s="2" t="str">
        <f>HYPERLINK("http://dx.doi.org/10.1177/1046496417740636","http://dx.doi.org/10.1177/1046496417740636")</f>
        <v>http://dx.doi.org/10.1177/1046496417740636</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2186</v>
      </c>
      <c r="BT203" s="1" t="str">
        <f>HYPERLINK("https%3A%2F%2Fwww.webofscience.com%2Fwos%2Fwoscc%2Ffull-record%2FWOS:000429946000003","View Full Record in Web of Science")</f>
        <v>View Full Record in Web of Science</v>
      </c>
    </row>
    <row r="204" ht="12.75" customHeight="1">
      <c r="A204" s="1" t="s">
        <v>72</v>
      </c>
      <c r="B204" s="1" t="s">
        <v>2187</v>
      </c>
      <c r="C204" s="1" t="s">
        <v>74</v>
      </c>
      <c r="D204" s="1" t="s">
        <v>74</v>
      </c>
      <c r="E204" s="1" t="s">
        <v>74</v>
      </c>
      <c r="F204" s="1" t="s">
        <v>2188</v>
      </c>
      <c r="G204" s="1" t="s">
        <v>74</v>
      </c>
      <c r="H204" s="1" t="s">
        <v>74</v>
      </c>
      <c r="I204" s="1" t="s">
        <v>2189</v>
      </c>
      <c r="J204" s="1" t="s">
        <v>2190</v>
      </c>
      <c r="K204" s="1" t="s">
        <v>74</v>
      </c>
      <c r="L204" s="1" t="s">
        <v>74</v>
      </c>
      <c r="M204" s="1" t="s">
        <v>74</v>
      </c>
      <c r="N204" s="1" t="s">
        <v>74</v>
      </c>
      <c r="O204" s="1" t="s">
        <v>74</v>
      </c>
      <c r="P204" s="1" t="s">
        <v>74</v>
      </c>
      <c r="Q204" s="1" t="s">
        <v>74</v>
      </c>
      <c r="R204" s="1" t="s">
        <v>74</v>
      </c>
      <c r="S204" s="1" t="s">
        <v>74</v>
      </c>
      <c r="T204" s="1" t="s">
        <v>74</v>
      </c>
      <c r="U204" s="1" t="s">
        <v>74</v>
      </c>
      <c r="V204" s="1" t="s">
        <v>2191</v>
      </c>
      <c r="W204" s="1" t="s">
        <v>74</v>
      </c>
      <c r="X204" s="1" t="s">
        <v>74</v>
      </c>
      <c r="Y204" s="1" t="s">
        <v>74</v>
      </c>
      <c r="Z204" s="1" t="s">
        <v>74</v>
      </c>
      <c r="AA204" s="1" t="s">
        <v>2192</v>
      </c>
      <c r="AB204" s="1" t="s">
        <v>2193</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2194</v>
      </c>
      <c r="AP204" s="1" t="s">
        <v>2195</v>
      </c>
      <c r="AQ204" s="1" t="s">
        <v>74</v>
      </c>
      <c r="AR204" s="1" t="s">
        <v>74</v>
      </c>
      <c r="AS204" s="1" t="s">
        <v>74</v>
      </c>
      <c r="AT204" s="1" t="s">
        <v>2196</v>
      </c>
      <c r="AU204" s="1">
        <v>2017.0</v>
      </c>
      <c r="AV204" s="1">
        <v>95.0</v>
      </c>
      <c r="AW204" s="1">
        <v>10.0</v>
      </c>
      <c r="AX204" s="1" t="s">
        <v>74</v>
      </c>
      <c r="AY204" s="1" t="s">
        <v>74</v>
      </c>
      <c r="AZ204" s="1" t="s">
        <v>74</v>
      </c>
      <c r="BA204" s="1" t="s">
        <v>74</v>
      </c>
      <c r="BB204" s="1" t="s">
        <v>74</v>
      </c>
      <c r="BC204" s="1" t="s">
        <v>74</v>
      </c>
      <c r="BD204" s="1">
        <v>104406.0</v>
      </c>
      <c r="BE204" s="1" t="s">
        <v>2197</v>
      </c>
      <c r="BF204" s="2" t="str">
        <f>HYPERLINK("http://dx.doi.org/10.1103/PhysRevB.95.104406","http://dx.doi.org/10.1103/PhysRevB.95.104406")</f>
        <v>http://dx.doi.org/10.1103/PhysRevB.95.104406</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2198</v>
      </c>
      <c r="BT204" s="1" t="str">
        <f>HYPERLINK("https%3A%2F%2Fwww.webofscience.com%2Fwos%2Fwoscc%2Ffull-record%2FWOS:000396001800005","View Full Record in Web of Science")</f>
        <v>View Full Record in Web of Science</v>
      </c>
    </row>
    <row r="205" ht="12.75" customHeight="1">
      <c r="A205" s="1" t="s">
        <v>346</v>
      </c>
      <c r="B205" s="1" t="s">
        <v>2199</v>
      </c>
      <c r="C205" s="1" t="s">
        <v>74</v>
      </c>
      <c r="D205" s="1" t="s">
        <v>74</v>
      </c>
      <c r="E205" s="1" t="s">
        <v>348</v>
      </c>
      <c r="F205" s="1" t="s">
        <v>2200</v>
      </c>
      <c r="G205" s="1" t="s">
        <v>74</v>
      </c>
      <c r="H205" s="1" t="s">
        <v>74</v>
      </c>
      <c r="I205" s="1" t="s">
        <v>2201</v>
      </c>
      <c r="J205" s="1" t="s">
        <v>2202</v>
      </c>
      <c r="K205" s="1" t="s">
        <v>74</v>
      </c>
      <c r="L205" s="1" t="s">
        <v>74</v>
      </c>
      <c r="M205" s="1" t="s">
        <v>74</v>
      </c>
      <c r="N205" s="1" t="s">
        <v>74</v>
      </c>
      <c r="O205" s="1" t="s">
        <v>2203</v>
      </c>
      <c r="P205" s="1" t="s">
        <v>2204</v>
      </c>
      <c r="Q205" s="1" t="s">
        <v>2205</v>
      </c>
      <c r="R205" s="1" t="s">
        <v>2206</v>
      </c>
      <c r="S205" s="1" t="s">
        <v>2207</v>
      </c>
      <c r="T205" s="1" t="s">
        <v>74</v>
      </c>
      <c r="U205" s="1" t="s">
        <v>74</v>
      </c>
      <c r="V205" s="1" t="s">
        <v>2208</v>
      </c>
      <c r="W205" s="1" t="s">
        <v>74</v>
      </c>
      <c r="X205" s="1" t="s">
        <v>74</v>
      </c>
      <c r="Y205" s="1" t="s">
        <v>74</v>
      </c>
      <c r="Z205" s="1" t="s">
        <v>74</v>
      </c>
      <c r="AA205" s="1" t="s">
        <v>2209</v>
      </c>
      <c r="AB205" s="1" t="s">
        <v>2210</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74</v>
      </c>
      <c r="AP205" s="1" t="s">
        <v>74</v>
      </c>
      <c r="AQ205" s="1" t="s">
        <v>2211</v>
      </c>
      <c r="AR205" s="1" t="s">
        <v>74</v>
      </c>
      <c r="AS205" s="1" t="s">
        <v>74</v>
      </c>
      <c r="AT205" s="1" t="s">
        <v>74</v>
      </c>
      <c r="AU205" s="1">
        <v>2017.0</v>
      </c>
      <c r="AV205" s="1" t="s">
        <v>74</v>
      </c>
      <c r="AW205" s="1" t="s">
        <v>74</v>
      </c>
      <c r="AX205" s="1" t="s">
        <v>74</v>
      </c>
      <c r="AY205" s="1" t="s">
        <v>74</v>
      </c>
      <c r="AZ205" s="1" t="s">
        <v>74</v>
      </c>
      <c r="BA205" s="1" t="s">
        <v>74</v>
      </c>
      <c r="BB205" s="1">
        <v>97.0</v>
      </c>
      <c r="BC205" s="1">
        <v>100.0</v>
      </c>
      <c r="BD205" s="1" t="s">
        <v>74</v>
      </c>
      <c r="BE205" s="1" t="s">
        <v>74</v>
      </c>
      <c r="BF205" s="1" t="s">
        <v>74</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2212</v>
      </c>
      <c r="BT205" s="1" t="str">
        <f>HYPERLINK("https%3A%2F%2Fwww.webofscience.com%2Fwos%2Fwoscc%2Ffull-record%2FWOS:000425214700022","View Full Record in Web of Science")</f>
        <v>View Full Record in Web of Science</v>
      </c>
    </row>
    <row r="206" ht="12.75" customHeight="1">
      <c r="A206" s="1" t="s">
        <v>72</v>
      </c>
      <c r="B206" s="1" t="s">
        <v>2213</v>
      </c>
      <c r="C206" s="1" t="s">
        <v>74</v>
      </c>
      <c r="D206" s="1" t="s">
        <v>74</v>
      </c>
      <c r="E206" s="1" t="s">
        <v>74</v>
      </c>
      <c r="F206" s="1" t="s">
        <v>2214</v>
      </c>
      <c r="G206" s="1" t="s">
        <v>74</v>
      </c>
      <c r="H206" s="1" t="s">
        <v>74</v>
      </c>
      <c r="I206" s="1" t="s">
        <v>2215</v>
      </c>
      <c r="J206" s="1" t="s">
        <v>2216</v>
      </c>
      <c r="K206" s="1" t="s">
        <v>74</v>
      </c>
      <c r="L206" s="1" t="s">
        <v>74</v>
      </c>
      <c r="M206" s="1" t="s">
        <v>74</v>
      </c>
      <c r="N206" s="1" t="s">
        <v>74</v>
      </c>
      <c r="O206" s="1" t="s">
        <v>74</v>
      </c>
      <c r="P206" s="1" t="s">
        <v>74</v>
      </c>
      <c r="Q206" s="1" t="s">
        <v>74</v>
      </c>
      <c r="R206" s="1" t="s">
        <v>74</v>
      </c>
      <c r="S206" s="1" t="s">
        <v>74</v>
      </c>
      <c r="T206" s="1" t="s">
        <v>74</v>
      </c>
      <c r="U206" s="1" t="s">
        <v>74</v>
      </c>
      <c r="V206" s="1" t="s">
        <v>2217</v>
      </c>
      <c r="W206" s="1" t="s">
        <v>74</v>
      </c>
      <c r="X206" s="1" t="s">
        <v>74</v>
      </c>
      <c r="Y206" s="1" t="s">
        <v>74</v>
      </c>
      <c r="Z206" s="1" t="s">
        <v>74</v>
      </c>
      <c r="AA206" s="1" t="s">
        <v>2218</v>
      </c>
      <c r="AB206" s="1" t="s">
        <v>2219</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2220</v>
      </c>
      <c r="AP206" s="1" t="s">
        <v>2221</v>
      </c>
      <c r="AQ206" s="1" t="s">
        <v>74</v>
      </c>
      <c r="AR206" s="1" t="s">
        <v>74</v>
      </c>
      <c r="AS206" s="1" t="s">
        <v>74</v>
      </c>
      <c r="AT206" s="1" t="s">
        <v>332</v>
      </c>
      <c r="AU206" s="1">
        <v>2016.0</v>
      </c>
      <c r="AV206" s="1">
        <v>233.0</v>
      </c>
      <c r="AW206" s="1" t="s">
        <v>74</v>
      </c>
      <c r="AX206" s="1" t="s">
        <v>74</v>
      </c>
      <c r="AY206" s="1" t="s">
        <v>74</v>
      </c>
      <c r="AZ206" s="1" t="s">
        <v>74</v>
      </c>
      <c r="BA206" s="1" t="s">
        <v>74</v>
      </c>
      <c r="BB206" s="1">
        <v>200.0</v>
      </c>
      <c r="BC206" s="1">
        <v>210.0</v>
      </c>
      <c r="BD206" s="1" t="s">
        <v>74</v>
      </c>
      <c r="BE206" s="1" t="s">
        <v>2222</v>
      </c>
      <c r="BF206" s="2" t="str">
        <f>HYPERLINK("http://dx.doi.org/10.1016/j.jbiotec.2016.06.028","http://dx.doi.org/10.1016/j.jbiotec.2016.06.028")</f>
        <v>http://dx.doi.org/10.1016/j.jbiotec.2016.06.028</v>
      </c>
      <c r="BG206" s="1" t="s">
        <v>74</v>
      </c>
      <c r="BH206" s="1" t="s">
        <v>74</v>
      </c>
      <c r="BI206" s="1" t="s">
        <v>74</v>
      </c>
      <c r="BJ206" s="1" t="s">
        <v>74</v>
      </c>
      <c r="BK206" s="1" t="s">
        <v>74</v>
      </c>
      <c r="BL206" s="1" t="s">
        <v>74</v>
      </c>
      <c r="BM206" s="1" t="s">
        <v>74</v>
      </c>
      <c r="BN206" s="1">
        <v>2.7411902E7</v>
      </c>
      <c r="BO206" s="1" t="s">
        <v>74</v>
      </c>
      <c r="BP206" s="1" t="s">
        <v>74</v>
      </c>
      <c r="BQ206" s="1" t="s">
        <v>74</v>
      </c>
      <c r="BR206" s="1" t="s">
        <v>74</v>
      </c>
      <c r="BS206" s="1" t="s">
        <v>2223</v>
      </c>
      <c r="BT206" s="1" t="str">
        <f>HYPERLINK("https%3A%2F%2Fwww.webofscience.com%2Fwos%2Fwoscc%2Ffull-record%2FWOS:000380819300022","View Full Record in Web of Science")</f>
        <v>View Full Record in Web of Science</v>
      </c>
    </row>
    <row r="207" ht="12.75" customHeight="1">
      <c r="A207" s="1" t="s">
        <v>72</v>
      </c>
      <c r="B207" s="1" t="s">
        <v>2224</v>
      </c>
      <c r="C207" s="1" t="s">
        <v>74</v>
      </c>
      <c r="D207" s="1" t="s">
        <v>74</v>
      </c>
      <c r="E207" s="1" t="s">
        <v>74</v>
      </c>
      <c r="F207" s="1" t="s">
        <v>2225</v>
      </c>
      <c r="G207" s="1" t="s">
        <v>74</v>
      </c>
      <c r="H207" s="1" t="s">
        <v>74</v>
      </c>
      <c r="I207" s="1" t="s">
        <v>2226</v>
      </c>
      <c r="J207" s="1" t="s">
        <v>2227</v>
      </c>
      <c r="K207" s="1" t="s">
        <v>74</v>
      </c>
      <c r="L207" s="1" t="s">
        <v>74</v>
      </c>
      <c r="M207" s="1" t="s">
        <v>74</v>
      </c>
      <c r="N207" s="1" t="s">
        <v>74</v>
      </c>
      <c r="O207" s="1" t="s">
        <v>74</v>
      </c>
      <c r="P207" s="1" t="s">
        <v>74</v>
      </c>
      <c r="Q207" s="1" t="s">
        <v>74</v>
      </c>
      <c r="R207" s="1" t="s">
        <v>74</v>
      </c>
      <c r="S207" s="1" t="s">
        <v>74</v>
      </c>
      <c r="T207" s="1" t="s">
        <v>74</v>
      </c>
      <c r="U207" s="1" t="s">
        <v>74</v>
      </c>
      <c r="V207" s="1" t="s">
        <v>2228</v>
      </c>
      <c r="W207" s="1" t="s">
        <v>74</v>
      </c>
      <c r="X207" s="1" t="s">
        <v>74</v>
      </c>
      <c r="Y207" s="1" t="s">
        <v>74</v>
      </c>
      <c r="Z207" s="1" t="s">
        <v>74</v>
      </c>
      <c r="AA207" s="1" t="s">
        <v>2229</v>
      </c>
      <c r="AB207" s="1" t="s">
        <v>2230</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2231</v>
      </c>
      <c r="AP207" s="1" t="s">
        <v>2232</v>
      </c>
      <c r="AQ207" s="1" t="s">
        <v>74</v>
      </c>
      <c r="AR207" s="1" t="s">
        <v>74</v>
      </c>
      <c r="AS207" s="1" t="s">
        <v>74</v>
      </c>
      <c r="AT207" s="1" t="s">
        <v>74</v>
      </c>
      <c r="AU207" s="1">
        <v>2016.0</v>
      </c>
      <c r="AV207" s="1">
        <v>24.0</v>
      </c>
      <c r="AW207" s="1">
        <v>4.0</v>
      </c>
      <c r="AX207" s="1" t="s">
        <v>74</v>
      </c>
      <c r="AY207" s="1" t="s">
        <v>74</v>
      </c>
      <c r="AZ207" s="1" t="s">
        <v>74</v>
      </c>
      <c r="BA207" s="1" t="s">
        <v>74</v>
      </c>
      <c r="BB207" s="1">
        <v>758.0</v>
      </c>
      <c r="BC207" s="1">
        <v>783.0</v>
      </c>
      <c r="BD207" s="1" t="s">
        <v>74</v>
      </c>
      <c r="BE207" s="1" t="s">
        <v>2233</v>
      </c>
      <c r="BF207" s="2" t="str">
        <f>HYPERLINK("http://dx.doi.org/10.1080/10494820.2014.917111","http://dx.doi.org/10.1080/10494820.2014.917111")</f>
        <v>http://dx.doi.org/10.1080/10494820.2014.917111</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2234</v>
      </c>
      <c r="BT207" s="1" t="str">
        <f>HYPERLINK("https%3A%2F%2Fwww.webofscience.com%2Fwos%2Fwoscc%2Ffull-record%2FWOS:000381425600007","View Full Record in Web of Science")</f>
        <v>View Full Record in Web of Science</v>
      </c>
    </row>
    <row r="208" ht="12.75" customHeight="1">
      <c r="A208" s="1" t="s">
        <v>72</v>
      </c>
      <c r="B208" s="1" t="s">
        <v>2235</v>
      </c>
      <c r="C208" s="1" t="s">
        <v>74</v>
      </c>
      <c r="D208" s="1" t="s">
        <v>74</v>
      </c>
      <c r="E208" s="1" t="s">
        <v>74</v>
      </c>
      <c r="F208" s="1" t="s">
        <v>2236</v>
      </c>
      <c r="G208" s="1" t="s">
        <v>74</v>
      </c>
      <c r="H208" s="1" t="s">
        <v>74</v>
      </c>
      <c r="I208" s="1" t="s">
        <v>2237</v>
      </c>
      <c r="J208" s="1" t="s">
        <v>2238</v>
      </c>
      <c r="K208" s="1" t="s">
        <v>74</v>
      </c>
      <c r="L208" s="1" t="s">
        <v>74</v>
      </c>
      <c r="M208" s="1" t="s">
        <v>74</v>
      </c>
      <c r="N208" s="1" t="s">
        <v>74</v>
      </c>
      <c r="O208" s="1" t="s">
        <v>74</v>
      </c>
      <c r="P208" s="1" t="s">
        <v>74</v>
      </c>
      <c r="Q208" s="1" t="s">
        <v>74</v>
      </c>
      <c r="R208" s="1" t="s">
        <v>74</v>
      </c>
      <c r="S208" s="1" t="s">
        <v>74</v>
      </c>
      <c r="T208" s="1" t="s">
        <v>74</v>
      </c>
      <c r="U208" s="1" t="s">
        <v>74</v>
      </c>
      <c r="V208" s="1" t="s">
        <v>2239</v>
      </c>
      <c r="W208" s="1" t="s">
        <v>74</v>
      </c>
      <c r="X208" s="1" t="s">
        <v>74</v>
      </c>
      <c r="Y208" s="1" t="s">
        <v>74</v>
      </c>
      <c r="Z208" s="1" t="s">
        <v>74</v>
      </c>
      <c r="AA208" s="1" t="s">
        <v>2240</v>
      </c>
      <c r="AB208" s="1" t="s">
        <v>2241</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2242</v>
      </c>
      <c r="AP208" s="1" t="s">
        <v>2243</v>
      </c>
      <c r="AQ208" s="1" t="s">
        <v>74</v>
      </c>
      <c r="AR208" s="1" t="s">
        <v>74</v>
      </c>
      <c r="AS208" s="1" t="s">
        <v>74</v>
      </c>
      <c r="AT208" s="1" t="s">
        <v>2244</v>
      </c>
      <c r="AU208" s="1">
        <v>2015.0</v>
      </c>
      <c r="AV208" s="1">
        <v>7.0</v>
      </c>
      <c r="AW208" s="1">
        <v>36.0</v>
      </c>
      <c r="AX208" s="1" t="s">
        <v>74</v>
      </c>
      <c r="AY208" s="1" t="s">
        <v>74</v>
      </c>
      <c r="AZ208" s="1" t="s">
        <v>74</v>
      </c>
      <c r="BA208" s="1" t="s">
        <v>74</v>
      </c>
      <c r="BB208" s="1">
        <v>19865.0</v>
      </c>
      <c r="BC208" s="1">
        <v>19869.0</v>
      </c>
      <c r="BD208" s="1" t="s">
        <v>74</v>
      </c>
      <c r="BE208" s="1" t="s">
        <v>2245</v>
      </c>
      <c r="BF208" s="2" t="str">
        <f>HYPERLINK("http://dx.doi.org/10.1021/acsami.5b05722","http://dx.doi.org/10.1021/acsami.5b05722")</f>
        <v>http://dx.doi.org/10.1021/acsami.5b05722</v>
      </c>
      <c r="BG208" s="1" t="s">
        <v>74</v>
      </c>
      <c r="BH208" s="1" t="s">
        <v>74</v>
      </c>
      <c r="BI208" s="1" t="s">
        <v>74</v>
      </c>
      <c r="BJ208" s="1" t="s">
        <v>74</v>
      </c>
      <c r="BK208" s="1" t="s">
        <v>74</v>
      </c>
      <c r="BL208" s="1" t="s">
        <v>74</v>
      </c>
      <c r="BM208" s="1" t="s">
        <v>74</v>
      </c>
      <c r="BN208" s="1">
        <v>2.6327428E7</v>
      </c>
      <c r="BO208" s="1" t="s">
        <v>74</v>
      </c>
      <c r="BP208" s="1" t="s">
        <v>74</v>
      </c>
      <c r="BQ208" s="1" t="s">
        <v>74</v>
      </c>
      <c r="BR208" s="1" t="s">
        <v>74</v>
      </c>
      <c r="BS208" s="1" t="s">
        <v>2246</v>
      </c>
      <c r="BT208" s="1" t="str">
        <f>HYPERLINK("https%3A%2F%2Fwww.webofscience.com%2Fwos%2Fwoscc%2Ffull-record%2FWOS:000361501700001","View Full Record in Web of Science")</f>
        <v>View Full Record in Web of Science</v>
      </c>
    </row>
    <row r="209" ht="12.75" customHeight="1">
      <c r="A209" s="1" t="s">
        <v>72</v>
      </c>
      <c r="B209" s="1" t="s">
        <v>2247</v>
      </c>
      <c r="C209" s="1" t="s">
        <v>74</v>
      </c>
      <c r="D209" s="1" t="s">
        <v>74</v>
      </c>
      <c r="E209" s="1" t="s">
        <v>74</v>
      </c>
      <c r="F209" s="1" t="s">
        <v>2248</v>
      </c>
      <c r="G209" s="1" t="s">
        <v>74</v>
      </c>
      <c r="H209" s="1" t="s">
        <v>74</v>
      </c>
      <c r="I209" s="1" t="s">
        <v>2249</v>
      </c>
      <c r="J209" s="1" t="s">
        <v>2250</v>
      </c>
      <c r="K209" s="1" t="s">
        <v>74</v>
      </c>
      <c r="L209" s="1" t="s">
        <v>74</v>
      </c>
      <c r="M209" s="1" t="s">
        <v>74</v>
      </c>
      <c r="N209" s="1" t="s">
        <v>74</v>
      </c>
      <c r="O209" s="1" t="s">
        <v>74</v>
      </c>
      <c r="P209" s="1" t="s">
        <v>74</v>
      </c>
      <c r="Q209" s="1" t="s">
        <v>74</v>
      </c>
      <c r="R209" s="1" t="s">
        <v>74</v>
      </c>
      <c r="S209" s="1" t="s">
        <v>74</v>
      </c>
      <c r="T209" s="1" t="s">
        <v>74</v>
      </c>
      <c r="U209" s="1" t="s">
        <v>74</v>
      </c>
      <c r="V209" s="1" t="s">
        <v>2251</v>
      </c>
      <c r="W209" s="1" t="s">
        <v>74</v>
      </c>
      <c r="X209" s="1" t="s">
        <v>74</v>
      </c>
      <c r="Y209" s="1" t="s">
        <v>74</v>
      </c>
      <c r="Z209" s="1" t="s">
        <v>74</v>
      </c>
      <c r="AA209" s="1" t="s">
        <v>2252</v>
      </c>
      <c r="AB209" s="1" t="s">
        <v>2253</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2254</v>
      </c>
      <c r="AP209" s="1" t="s">
        <v>74</v>
      </c>
      <c r="AQ209" s="1" t="s">
        <v>74</v>
      </c>
      <c r="AR209" s="1" t="s">
        <v>74</v>
      </c>
      <c r="AS209" s="1" t="s">
        <v>74</v>
      </c>
      <c r="AT209" s="1" t="s">
        <v>1174</v>
      </c>
      <c r="AU209" s="1">
        <v>2011.0</v>
      </c>
      <c r="AV209" s="1">
        <v>14.0</v>
      </c>
      <c r="AW209" s="1">
        <v>5.0</v>
      </c>
      <c r="AX209" s="1" t="s">
        <v>74</v>
      </c>
      <c r="AY209" s="1" t="s">
        <v>74</v>
      </c>
      <c r="AZ209" s="1" t="s">
        <v>74</v>
      </c>
      <c r="BA209" s="1" t="s">
        <v>74</v>
      </c>
      <c r="BB209" s="1" t="s">
        <v>74</v>
      </c>
      <c r="BC209" s="1" t="s">
        <v>74</v>
      </c>
      <c r="BD209" s="1">
        <v>2.0</v>
      </c>
      <c r="BE209" s="1" t="s">
        <v>2255</v>
      </c>
      <c r="BF209" s="2" t="str">
        <f>HYPERLINK("http://dx.doi.org/10.2225/vol14-issue5-fulltext-2","http://dx.doi.org/10.2225/vol14-issue5-fulltext-2")</f>
        <v>http://dx.doi.org/10.2225/vol14-issue5-fulltext-2</v>
      </c>
      <c r="BG209" s="1" t="s">
        <v>74</v>
      </c>
      <c r="BH209" s="1" t="s">
        <v>74</v>
      </c>
      <c r="BI209" s="1" t="s">
        <v>74</v>
      </c>
      <c r="BJ209" s="1" t="s">
        <v>74</v>
      </c>
      <c r="BK209" s="1" t="s">
        <v>74</v>
      </c>
      <c r="BL209" s="1" t="s">
        <v>74</v>
      </c>
      <c r="BM209" s="1" t="s">
        <v>74</v>
      </c>
      <c r="BN209" s="1" t="s">
        <v>74</v>
      </c>
      <c r="BO209" s="1" t="s">
        <v>74</v>
      </c>
      <c r="BP209" s="1" t="s">
        <v>74</v>
      </c>
      <c r="BQ209" s="1" t="s">
        <v>74</v>
      </c>
      <c r="BR209" s="1" t="s">
        <v>74</v>
      </c>
      <c r="BS209" s="1" t="s">
        <v>2256</v>
      </c>
      <c r="BT209" s="1" t="str">
        <f>HYPERLINK("https%3A%2F%2Fwww.webofscience.com%2Fwos%2Fwoscc%2Ffull-record%2FWOS:000300562500002","View Full Record in Web of Science")</f>
        <v>View Full Record in Web of Science</v>
      </c>
    </row>
    <row r="210" ht="12.75" customHeight="1">
      <c r="A210" s="1" t="s">
        <v>72</v>
      </c>
      <c r="B210" s="1" t="s">
        <v>2257</v>
      </c>
      <c r="C210" s="1" t="s">
        <v>74</v>
      </c>
      <c r="D210" s="1" t="s">
        <v>74</v>
      </c>
      <c r="E210" s="1" t="s">
        <v>74</v>
      </c>
      <c r="F210" s="1" t="s">
        <v>2258</v>
      </c>
      <c r="G210" s="1" t="s">
        <v>74</v>
      </c>
      <c r="H210" s="1" t="s">
        <v>74</v>
      </c>
      <c r="I210" s="1" t="s">
        <v>2259</v>
      </c>
      <c r="J210" s="1" t="s">
        <v>2260</v>
      </c>
      <c r="K210" s="1" t="s">
        <v>74</v>
      </c>
      <c r="L210" s="1" t="s">
        <v>74</v>
      </c>
      <c r="M210" s="1" t="s">
        <v>74</v>
      </c>
      <c r="N210" s="1" t="s">
        <v>74</v>
      </c>
      <c r="O210" s="1" t="s">
        <v>74</v>
      </c>
      <c r="P210" s="1" t="s">
        <v>74</v>
      </c>
      <c r="Q210" s="1" t="s">
        <v>74</v>
      </c>
      <c r="R210" s="1" t="s">
        <v>74</v>
      </c>
      <c r="S210" s="1" t="s">
        <v>74</v>
      </c>
      <c r="T210" s="1" t="s">
        <v>74</v>
      </c>
      <c r="U210" s="1" t="s">
        <v>74</v>
      </c>
      <c r="V210" s="1" t="s">
        <v>2261</v>
      </c>
      <c r="W210" s="1" t="s">
        <v>74</v>
      </c>
      <c r="X210" s="1" t="s">
        <v>74</v>
      </c>
      <c r="Y210" s="1" t="s">
        <v>74</v>
      </c>
      <c r="Z210" s="1" t="s">
        <v>74</v>
      </c>
      <c r="AA210" s="1" t="s">
        <v>2262</v>
      </c>
      <c r="AB210" s="1" t="s">
        <v>2263</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2264</v>
      </c>
      <c r="AP210" s="1" t="s">
        <v>2265</v>
      </c>
      <c r="AQ210" s="1" t="s">
        <v>74</v>
      </c>
      <c r="AR210" s="1" t="s">
        <v>74</v>
      </c>
      <c r="AS210" s="1" t="s">
        <v>74</v>
      </c>
      <c r="AT210" s="1" t="s">
        <v>74</v>
      </c>
      <c r="AU210" s="1">
        <v>2011.0</v>
      </c>
      <c r="AV210" s="1">
        <v>20.0</v>
      </c>
      <c r="AW210" s="1" t="s">
        <v>2266</v>
      </c>
      <c r="AX210" s="1" t="s">
        <v>74</v>
      </c>
      <c r="AY210" s="1" t="s">
        <v>74</v>
      </c>
      <c r="AZ210" s="1" t="s">
        <v>74</v>
      </c>
      <c r="BA210" s="1" t="s">
        <v>74</v>
      </c>
      <c r="BB210" s="1">
        <v>1277.0</v>
      </c>
      <c r="BC210" s="1">
        <v>1282.0</v>
      </c>
      <c r="BD210" s="1" t="s">
        <v>74</v>
      </c>
      <c r="BE210" s="1" t="s">
        <v>74</v>
      </c>
      <c r="BF210" s="1" t="s">
        <v>74</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2267</v>
      </c>
      <c r="BT210" s="1" t="str">
        <f>HYPERLINK("https%3A%2F%2Fwww.webofscience.com%2Fwos%2Fwoscc%2Ffull-record%2FWOS:000291083400007","View Full Record in Web of Science")</f>
        <v>View Full Record in Web of Science</v>
      </c>
    </row>
    <row r="211" ht="12.75" customHeight="1">
      <c r="A211" s="1" t="s">
        <v>72</v>
      </c>
      <c r="B211" s="1" t="s">
        <v>2268</v>
      </c>
      <c r="C211" s="1" t="s">
        <v>74</v>
      </c>
      <c r="D211" s="1" t="s">
        <v>74</v>
      </c>
      <c r="E211" s="1" t="s">
        <v>74</v>
      </c>
      <c r="F211" s="1" t="s">
        <v>2269</v>
      </c>
      <c r="G211" s="1" t="s">
        <v>74</v>
      </c>
      <c r="H211" s="1" t="s">
        <v>74</v>
      </c>
      <c r="I211" s="1" t="s">
        <v>2270</v>
      </c>
      <c r="J211" s="1" t="s">
        <v>2271</v>
      </c>
      <c r="K211" s="1" t="s">
        <v>74</v>
      </c>
      <c r="L211" s="1" t="s">
        <v>74</v>
      </c>
      <c r="M211" s="1" t="s">
        <v>74</v>
      </c>
      <c r="N211" s="1" t="s">
        <v>74</v>
      </c>
      <c r="O211" s="1" t="s">
        <v>74</v>
      </c>
      <c r="P211" s="1" t="s">
        <v>74</v>
      </c>
      <c r="Q211" s="1" t="s">
        <v>74</v>
      </c>
      <c r="R211" s="1" t="s">
        <v>74</v>
      </c>
      <c r="S211" s="1" t="s">
        <v>74</v>
      </c>
      <c r="T211" s="1" t="s">
        <v>74</v>
      </c>
      <c r="U211" s="1" t="s">
        <v>74</v>
      </c>
      <c r="V211" s="1" t="s">
        <v>2272</v>
      </c>
      <c r="W211" s="1" t="s">
        <v>74</v>
      </c>
      <c r="X211" s="1" t="s">
        <v>74</v>
      </c>
      <c r="Y211" s="1" t="s">
        <v>74</v>
      </c>
      <c r="Z211" s="1" t="s">
        <v>74</v>
      </c>
      <c r="AA211" s="1" t="s">
        <v>74</v>
      </c>
      <c r="AB211" s="1" t="s">
        <v>74</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2273</v>
      </c>
      <c r="AP211" s="1" t="s">
        <v>74</v>
      </c>
      <c r="AQ211" s="1" t="s">
        <v>74</v>
      </c>
      <c r="AR211" s="1" t="s">
        <v>74</v>
      </c>
      <c r="AS211" s="1" t="s">
        <v>74</v>
      </c>
      <c r="AT211" s="1" t="s">
        <v>496</v>
      </c>
      <c r="AU211" s="1">
        <v>2011.0</v>
      </c>
      <c r="AV211" s="1">
        <v>31.0</v>
      </c>
      <c r="AW211" s="1">
        <v>1.0</v>
      </c>
      <c r="AX211" s="1" t="s">
        <v>74</v>
      </c>
      <c r="AY211" s="1" t="s">
        <v>74</v>
      </c>
      <c r="AZ211" s="1" t="s">
        <v>74</v>
      </c>
      <c r="BA211" s="1" t="s">
        <v>74</v>
      </c>
      <c r="BB211" s="1">
        <v>107.0</v>
      </c>
      <c r="BC211" s="1">
        <v>114.0</v>
      </c>
      <c r="BD211" s="1" t="s">
        <v>74</v>
      </c>
      <c r="BE211" s="1" t="s">
        <v>2274</v>
      </c>
      <c r="BF211" s="2" t="str">
        <f>HYPERLINK("http://dx.doi.org/10.1002/pd.2608","http://dx.doi.org/10.1002/pd.2608")</f>
        <v>http://dx.doi.org/10.1002/pd.2608</v>
      </c>
      <c r="BG211" s="1" t="s">
        <v>74</v>
      </c>
      <c r="BH211" s="1" t="s">
        <v>74</v>
      </c>
      <c r="BI211" s="1" t="s">
        <v>74</v>
      </c>
      <c r="BJ211" s="1" t="s">
        <v>74</v>
      </c>
      <c r="BK211" s="1" t="s">
        <v>74</v>
      </c>
      <c r="BL211" s="1" t="s">
        <v>74</v>
      </c>
      <c r="BM211" s="1" t="s">
        <v>74</v>
      </c>
      <c r="BN211" s="1">
        <v>2.0734349E7</v>
      </c>
      <c r="BO211" s="1" t="s">
        <v>74</v>
      </c>
      <c r="BP211" s="1" t="s">
        <v>74</v>
      </c>
      <c r="BQ211" s="1" t="s">
        <v>74</v>
      </c>
      <c r="BR211" s="1" t="s">
        <v>74</v>
      </c>
      <c r="BS211" s="1" t="s">
        <v>2275</v>
      </c>
      <c r="BT211" s="1" t="str">
        <f>HYPERLINK("https%3A%2F%2Fwww.webofscience.com%2Fwos%2Fwoscc%2Ffull-record%2FWOS:000286074900017","View Full Record in Web of Science")</f>
        <v>View Full Record in Web of Science</v>
      </c>
    </row>
    <row r="212" ht="12.75" customHeight="1">
      <c r="A212" s="1" t="s">
        <v>72</v>
      </c>
      <c r="B212" s="1" t="s">
        <v>2276</v>
      </c>
      <c r="C212" s="1" t="s">
        <v>74</v>
      </c>
      <c r="D212" s="1" t="s">
        <v>74</v>
      </c>
      <c r="E212" s="1" t="s">
        <v>74</v>
      </c>
      <c r="F212" s="1" t="s">
        <v>2277</v>
      </c>
      <c r="G212" s="1" t="s">
        <v>74</v>
      </c>
      <c r="H212" s="1" t="s">
        <v>74</v>
      </c>
      <c r="I212" s="1" t="s">
        <v>2278</v>
      </c>
      <c r="J212" s="1" t="s">
        <v>2279</v>
      </c>
      <c r="K212" s="1" t="s">
        <v>74</v>
      </c>
      <c r="L212" s="1" t="s">
        <v>74</v>
      </c>
      <c r="M212" s="1" t="s">
        <v>74</v>
      </c>
      <c r="N212" s="1" t="s">
        <v>74</v>
      </c>
      <c r="O212" s="1" t="s">
        <v>74</v>
      </c>
      <c r="P212" s="1" t="s">
        <v>74</v>
      </c>
      <c r="Q212" s="1" t="s">
        <v>74</v>
      </c>
      <c r="R212" s="1" t="s">
        <v>74</v>
      </c>
      <c r="S212" s="1" t="s">
        <v>74</v>
      </c>
      <c r="T212" s="1" t="s">
        <v>74</v>
      </c>
      <c r="U212" s="1" t="s">
        <v>74</v>
      </c>
      <c r="V212" s="1" t="s">
        <v>2280</v>
      </c>
      <c r="W212" s="1" t="s">
        <v>74</v>
      </c>
      <c r="X212" s="1" t="s">
        <v>74</v>
      </c>
      <c r="Y212" s="1" t="s">
        <v>74</v>
      </c>
      <c r="Z212" s="1" t="s">
        <v>74</v>
      </c>
      <c r="AA212" s="1" t="s">
        <v>2281</v>
      </c>
      <c r="AB212" s="1" t="s">
        <v>2282</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2283</v>
      </c>
      <c r="AP212" s="1" t="s">
        <v>2284</v>
      </c>
      <c r="AQ212" s="1" t="s">
        <v>74</v>
      </c>
      <c r="AR212" s="1" t="s">
        <v>74</v>
      </c>
      <c r="AS212" s="1" t="s">
        <v>74</v>
      </c>
      <c r="AT212" s="1" t="s">
        <v>2285</v>
      </c>
      <c r="AU212" s="1">
        <v>2008.0</v>
      </c>
      <c r="AV212" s="1">
        <v>107.0</v>
      </c>
      <c r="AW212" s="1">
        <v>3.0</v>
      </c>
      <c r="AX212" s="1" t="s">
        <v>74</v>
      </c>
      <c r="AY212" s="1" t="s">
        <v>74</v>
      </c>
      <c r="AZ212" s="1" t="s">
        <v>74</v>
      </c>
      <c r="BA212" s="1" t="s">
        <v>74</v>
      </c>
      <c r="BB212" s="1">
        <v>1114.0</v>
      </c>
      <c r="BC212" s="1">
        <v>1119.0</v>
      </c>
      <c r="BD212" s="1" t="s">
        <v>74</v>
      </c>
      <c r="BE212" s="1" t="s">
        <v>2286</v>
      </c>
      <c r="BF212" s="2" t="str">
        <f>HYPERLINK("http://dx.doi.org/10.1016/j.foodchem.2007.09.035","http://dx.doi.org/10.1016/j.foodchem.2007.09.035")</f>
        <v>http://dx.doi.org/10.1016/j.foodchem.2007.09.035</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2287</v>
      </c>
      <c r="BT212" s="1" t="str">
        <f>HYPERLINK("https%3A%2F%2Fwww.webofscience.com%2Fwos%2Fwoscc%2Ffull-record%2FWOS:000252004100019","View Full Record in Web of Science")</f>
        <v>View Full Record in Web of Science</v>
      </c>
    </row>
    <row r="213" ht="12.75" customHeight="1">
      <c r="A213" s="1" t="s">
        <v>72</v>
      </c>
      <c r="B213" s="1" t="s">
        <v>815</v>
      </c>
      <c r="C213" s="1" t="s">
        <v>74</v>
      </c>
      <c r="D213" s="1" t="s">
        <v>74</v>
      </c>
      <c r="E213" s="1" t="s">
        <v>74</v>
      </c>
      <c r="F213" s="1" t="s">
        <v>2288</v>
      </c>
      <c r="G213" s="1" t="s">
        <v>74</v>
      </c>
      <c r="H213" s="1" t="s">
        <v>74</v>
      </c>
      <c r="I213" s="1" t="s">
        <v>2289</v>
      </c>
      <c r="J213" s="1" t="s">
        <v>2279</v>
      </c>
      <c r="K213" s="1" t="s">
        <v>74</v>
      </c>
      <c r="L213" s="1" t="s">
        <v>74</v>
      </c>
      <c r="M213" s="1" t="s">
        <v>74</v>
      </c>
      <c r="N213" s="1" t="s">
        <v>74</v>
      </c>
      <c r="O213" s="1" t="s">
        <v>74</v>
      </c>
      <c r="P213" s="1" t="s">
        <v>74</v>
      </c>
      <c r="Q213" s="1" t="s">
        <v>74</v>
      </c>
      <c r="R213" s="1" t="s">
        <v>74</v>
      </c>
      <c r="S213" s="1" t="s">
        <v>74</v>
      </c>
      <c r="T213" s="1" t="s">
        <v>74</v>
      </c>
      <c r="U213" s="1" t="s">
        <v>74</v>
      </c>
      <c r="V213" s="1" t="s">
        <v>2290</v>
      </c>
      <c r="W213" s="1" t="s">
        <v>74</v>
      </c>
      <c r="X213" s="1" t="s">
        <v>74</v>
      </c>
      <c r="Y213" s="1" t="s">
        <v>74</v>
      </c>
      <c r="Z213" s="1" t="s">
        <v>74</v>
      </c>
      <c r="AA213" s="1" t="s">
        <v>820</v>
      </c>
      <c r="AB213" s="1" t="s">
        <v>821</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2283</v>
      </c>
      <c r="AP213" s="1" t="s">
        <v>74</v>
      </c>
      <c r="AQ213" s="1" t="s">
        <v>74</v>
      </c>
      <c r="AR213" s="1" t="s">
        <v>74</v>
      </c>
      <c r="AS213" s="1" t="s">
        <v>74</v>
      </c>
      <c r="AT213" s="1" t="s">
        <v>74</v>
      </c>
      <c r="AU213" s="1">
        <v>2007.0</v>
      </c>
      <c r="AV213" s="1">
        <v>104.0</v>
      </c>
      <c r="AW213" s="1">
        <v>4.0</v>
      </c>
      <c r="AX213" s="1" t="s">
        <v>74</v>
      </c>
      <c r="AY213" s="1" t="s">
        <v>74</v>
      </c>
      <c r="AZ213" s="1" t="s">
        <v>74</v>
      </c>
      <c r="BA213" s="1" t="s">
        <v>74</v>
      </c>
      <c r="BB213" s="1">
        <v>1430.0</v>
      </c>
      <c r="BC213" s="1">
        <v>1435.0</v>
      </c>
      <c r="BD213" s="1" t="s">
        <v>74</v>
      </c>
      <c r="BE213" s="1" t="s">
        <v>2291</v>
      </c>
      <c r="BF213" s="2" t="str">
        <f>HYPERLINK("http://dx.doi.org/10.1016/j.foodchem.2007.02.006","http://dx.doi.org/10.1016/j.foodchem.2007.02.006")</f>
        <v>http://dx.doi.org/10.1016/j.foodchem.2007.02.006</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2292</v>
      </c>
      <c r="BT213" s="1" t="str">
        <f>HYPERLINK("https%3A%2F%2Fwww.webofscience.com%2Fwos%2Fwoscc%2Ffull-record%2FWOS:000247631900017","View Full Record in Web of Science")</f>
        <v>View Full Record in Web of Science</v>
      </c>
    </row>
    <row r="214" ht="12.75" customHeight="1">
      <c r="A214" s="1" t="s">
        <v>72</v>
      </c>
      <c r="B214" s="1" t="s">
        <v>2293</v>
      </c>
      <c r="C214" s="1" t="s">
        <v>74</v>
      </c>
      <c r="D214" s="1" t="s">
        <v>74</v>
      </c>
      <c r="E214" s="1" t="s">
        <v>74</v>
      </c>
      <c r="F214" s="1" t="s">
        <v>2293</v>
      </c>
      <c r="G214" s="1" t="s">
        <v>74</v>
      </c>
      <c r="H214" s="1" t="s">
        <v>74</v>
      </c>
      <c r="I214" s="1" t="s">
        <v>2294</v>
      </c>
      <c r="J214" s="1" t="s">
        <v>2295</v>
      </c>
      <c r="K214" s="1" t="s">
        <v>74</v>
      </c>
      <c r="L214" s="1" t="s">
        <v>74</v>
      </c>
      <c r="M214" s="1" t="s">
        <v>74</v>
      </c>
      <c r="N214" s="1" t="s">
        <v>74</v>
      </c>
      <c r="O214" s="1" t="s">
        <v>74</v>
      </c>
      <c r="P214" s="1" t="s">
        <v>74</v>
      </c>
      <c r="Q214" s="1" t="s">
        <v>74</v>
      </c>
      <c r="R214" s="1" t="s">
        <v>74</v>
      </c>
      <c r="S214" s="1" t="s">
        <v>74</v>
      </c>
      <c r="T214" s="1" t="s">
        <v>74</v>
      </c>
      <c r="U214" s="1" t="s">
        <v>74</v>
      </c>
      <c r="V214" s="1" t="s">
        <v>2296</v>
      </c>
      <c r="W214" s="1" t="s">
        <v>74</v>
      </c>
      <c r="X214" s="1" t="s">
        <v>74</v>
      </c>
      <c r="Y214" s="1" t="s">
        <v>74</v>
      </c>
      <c r="Z214" s="1" t="s">
        <v>74</v>
      </c>
      <c r="AA214" s="1" t="s">
        <v>74</v>
      </c>
      <c r="AB214" s="1" t="s">
        <v>74</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2297</v>
      </c>
      <c r="AP214" s="1" t="s">
        <v>74</v>
      </c>
      <c r="AQ214" s="1" t="s">
        <v>74</v>
      </c>
      <c r="AR214" s="1" t="s">
        <v>74</v>
      </c>
      <c r="AS214" s="1" t="s">
        <v>74</v>
      </c>
      <c r="AT214" s="1" t="s">
        <v>2298</v>
      </c>
      <c r="AU214" s="1">
        <v>2003.0</v>
      </c>
      <c r="AV214" s="1">
        <v>36.0</v>
      </c>
      <c r="AW214" s="1">
        <v>44.0</v>
      </c>
      <c r="AX214" s="1" t="s">
        <v>74</v>
      </c>
      <c r="AY214" s="1" t="s">
        <v>74</v>
      </c>
      <c r="AZ214" s="1" t="s">
        <v>74</v>
      </c>
      <c r="BA214" s="1" t="s">
        <v>74</v>
      </c>
      <c r="BB214" s="1">
        <v>11299.0</v>
      </c>
      <c r="BC214" s="1">
        <v>11319.0</v>
      </c>
      <c r="BD214" s="1" t="s">
        <v>2299</v>
      </c>
      <c r="BE214" s="1" t="s">
        <v>2300</v>
      </c>
      <c r="BF214" s="2" t="str">
        <f>HYPERLINK("http://dx.doi.org/10.1088/0305-4470/36/44/009","http://dx.doi.org/10.1088/0305-4470/36/44/009")</f>
        <v>http://dx.doi.org/10.1088/0305-4470/36/44/009</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2301</v>
      </c>
      <c r="BT214" s="1" t="str">
        <f>HYPERLINK("https%3A%2F%2Fwww.webofscience.com%2Fwos%2Fwoscc%2Ffull-record%2FWOS:000186916000010","View Full Record in Web of Science")</f>
        <v>View Full Record in Web of Science</v>
      </c>
    </row>
    <row r="215" ht="12.75" customHeight="1">
      <c r="A215" s="1" t="s">
        <v>72</v>
      </c>
      <c r="B215" s="1" t="s">
        <v>2293</v>
      </c>
      <c r="C215" s="1" t="s">
        <v>74</v>
      </c>
      <c r="D215" s="1" t="s">
        <v>74</v>
      </c>
      <c r="E215" s="1" t="s">
        <v>74</v>
      </c>
      <c r="F215" s="1" t="s">
        <v>2293</v>
      </c>
      <c r="G215" s="1" t="s">
        <v>74</v>
      </c>
      <c r="H215" s="1" t="s">
        <v>74</v>
      </c>
      <c r="I215" s="1" t="s">
        <v>2302</v>
      </c>
      <c r="J215" s="1" t="s">
        <v>1200</v>
      </c>
      <c r="K215" s="1" t="s">
        <v>74</v>
      </c>
      <c r="L215" s="1" t="s">
        <v>74</v>
      </c>
      <c r="M215" s="1" t="s">
        <v>74</v>
      </c>
      <c r="N215" s="1" t="s">
        <v>74</v>
      </c>
      <c r="O215" s="1" t="s">
        <v>74</v>
      </c>
      <c r="P215" s="1" t="s">
        <v>74</v>
      </c>
      <c r="Q215" s="1" t="s">
        <v>74</v>
      </c>
      <c r="R215" s="1" t="s">
        <v>74</v>
      </c>
      <c r="S215" s="1" t="s">
        <v>74</v>
      </c>
      <c r="T215" s="1" t="s">
        <v>74</v>
      </c>
      <c r="U215" s="1" t="s">
        <v>74</v>
      </c>
      <c r="V215" s="1" t="s">
        <v>2303</v>
      </c>
      <c r="W215" s="1" t="s">
        <v>74</v>
      </c>
      <c r="X215" s="1" t="s">
        <v>74</v>
      </c>
      <c r="Y215" s="1" t="s">
        <v>74</v>
      </c>
      <c r="Z215" s="1" t="s">
        <v>74</v>
      </c>
      <c r="AA215" s="1" t="s">
        <v>74</v>
      </c>
      <c r="AB215" s="1" t="s">
        <v>74</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1202</v>
      </c>
      <c r="AP215" s="1" t="s">
        <v>1203</v>
      </c>
      <c r="AQ215" s="1" t="s">
        <v>74</v>
      </c>
      <c r="AR215" s="1" t="s">
        <v>74</v>
      </c>
      <c r="AS215" s="1" t="s">
        <v>74</v>
      </c>
      <c r="AT215" s="1" t="s">
        <v>2304</v>
      </c>
      <c r="AU215" s="1">
        <v>2001.0</v>
      </c>
      <c r="AV215" s="1">
        <v>616.0</v>
      </c>
      <c r="AW215" s="1">
        <v>3.0</v>
      </c>
      <c r="AX215" s="1" t="s">
        <v>74</v>
      </c>
      <c r="AY215" s="1" t="s">
        <v>74</v>
      </c>
      <c r="AZ215" s="1" t="s">
        <v>74</v>
      </c>
      <c r="BA215" s="1" t="s">
        <v>74</v>
      </c>
      <c r="BB215" s="1">
        <v>403.0</v>
      </c>
      <c r="BC215" s="1">
        <v>418.0</v>
      </c>
      <c r="BD215" s="1" t="s">
        <v>74</v>
      </c>
      <c r="BE215" s="1" t="s">
        <v>2305</v>
      </c>
      <c r="BF215" s="2" t="str">
        <f>HYPERLINK("http://dx.doi.org/10.1016/S0550-3213(01)00389-3","http://dx.doi.org/10.1016/S0550-3213(01)00389-3")</f>
        <v>http://dx.doi.org/10.1016/S0550-3213(01)00389-3</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2306</v>
      </c>
      <c r="BT215" s="1" t="str">
        <f>HYPERLINK("https%3A%2F%2Fwww.webofscience.com%2Fwos%2Fwoscc%2Ffull-record%2FWOS:000172179800001","View Full Record in Web of Science")</f>
        <v>View Full Record in Web of Science</v>
      </c>
    </row>
    <row r="216" ht="12.75" customHeight="1">
      <c r="A216" s="1" t="s">
        <v>72</v>
      </c>
      <c r="B216" s="1" t="s">
        <v>2307</v>
      </c>
      <c r="C216" s="1" t="s">
        <v>74</v>
      </c>
      <c r="D216" s="1" t="s">
        <v>74</v>
      </c>
      <c r="E216" s="1" t="s">
        <v>74</v>
      </c>
      <c r="F216" s="1" t="s">
        <v>2307</v>
      </c>
      <c r="G216" s="1" t="s">
        <v>74</v>
      </c>
      <c r="H216" s="1" t="s">
        <v>74</v>
      </c>
      <c r="I216" s="1" t="s">
        <v>2308</v>
      </c>
      <c r="J216" s="1" t="s">
        <v>453</v>
      </c>
      <c r="K216" s="1" t="s">
        <v>74</v>
      </c>
      <c r="L216" s="1" t="s">
        <v>74</v>
      </c>
      <c r="M216" s="1" t="s">
        <v>74</v>
      </c>
      <c r="N216" s="1" t="s">
        <v>74</v>
      </c>
      <c r="O216" s="1" t="s">
        <v>74</v>
      </c>
      <c r="P216" s="1" t="s">
        <v>74</v>
      </c>
      <c r="Q216" s="1" t="s">
        <v>74</v>
      </c>
      <c r="R216" s="1" t="s">
        <v>74</v>
      </c>
      <c r="S216" s="1" t="s">
        <v>74</v>
      </c>
      <c r="T216" s="1" t="s">
        <v>74</v>
      </c>
      <c r="U216" s="1" t="s">
        <v>74</v>
      </c>
      <c r="V216" s="1" t="s">
        <v>2309</v>
      </c>
      <c r="W216" s="1" t="s">
        <v>74</v>
      </c>
      <c r="X216" s="1" t="s">
        <v>74</v>
      </c>
      <c r="Y216" s="1" t="s">
        <v>74</v>
      </c>
      <c r="Z216" s="1" t="s">
        <v>74</v>
      </c>
      <c r="AA216" s="1" t="s">
        <v>2310</v>
      </c>
      <c r="AB216" s="1" t="s">
        <v>2311</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460</v>
      </c>
      <c r="AP216" s="1" t="s">
        <v>74</v>
      </c>
      <c r="AQ216" s="1" t="s">
        <v>74</v>
      </c>
      <c r="AR216" s="1" t="s">
        <v>74</v>
      </c>
      <c r="AS216" s="1" t="s">
        <v>74</v>
      </c>
      <c r="AT216" s="1" t="s">
        <v>461</v>
      </c>
      <c r="AU216" s="1">
        <v>1998.0</v>
      </c>
      <c r="AV216" s="1">
        <v>43.0</v>
      </c>
      <c r="AW216" s="1">
        <v>3.0</v>
      </c>
      <c r="AX216" s="1" t="s">
        <v>74</v>
      </c>
      <c r="AY216" s="1" t="s">
        <v>74</v>
      </c>
      <c r="AZ216" s="1" t="s">
        <v>74</v>
      </c>
      <c r="BA216" s="1" t="s">
        <v>74</v>
      </c>
      <c r="BB216" s="1">
        <v>329.0</v>
      </c>
      <c r="BC216" s="1">
        <v>337.0</v>
      </c>
      <c r="BD216" s="1" t="s">
        <v>74</v>
      </c>
      <c r="BE216" s="1" t="s">
        <v>74</v>
      </c>
      <c r="BF216" s="1" t="s">
        <v>74</v>
      </c>
      <c r="BG216" s="1" t="s">
        <v>74</v>
      </c>
      <c r="BH216" s="1" t="s">
        <v>74</v>
      </c>
      <c r="BI216" s="1" t="s">
        <v>74</v>
      </c>
      <c r="BJ216" s="1" t="s">
        <v>74</v>
      </c>
      <c r="BK216" s="1" t="s">
        <v>74</v>
      </c>
      <c r="BL216" s="1" t="s">
        <v>74</v>
      </c>
      <c r="BM216" s="1" t="s">
        <v>74</v>
      </c>
      <c r="BN216" s="1" t="s">
        <v>74</v>
      </c>
      <c r="BO216" s="1" t="s">
        <v>74</v>
      </c>
      <c r="BP216" s="1" t="s">
        <v>74</v>
      </c>
      <c r="BQ216" s="1" t="s">
        <v>74</v>
      </c>
      <c r="BR216" s="1" t="s">
        <v>74</v>
      </c>
      <c r="BS216" s="1" t="s">
        <v>2312</v>
      </c>
      <c r="BT216" s="1" t="str">
        <f>HYPERLINK("https%3A%2F%2Fwww.webofscience.com%2Fwos%2Fwoscc%2Ffull-record%2FWOS:000076339000012","View Full Record in Web of Science")</f>
        <v>View Full Record in Web of Science</v>
      </c>
    </row>
    <row r="217" ht="12.75" customHeight="1">
      <c r="A217" s="1" t="s">
        <v>72</v>
      </c>
      <c r="B217" s="1" t="s">
        <v>2313</v>
      </c>
      <c r="C217" s="1" t="s">
        <v>74</v>
      </c>
      <c r="D217" s="1" t="s">
        <v>74</v>
      </c>
      <c r="E217" s="1" t="s">
        <v>74</v>
      </c>
      <c r="F217" s="1" t="s">
        <v>2313</v>
      </c>
      <c r="G217" s="1" t="s">
        <v>74</v>
      </c>
      <c r="H217" s="1" t="s">
        <v>74</v>
      </c>
      <c r="I217" s="1" t="s">
        <v>2314</v>
      </c>
      <c r="J217" s="1" t="s">
        <v>2315</v>
      </c>
      <c r="K217" s="1" t="s">
        <v>74</v>
      </c>
      <c r="L217" s="1" t="s">
        <v>74</v>
      </c>
      <c r="M217" s="1" t="s">
        <v>74</v>
      </c>
      <c r="N217" s="1" t="s">
        <v>74</v>
      </c>
      <c r="O217" s="1" t="s">
        <v>74</v>
      </c>
      <c r="P217" s="1" t="s">
        <v>74</v>
      </c>
      <c r="Q217" s="1" t="s">
        <v>74</v>
      </c>
      <c r="R217" s="1" t="s">
        <v>74</v>
      </c>
      <c r="S217" s="1" t="s">
        <v>74</v>
      </c>
      <c r="T217" s="1" t="s">
        <v>74</v>
      </c>
      <c r="U217" s="1" t="s">
        <v>74</v>
      </c>
      <c r="V217" s="1" t="s">
        <v>2316</v>
      </c>
      <c r="W217" s="1" t="s">
        <v>74</v>
      </c>
      <c r="X217" s="1" t="s">
        <v>74</v>
      </c>
      <c r="Y217" s="1" t="s">
        <v>74</v>
      </c>
      <c r="Z217" s="1" t="s">
        <v>74</v>
      </c>
      <c r="AA217" s="1" t="s">
        <v>2317</v>
      </c>
      <c r="AB217" s="1" t="s">
        <v>2318</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2319</v>
      </c>
      <c r="AP217" s="1" t="s">
        <v>74</v>
      </c>
      <c r="AQ217" s="1" t="s">
        <v>74</v>
      </c>
      <c r="AR217" s="1" t="s">
        <v>74</v>
      </c>
      <c r="AS217" s="1" t="s">
        <v>74</v>
      </c>
      <c r="AT217" s="1" t="s">
        <v>554</v>
      </c>
      <c r="AU217" s="1">
        <v>1998.0</v>
      </c>
      <c r="AV217" s="1">
        <v>11.0</v>
      </c>
      <c r="AW217" s="1">
        <v>6.0</v>
      </c>
      <c r="AX217" s="1" t="s">
        <v>74</v>
      </c>
      <c r="AY217" s="1" t="s">
        <v>74</v>
      </c>
      <c r="AZ217" s="1" t="s">
        <v>74</v>
      </c>
      <c r="BA217" s="1" t="s">
        <v>74</v>
      </c>
      <c r="BB217" s="1">
        <v>419.0</v>
      </c>
      <c r="BC217" s="1">
        <v>425.0</v>
      </c>
      <c r="BD217" s="1" t="s">
        <v>74</v>
      </c>
      <c r="BE217" s="1" t="s">
        <v>2320</v>
      </c>
      <c r="BF217" s="2" t="str">
        <f>HYPERLINK("http://dx.doi.org/10.1002/(SICI)1099-1395(199806)11:6&lt;419::AID-POC14&gt;3.0.CO;2-K","http://dx.doi.org/10.1002/(SICI)1099-1395(199806)11:6&lt;419::AID-POC14&gt;3.0.CO;2-K")</f>
        <v>http://dx.doi.org/10.1002/(SICI)1099-1395(199806)11:6&lt;419::AID-POC14&gt;3.0.CO;2-K</v>
      </c>
      <c r="BG217" s="1" t="s">
        <v>74</v>
      </c>
      <c r="BH217" s="1" t="s">
        <v>74</v>
      </c>
      <c r="BI217" s="1" t="s">
        <v>74</v>
      </c>
      <c r="BJ217" s="1" t="s">
        <v>74</v>
      </c>
      <c r="BK217" s="1" t="s">
        <v>74</v>
      </c>
      <c r="BL217" s="1" t="s">
        <v>74</v>
      </c>
      <c r="BM217" s="1" t="s">
        <v>74</v>
      </c>
      <c r="BN217" s="1" t="s">
        <v>74</v>
      </c>
      <c r="BO217" s="1" t="s">
        <v>74</v>
      </c>
      <c r="BP217" s="1" t="s">
        <v>74</v>
      </c>
      <c r="BQ217" s="1" t="s">
        <v>74</v>
      </c>
      <c r="BR217" s="1" t="s">
        <v>74</v>
      </c>
      <c r="BS217" s="1" t="s">
        <v>2321</v>
      </c>
      <c r="BT217" s="1" t="str">
        <f>HYPERLINK("https%3A%2F%2Fwww.webofscience.com%2Fwos%2Fwoscc%2Ffull-record%2FWOS:000075124800007","View Full Record in Web of Science")</f>
        <v>View Full Record in Web of Science</v>
      </c>
    </row>
    <row r="218" ht="12.75" customHeight="1">
      <c r="A218" s="1" t="s">
        <v>72</v>
      </c>
      <c r="B218" s="1" t="s">
        <v>2322</v>
      </c>
      <c r="C218" s="1" t="s">
        <v>74</v>
      </c>
      <c r="D218" s="1" t="s">
        <v>74</v>
      </c>
      <c r="E218" s="1" t="s">
        <v>74</v>
      </c>
      <c r="F218" s="1" t="s">
        <v>2322</v>
      </c>
      <c r="G218" s="1" t="s">
        <v>74</v>
      </c>
      <c r="H218" s="1" t="s">
        <v>74</v>
      </c>
      <c r="I218" s="1" t="s">
        <v>2323</v>
      </c>
      <c r="J218" s="1" t="s">
        <v>400</v>
      </c>
      <c r="K218" s="1" t="s">
        <v>74</v>
      </c>
      <c r="L218" s="1" t="s">
        <v>74</v>
      </c>
      <c r="M218" s="1" t="s">
        <v>74</v>
      </c>
      <c r="N218" s="1" t="s">
        <v>74</v>
      </c>
      <c r="O218" s="1" t="s">
        <v>74</v>
      </c>
      <c r="P218" s="1" t="s">
        <v>74</v>
      </c>
      <c r="Q218" s="1" t="s">
        <v>74</v>
      </c>
      <c r="R218" s="1" t="s">
        <v>74</v>
      </c>
      <c r="S218" s="1" t="s">
        <v>74</v>
      </c>
      <c r="T218" s="1" t="s">
        <v>74</v>
      </c>
      <c r="U218" s="1" t="s">
        <v>74</v>
      </c>
      <c r="V218" s="1" t="s">
        <v>2324</v>
      </c>
      <c r="W218" s="1" t="s">
        <v>74</v>
      </c>
      <c r="X218" s="1" t="s">
        <v>74</v>
      </c>
      <c r="Y218" s="1" t="s">
        <v>74</v>
      </c>
      <c r="Z218" s="1" t="s">
        <v>74</v>
      </c>
      <c r="AA218" s="1" t="s">
        <v>2325</v>
      </c>
      <c r="AB218" s="1" t="s">
        <v>2326</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404</v>
      </c>
      <c r="AP218" s="1" t="s">
        <v>74</v>
      </c>
      <c r="AQ218" s="1" t="s">
        <v>74</v>
      </c>
      <c r="AR218" s="1" t="s">
        <v>74</v>
      </c>
      <c r="AS218" s="1" t="s">
        <v>74</v>
      </c>
      <c r="AT218" s="1" t="s">
        <v>596</v>
      </c>
      <c r="AU218" s="1">
        <v>1994.0</v>
      </c>
      <c r="AV218" s="1">
        <v>60.0</v>
      </c>
      <c r="AW218" s="1">
        <v>5.0</v>
      </c>
      <c r="AX218" s="1" t="s">
        <v>74</v>
      </c>
      <c r="AY218" s="1" t="s">
        <v>74</v>
      </c>
      <c r="AZ218" s="1" t="s">
        <v>74</v>
      </c>
      <c r="BA218" s="1" t="s">
        <v>74</v>
      </c>
      <c r="BB218" s="1">
        <v>405.0</v>
      </c>
      <c r="BC218" s="1">
        <v>411.0</v>
      </c>
      <c r="BD218" s="1" t="s">
        <v>74</v>
      </c>
      <c r="BE218" s="1" t="s">
        <v>2327</v>
      </c>
      <c r="BF218" s="2" t="str">
        <f>HYPERLINK("http://dx.doi.org/10.1111/j.1751-1097.1994.tb05124.x","http://dx.doi.org/10.1111/j.1751-1097.1994.tb05124.x")</f>
        <v>http://dx.doi.org/10.1111/j.1751-1097.1994.tb05124.x</v>
      </c>
      <c r="BG218" s="1" t="s">
        <v>74</v>
      </c>
      <c r="BH218" s="1" t="s">
        <v>74</v>
      </c>
      <c r="BI218" s="1" t="s">
        <v>74</v>
      </c>
      <c r="BJ218" s="1" t="s">
        <v>74</v>
      </c>
      <c r="BK218" s="1" t="s">
        <v>74</v>
      </c>
      <c r="BL218" s="1" t="s">
        <v>74</v>
      </c>
      <c r="BM218" s="1" t="s">
        <v>74</v>
      </c>
      <c r="BN218" s="1">
        <v>7800713.0</v>
      </c>
      <c r="BO218" s="1" t="s">
        <v>74</v>
      </c>
      <c r="BP218" s="1" t="s">
        <v>74</v>
      </c>
      <c r="BQ218" s="1" t="s">
        <v>74</v>
      </c>
      <c r="BR218" s="1" t="s">
        <v>74</v>
      </c>
      <c r="BS218" s="1" t="s">
        <v>2328</v>
      </c>
      <c r="BT218" s="1" t="str">
        <f>HYPERLINK("https%3A%2F%2Fwww.webofscience.com%2Fwos%2Fwoscc%2Ffull-record%2FWOS:A1994PR25800002","View Full Record in Web of Science")</f>
        <v>View Full Record in Web of Science</v>
      </c>
    </row>
    <row r="219" ht="12.75" customHeight="1">
      <c r="A219" s="1" t="s">
        <v>72</v>
      </c>
      <c r="B219" s="1" t="s">
        <v>2329</v>
      </c>
      <c r="C219" s="1" t="s">
        <v>74</v>
      </c>
      <c r="D219" s="1" t="s">
        <v>74</v>
      </c>
      <c r="E219" s="1" t="s">
        <v>74</v>
      </c>
      <c r="F219" s="1" t="s">
        <v>2330</v>
      </c>
      <c r="G219" s="1" t="s">
        <v>74</v>
      </c>
      <c r="H219" s="1" t="s">
        <v>74</v>
      </c>
      <c r="I219" s="1" t="s">
        <v>2331</v>
      </c>
      <c r="J219" s="1" t="s">
        <v>2332</v>
      </c>
      <c r="K219" s="1" t="s">
        <v>74</v>
      </c>
      <c r="L219" s="1" t="s">
        <v>74</v>
      </c>
      <c r="M219" s="1" t="s">
        <v>74</v>
      </c>
      <c r="N219" s="1" t="s">
        <v>74</v>
      </c>
      <c r="O219" s="1" t="s">
        <v>74</v>
      </c>
      <c r="P219" s="1" t="s">
        <v>74</v>
      </c>
      <c r="Q219" s="1" t="s">
        <v>74</v>
      </c>
      <c r="R219" s="1" t="s">
        <v>74</v>
      </c>
      <c r="S219" s="1" t="s">
        <v>74</v>
      </c>
      <c r="T219" s="1" t="s">
        <v>74</v>
      </c>
      <c r="U219" s="1" t="s">
        <v>74</v>
      </c>
      <c r="V219" s="1" t="s">
        <v>2333</v>
      </c>
      <c r="W219" s="1" t="s">
        <v>74</v>
      </c>
      <c r="X219" s="1" t="s">
        <v>74</v>
      </c>
      <c r="Y219" s="1" t="s">
        <v>74</v>
      </c>
      <c r="Z219" s="1" t="s">
        <v>74</v>
      </c>
      <c r="AA219" s="1" t="s">
        <v>2334</v>
      </c>
      <c r="AB219" s="1" t="s">
        <v>2335</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2336</v>
      </c>
      <c r="AP219" s="1" t="s">
        <v>2337</v>
      </c>
      <c r="AQ219" s="1" t="s">
        <v>74</v>
      </c>
      <c r="AR219" s="1" t="s">
        <v>74</v>
      </c>
      <c r="AS219" s="1" t="s">
        <v>74</v>
      </c>
      <c r="AT219" s="1" t="s">
        <v>2338</v>
      </c>
      <c r="AU219" s="1">
        <v>2025.0</v>
      </c>
      <c r="AV219" s="1">
        <v>64.0</v>
      </c>
      <c r="AW219" s="1">
        <v>17.0</v>
      </c>
      <c r="AX219" s="1" t="s">
        <v>74</v>
      </c>
      <c r="AY219" s="1" t="s">
        <v>74</v>
      </c>
      <c r="AZ219" s="1" t="s">
        <v>74</v>
      </c>
      <c r="BA219" s="1" t="s">
        <v>74</v>
      </c>
      <c r="BB219" s="1">
        <v>8880.0</v>
      </c>
      <c r="BC219" s="1">
        <v>8892.0</v>
      </c>
      <c r="BD219" s="1" t="s">
        <v>74</v>
      </c>
      <c r="BE219" s="1" t="s">
        <v>2339</v>
      </c>
      <c r="BF219" s="2" t="str">
        <f>HYPERLINK("http://dx.doi.org/10.1021/acs.iecr.5c00444","http://dx.doi.org/10.1021/acs.iecr.5c00444")</f>
        <v>http://dx.doi.org/10.1021/acs.iecr.5c00444</v>
      </c>
      <c r="BG219" s="1" t="s">
        <v>74</v>
      </c>
      <c r="BH219" s="1" t="s">
        <v>2340</v>
      </c>
      <c r="BI219" s="1" t="s">
        <v>74</v>
      </c>
      <c r="BJ219" s="1" t="s">
        <v>74</v>
      </c>
      <c r="BK219" s="1" t="s">
        <v>74</v>
      </c>
      <c r="BL219" s="1" t="s">
        <v>74</v>
      </c>
      <c r="BM219" s="1" t="s">
        <v>74</v>
      </c>
      <c r="BN219" s="1" t="s">
        <v>74</v>
      </c>
      <c r="BO219" s="1" t="s">
        <v>74</v>
      </c>
      <c r="BP219" s="1" t="s">
        <v>74</v>
      </c>
      <c r="BQ219" s="1" t="s">
        <v>74</v>
      </c>
      <c r="BR219" s="1" t="s">
        <v>74</v>
      </c>
      <c r="BS219" s="1" t="s">
        <v>2341</v>
      </c>
      <c r="BT219" s="1" t="str">
        <f>HYPERLINK("https%3A%2F%2Fwww.webofscience.com%2Fwos%2Fwoscc%2Ffull-record%2FWOS:001469191500001","View Full Record in Web of Science")</f>
        <v>View Full Record in Web of Science</v>
      </c>
    </row>
    <row r="220" ht="12.75" customHeight="1">
      <c r="A220" s="1" t="s">
        <v>72</v>
      </c>
      <c r="B220" s="1" t="s">
        <v>2342</v>
      </c>
      <c r="C220" s="1" t="s">
        <v>74</v>
      </c>
      <c r="D220" s="1" t="s">
        <v>74</v>
      </c>
      <c r="E220" s="1" t="s">
        <v>74</v>
      </c>
      <c r="F220" s="1" t="s">
        <v>2343</v>
      </c>
      <c r="G220" s="1" t="s">
        <v>74</v>
      </c>
      <c r="H220" s="1" t="s">
        <v>74</v>
      </c>
      <c r="I220" s="1" t="s">
        <v>2344</v>
      </c>
      <c r="J220" s="1" t="s">
        <v>2345</v>
      </c>
      <c r="K220" s="1" t="s">
        <v>74</v>
      </c>
      <c r="L220" s="1" t="s">
        <v>74</v>
      </c>
      <c r="M220" s="1" t="s">
        <v>74</v>
      </c>
      <c r="N220" s="1" t="s">
        <v>74</v>
      </c>
      <c r="O220" s="1" t="s">
        <v>74</v>
      </c>
      <c r="P220" s="1" t="s">
        <v>74</v>
      </c>
      <c r="Q220" s="1" t="s">
        <v>74</v>
      </c>
      <c r="R220" s="1" t="s">
        <v>74</v>
      </c>
      <c r="S220" s="1" t="s">
        <v>74</v>
      </c>
      <c r="T220" s="1" t="s">
        <v>74</v>
      </c>
      <c r="U220" s="1" t="s">
        <v>74</v>
      </c>
      <c r="V220" s="1" t="s">
        <v>2346</v>
      </c>
      <c r="W220" s="1" t="s">
        <v>74</v>
      </c>
      <c r="X220" s="1" t="s">
        <v>74</v>
      </c>
      <c r="Y220" s="1" t="s">
        <v>74</v>
      </c>
      <c r="Z220" s="1" t="s">
        <v>74</v>
      </c>
      <c r="AA220" s="1" t="s">
        <v>74</v>
      </c>
      <c r="AB220" s="1" t="s">
        <v>74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74</v>
      </c>
      <c r="AP220" s="1" t="s">
        <v>2347</v>
      </c>
      <c r="AQ220" s="1" t="s">
        <v>74</v>
      </c>
      <c r="AR220" s="1" t="s">
        <v>74</v>
      </c>
      <c r="AS220" s="1" t="s">
        <v>74</v>
      </c>
      <c r="AT220" s="1" t="s">
        <v>2348</v>
      </c>
      <c r="AU220" s="1">
        <v>2024.0</v>
      </c>
      <c r="AV220" s="1">
        <v>35.0</v>
      </c>
      <c r="AW220" s="1" t="s">
        <v>1222</v>
      </c>
      <c r="AX220" s="1" t="s">
        <v>74</v>
      </c>
      <c r="AY220" s="1" t="s">
        <v>74</v>
      </c>
      <c r="AZ220" s="1" t="s">
        <v>74</v>
      </c>
      <c r="BA220" s="1" t="s">
        <v>74</v>
      </c>
      <c r="BB220" s="1">
        <v>178.0</v>
      </c>
      <c r="BC220" s="1">
        <v>189.0</v>
      </c>
      <c r="BD220" s="1" t="s">
        <v>74</v>
      </c>
      <c r="BE220" s="1" t="s">
        <v>2349</v>
      </c>
      <c r="BF220" s="2" t="str">
        <f>HYPERLINK("http://dx.doi.org/10.1016/j.rmclc.2024.07.003","http://dx.doi.org/10.1016/j.rmclc.2024.07.003")</f>
        <v>http://dx.doi.org/10.1016/j.rmclc.2024.07.003</v>
      </c>
      <c r="BG220" s="1" t="s">
        <v>74</v>
      </c>
      <c r="BH220" s="1" t="s">
        <v>2350</v>
      </c>
      <c r="BI220" s="1" t="s">
        <v>74</v>
      </c>
      <c r="BJ220" s="1" t="s">
        <v>74</v>
      </c>
      <c r="BK220" s="1" t="s">
        <v>74</v>
      </c>
      <c r="BL220" s="1" t="s">
        <v>74</v>
      </c>
      <c r="BM220" s="1" t="s">
        <v>74</v>
      </c>
      <c r="BN220" s="1" t="s">
        <v>74</v>
      </c>
      <c r="BO220" s="1" t="s">
        <v>74</v>
      </c>
      <c r="BP220" s="1" t="s">
        <v>74</v>
      </c>
      <c r="BQ220" s="1" t="s">
        <v>74</v>
      </c>
      <c r="BR220" s="1" t="s">
        <v>74</v>
      </c>
      <c r="BS220" s="1" t="s">
        <v>2351</v>
      </c>
      <c r="BT220" s="1" t="str">
        <f>HYPERLINK("https%3A%2F%2Fwww.webofscience.com%2Fwos%2Fwoscc%2Ffull-record%2FWOS:001300590300001","View Full Record in Web of Science")</f>
        <v>View Full Record in Web of Science</v>
      </c>
    </row>
    <row r="221" ht="12.75" customHeight="1">
      <c r="A221" s="1" t="s">
        <v>72</v>
      </c>
      <c r="B221" s="1" t="s">
        <v>2352</v>
      </c>
      <c r="C221" s="1" t="s">
        <v>74</v>
      </c>
      <c r="D221" s="1" t="s">
        <v>74</v>
      </c>
      <c r="E221" s="1" t="s">
        <v>74</v>
      </c>
      <c r="F221" s="1" t="s">
        <v>2353</v>
      </c>
      <c r="G221" s="1" t="s">
        <v>74</v>
      </c>
      <c r="H221" s="1" t="s">
        <v>74</v>
      </c>
      <c r="I221" s="1" t="s">
        <v>2354</v>
      </c>
      <c r="J221" s="1" t="s">
        <v>2355</v>
      </c>
      <c r="K221" s="1" t="s">
        <v>74</v>
      </c>
      <c r="L221" s="1" t="s">
        <v>74</v>
      </c>
      <c r="M221" s="1" t="s">
        <v>74</v>
      </c>
      <c r="N221" s="1" t="s">
        <v>74</v>
      </c>
      <c r="O221" s="1" t="s">
        <v>74</v>
      </c>
      <c r="P221" s="1" t="s">
        <v>74</v>
      </c>
      <c r="Q221" s="1" t="s">
        <v>74</v>
      </c>
      <c r="R221" s="1" t="s">
        <v>74</v>
      </c>
      <c r="S221" s="1" t="s">
        <v>74</v>
      </c>
      <c r="T221" s="1" t="s">
        <v>74</v>
      </c>
      <c r="U221" s="1" t="s">
        <v>74</v>
      </c>
      <c r="V221" s="1" t="s">
        <v>2356</v>
      </c>
      <c r="W221" s="1" t="s">
        <v>74</v>
      </c>
      <c r="X221" s="1" t="s">
        <v>74</v>
      </c>
      <c r="Y221" s="1" t="s">
        <v>74</v>
      </c>
      <c r="Z221" s="1" t="s">
        <v>74</v>
      </c>
      <c r="AA221" s="1" t="s">
        <v>74</v>
      </c>
      <c r="AB221" s="1" t="s">
        <v>74</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2357</v>
      </c>
      <c r="AP221" s="1" t="s">
        <v>2358</v>
      </c>
      <c r="AQ221" s="1" t="s">
        <v>74</v>
      </c>
      <c r="AR221" s="1" t="s">
        <v>74</v>
      </c>
      <c r="AS221" s="1" t="s">
        <v>74</v>
      </c>
      <c r="AT221" s="1" t="s">
        <v>496</v>
      </c>
      <c r="AU221" s="1">
        <v>2024.0</v>
      </c>
      <c r="AV221" s="1">
        <v>125.0</v>
      </c>
      <c r="AW221" s="1" t="s">
        <v>74</v>
      </c>
      <c r="AX221" s="1" t="s">
        <v>726</v>
      </c>
      <c r="AY221" s="1" t="s">
        <v>74</v>
      </c>
      <c r="AZ221" s="1" t="s">
        <v>74</v>
      </c>
      <c r="BA221" s="1" t="s">
        <v>74</v>
      </c>
      <c r="BB221" s="1">
        <v>756.0</v>
      </c>
      <c r="BC221" s="1">
        <v>771.0</v>
      </c>
      <c r="BD221" s="1" t="s">
        <v>74</v>
      </c>
      <c r="BE221" s="1" t="s">
        <v>2359</v>
      </c>
      <c r="BF221" s="2" t="str">
        <f>HYPERLINK("http://dx.doi.org/10.1016/j.apm.2023.09.013","http://dx.doi.org/10.1016/j.apm.2023.09.013")</f>
        <v>http://dx.doi.org/10.1016/j.apm.2023.09.013</v>
      </c>
      <c r="BG221" s="1" t="s">
        <v>74</v>
      </c>
      <c r="BH221" s="1" t="s">
        <v>2360</v>
      </c>
      <c r="BI221" s="1" t="s">
        <v>74</v>
      </c>
      <c r="BJ221" s="1" t="s">
        <v>74</v>
      </c>
      <c r="BK221" s="1" t="s">
        <v>74</v>
      </c>
      <c r="BL221" s="1" t="s">
        <v>74</v>
      </c>
      <c r="BM221" s="1" t="s">
        <v>74</v>
      </c>
      <c r="BN221" s="1" t="s">
        <v>74</v>
      </c>
      <c r="BO221" s="1" t="s">
        <v>74</v>
      </c>
      <c r="BP221" s="1" t="s">
        <v>74</v>
      </c>
      <c r="BQ221" s="1" t="s">
        <v>74</v>
      </c>
      <c r="BR221" s="1" t="s">
        <v>74</v>
      </c>
      <c r="BS221" s="1" t="s">
        <v>2361</v>
      </c>
      <c r="BT221" s="1" t="str">
        <f>HYPERLINK("https%3A%2F%2Fwww.webofscience.com%2Fwos%2Fwoscc%2Ffull-record%2FWOS:001086086300001","View Full Record in Web of Science")</f>
        <v>View Full Record in Web of Science</v>
      </c>
    </row>
    <row r="222" ht="12.75" customHeight="1">
      <c r="A222" s="1" t="s">
        <v>72</v>
      </c>
      <c r="B222" s="1" t="s">
        <v>2362</v>
      </c>
      <c r="C222" s="1" t="s">
        <v>74</v>
      </c>
      <c r="D222" s="1" t="s">
        <v>74</v>
      </c>
      <c r="E222" s="1" t="s">
        <v>74</v>
      </c>
      <c r="F222" s="1" t="s">
        <v>2363</v>
      </c>
      <c r="G222" s="1" t="s">
        <v>74</v>
      </c>
      <c r="H222" s="1" t="s">
        <v>74</v>
      </c>
      <c r="I222" s="1" t="s">
        <v>2364</v>
      </c>
      <c r="J222" s="1" t="s">
        <v>2365</v>
      </c>
      <c r="K222" s="1" t="s">
        <v>74</v>
      </c>
      <c r="L222" s="1" t="s">
        <v>74</v>
      </c>
      <c r="M222" s="1" t="s">
        <v>74</v>
      </c>
      <c r="N222" s="1" t="s">
        <v>74</v>
      </c>
      <c r="O222" s="1" t="s">
        <v>74</v>
      </c>
      <c r="P222" s="1" t="s">
        <v>74</v>
      </c>
      <c r="Q222" s="1" t="s">
        <v>74</v>
      </c>
      <c r="R222" s="1" t="s">
        <v>74</v>
      </c>
      <c r="S222" s="1" t="s">
        <v>74</v>
      </c>
      <c r="T222" s="1" t="s">
        <v>74</v>
      </c>
      <c r="U222" s="1" t="s">
        <v>74</v>
      </c>
      <c r="V222" s="1" t="s">
        <v>2366</v>
      </c>
      <c r="W222" s="1" t="s">
        <v>74</v>
      </c>
      <c r="X222" s="1" t="s">
        <v>74</v>
      </c>
      <c r="Y222" s="1" t="s">
        <v>74</v>
      </c>
      <c r="Z222" s="1" t="s">
        <v>74</v>
      </c>
      <c r="AA222" s="1" t="s">
        <v>2367</v>
      </c>
      <c r="AB222" s="1" t="s">
        <v>2368</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2369</v>
      </c>
      <c r="AP222" s="1" t="s">
        <v>74</v>
      </c>
      <c r="AQ222" s="1" t="s">
        <v>74</v>
      </c>
      <c r="AR222" s="1" t="s">
        <v>74</v>
      </c>
      <c r="AS222" s="1" t="s">
        <v>74</v>
      </c>
      <c r="AT222" s="1" t="s">
        <v>2370</v>
      </c>
      <c r="AU222" s="1">
        <v>2023.0</v>
      </c>
      <c r="AV222" s="1">
        <v>14.0</v>
      </c>
      <c r="AW222" s="1" t="s">
        <v>74</v>
      </c>
      <c r="AX222" s="1" t="s">
        <v>74</v>
      </c>
      <c r="AY222" s="1" t="s">
        <v>74</v>
      </c>
      <c r="AZ222" s="1" t="s">
        <v>74</v>
      </c>
      <c r="BA222" s="1" t="s">
        <v>74</v>
      </c>
      <c r="BB222" s="1" t="s">
        <v>74</v>
      </c>
      <c r="BC222" s="1" t="s">
        <v>74</v>
      </c>
      <c r="BD222" s="1">
        <v>1133428.0</v>
      </c>
      <c r="BE222" s="1" t="s">
        <v>2371</v>
      </c>
      <c r="BF222" s="2" t="str">
        <f>HYPERLINK("http://dx.doi.org/10.3389/fpsyg.2023.1133428","http://dx.doi.org/10.3389/fpsyg.2023.1133428")</f>
        <v>http://dx.doi.org/10.3389/fpsyg.2023.1133428</v>
      </c>
      <c r="BG222" s="1" t="s">
        <v>74</v>
      </c>
      <c r="BH222" s="1" t="s">
        <v>74</v>
      </c>
      <c r="BI222" s="1" t="s">
        <v>74</v>
      </c>
      <c r="BJ222" s="1" t="s">
        <v>74</v>
      </c>
      <c r="BK222" s="1" t="s">
        <v>74</v>
      </c>
      <c r="BL222" s="1" t="s">
        <v>74</v>
      </c>
      <c r="BM222" s="1" t="s">
        <v>74</v>
      </c>
      <c r="BN222" s="1">
        <v>3.7251034E7</v>
      </c>
      <c r="BO222" s="1" t="s">
        <v>74</v>
      </c>
      <c r="BP222" s="1" t="s">
        <v>74</v>
      </c>
      <c r="BQ222" s="1" t="s">
        <v>74</v>
      </c>
      <c r="BR222" s="1" t="s">
        <v>74</v>
      </c>
      <c r="BS222" s="1" t="s">
        <v>2372</v>
      </c>
      <c r="BT222" s="1" t="str">
        <f>HYPERLINK("https%3A%2F%2Fwww.webofscience.com%2Fwos%2Fwoscc%2Ffull-record%2FWOS:000994392200001","View Full Record in Web of Science")</f>
        <v>View Full Record in Web of Science</v>
      </c>
    </row>
    <row r="223" ht="12.75" customHeight="1">
      <c r="A223" s="1" t="s">
        <v>72</v>
      </c>
      <c r="B223" s="1" t="s">
        <v>2373</v>
      </c>
      <c r="C223" s="1" t="s">
        <v>74</v>
      </c>
      <c r="D223" s="1" t="s">
        <v>74</v>
      </c>
      <c r="E223" s="1" t="s">
        <v>74</v>
      </c>
      <c r="F223" s="1" t="s">
        <v>2374</v>
      </c>
      <c r="G223" s="1" t="s">
        <v>74</v>
      </c>
      <c r="H223" s="1" t="s">
        <v>74</v>
      </c>
      <c r="I223" s="1" t="s">
        <v>2375</v>
      </c>
      <c r="J223" s="1" t="s">
        <v>2376</v>
      </c>
      <c r="K223" s="1" t="s">
        <v>74</v>
      </c>
      <c r="L223" s="1" t="s">
        <v>74</v>
      </c>
      <c r="M223" s="1" t="s">
        <v>74</v>
      </c>
      <c r="N223" s="1" t="s">
        <v>74</v>
      </c>
      <c r="O223" s="1" t="s">
        <v>74</v>
      </c>
      <c r="P223" s="1" t="s">
        <v>74</v>
      </c>
      <c r="Q223" s="1" t="s">
        <v>74</v>
      </c>
      <c r="R223" s="1" t="s">
        <v>74</v>
      </c>
      <c r="S223" s="1" t="s">
        <v>74</v>
      </c>
      <c r="T223" s="1" t="s">
        <v>74</v>
      </c>
      <c r="U223" s="1" t="s">
        <v>74</v>
      </c>
      <c r="V223" s="1" t="s">
        <v>2377</v>
      </c>
      <c r="W223" s="1" t="s">
        <v>74</v>
      </c>
      <c r="X223" s="1" t="s">
        <v>74</v>
      </c>
      <c r="Y223" s="1" t="s">
        <v>74</v>
      </c>
      <c r="Z223" s="1" t="s">
        <v>74</v>
      </c>
      <c r="AA223" s="1" t="s">
        <v>2378</v>
      </c>
      <c r="AB223" s="1" t="s">
        <v>74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2379</v>
      </c>
      <c r="AP223" s="1" t="s">
        <v>74</v>
      </c>
      <c r="AQ223" s="1" t="s">
        <v>74</v>
      </c>
      <c r="AR223" s="1" t="s">
        <v>74</v>
      </c>
      <c r="AS223" s="1" t="s">
        <v>74</v>
      </c>
      <c r="AT223" s="1" t="s">
        <v>2380</v>
      </c>
      <c r="AU223" s="1">
        <v>2022.0</v>
      </c>
      <c r="AV223" s="1">
        <v>89.0</v>
      </c>
      <c r="AW223" s="1">
        <v>354.0</v>
      </c>
      <c r="AX223" s="1" t="s">
        <v>74</v>
      </c>
      <c r="AY223" s="1" t="s">
        <v>74</v>
      </c>
      <c r="AZ223" s="1" t="s">
        <v>74</v>
      </c>
      <c r="BA223" s="1" t="s">
        <v>74</v>
      </c>
      <c r="BB223" s="1">
        <v>613.0</v>
      </c>
      <c r="BC223" s="1">
        <v>681.0</v>
      </c>
      <c r="BD223" s="1" t="s">
        <v>74</v>
      </c>
      <c r="BE223" s="1" t="s">
        <v>2381</v>
      </c>
      <c r="BF223" s="2" t="str">
        <f>HYPERLINK("http://dx.doi.org/10.20430/ete.v89i354.1509","http://dx.doi.org/10.20430/ete.v89i354.1509")</f>
        <v>http://dx.doi.org/10.20430/ete.v89i354.1509</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2382</v>
      </c>
      <c r="BT223" s="1" t="str">
        <f>HYPERLINK("https%3A%2F%2Fwww.webofscience.com%2Fwos%2Fwoscc%2Ffull-record%2FWOS:000783321300007","View Full Record in Web of Science")</f>
        <v>View Full Record in Web of Science</v>
      </c>
    </row>
    <row r="224" ht="12.75" customHeight="1">
      <c r="A224" s="1" t="s">
        <v>72</v>
      </c>
      <c r="B224" s="1" t="s">
        <v>2383</v>
      </c>
      <c r="C224" s="1" t="s">
        <v>74</v>
      </c>
      <c r="D224" s="1" t="s">
        <v>74</v>
      </c>
      <c r="E224" s="1" t="s">
        <v>74</v>
      </c>
      <c r="F224" s="1" t="s">
        <v>2384</v>
      </c>
      <c r="G224" s="1" t="s">
        <v>74</v>
      </c>
      <c r="H224" s="1" t="s">
        <v>74</v>
      </c>
      <c r="I224" s="1" t="s">
        <v>2385</v>
      </c>
      <c r="J224" s="1" t="s">
        <v>2386</v>
      </c>
      <c r="K224" s="1" t="s">
        <v>74</v>
      </c>
      <c r="L224" s="1" t="s">
        <v>74</v>
      </c>
      <c r="M224" s="1" t="s">
        <v>74</v>
      </c>
      <c r="N224" s="1" t="s">
        <v>74</v>
      </c>
      <c r="O224" s="1" t="s">
        <v>74</v>
      </c>
      <c r="P224" s="1" t="s">
        <v>74</v>
      </c>
      <c r="Q224" s="1" t="s">
        <v>74</v>
      </c>
      <c r="R224" s="1" t="s">
        <v>74</v>
      </c>
      <c r="S224" s="1" t="s">
        <v>74</v>
      </c>
      <c r="T224" s="1" t="s">
        <v>74</v>
      </c>
      <c r="U224" s="1" t="s">
        <v>74</v>
      </c>
      <c r="V224" s="1" t="s">
        <v>2387</v>
      </c>
      <c r="W224" s="1" t="s">
        <v>74</v>
      </c>
      <c r="X224" s="1" t="s">
        <v>74</v>
      </c>
      <c r="Y224" s="1" t="s">
        <v>74</v>
      </c>
      <c r="Z224" s="1" t="s">
        <v>74</v>
      </c>
      <c r="AA224" s="1" t="s">
        <v>74</v>
      </c>
      <c r="AB224" s="1" t="s">
        <v>2388</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74</v>
      </c>
      <c r="AP224" s="1" t="s">
        <v>2389</v>
      </c>
      <c r="AQ224" s="1" t="s">
        <v>74</v>
      </c>
      <c r="AR224" s="1" t="s">
        <v>74</v>
      </c>
      <c r="AS224" s="1" t="s">
        <v>74</v>
      </c>
      <c r="AT224" s="1" t="s">
        <v>83</v>
      </c>
      <c r="AU224" s="1">
        <v>2022.0</v>
      </c>
      <c r="AV224" s="1">
        <v>19.0</v>
      </c>
      <c r="AW224" s="1">
        <v>5.0</v>
      </c>
      <c r="AX224" s="1" t="s">
        <v>74</v>
      </c>
      <c r="AY224" s="1" t="s">
        <v>74</v>
      </c>
      <c r="AZ224" s="1" t="s">
        <v>74</v>
      </c>
      <c r="BA224" s="1" t="s">
        <v>74</v>
      </c>
      <c r="BB224" s="1" t="s">
        <v>74</v>
      </c>
      <c r="BC224" s="1" t="s">
        <v>74</v>
      </c>
      <c r="BD224" s="1">
        <v>3044.0</v>
      </c>
      <c r="BE224" s="1" t="s">
        <v>2390</v>
      </c>
      <c r="BF224" s="2" t="str">
        <f>HYPERLINK("http://dx.doi.org/10.3390/ijerph19053044","http://dx.doi.org/10.3390/ijerph19053044")</f>
        <v>http://dx.doi.org/10.3390/ijerph19053044</v>
      </c>
      <c r="BG224" s="1" t="s">
        <v>74</v>
      </c>
      <c r="BH224" s="1" t="s">
        <v>74</v>
      </c>
      <c r="BI224" s="1" t="s">
        <v>74</v>
      </c>
      <c r="BJ224" s="1" t="s">
        <v>74</v>
      </c>
      <c r="BK224" s="1" t="s">
        <v>74</v>
      </c>
      <c r="BL224" s="1" t="s">
        <v>74</v>
      </c>
      <c r="BM224" s="1" t="s">
        <v>74</v>
      </c>
      <c r="BN224" s="1">
        <v>3.5270735E7</v>
      </c>
      <c r="BO224" s="1" t="s">
        <v>74</v>
      </c>
      <c r="BP224" s="1" t="s">
        <v>74</v>
      </c>
      <c r="BQ224" s="1" t="s">
        <v>74</v>
      </c>
      <c r="BR224" s="1" t="s">
        <v>74</v>
      </c>
      <c r="BS224" s="1" t="s">
        <v>2391</v>
      </c>
      <c r="BT224" s="1" t="str">
        <f>HYPERLINK("https%3A%2F%2Fwww.webofscience.com%2Fwos%2Fwoscc%2Ffull-record%2FWOS:000771180900001","View Full Record in Web of Science")</f>
        <v>View Full Record in Web of Science</v>
      </c>
    </row>
    <row r="225" ht="12.75" customHeight="1">
      <c r="A225" s="1" t="s">
        <v>72</v>
      </c>
      <c r="B225" s="1" t="s">
        <v>2392</v>
      </c>
      <c r="C225" s="1" t="s">
        <v>74</v>
      </c>
      <c r="D225" s="1" t="s">
        <v>74</v>
      </c>
      <c r="E225" s="1" t="s">
        <v>74</v>
      </c>
      <c r="F225" s="1" t="s">
        <v>2393</v>
      </c>
      <c r="G225" s="1" t="s">
        <v>74</v>
      </c>
      <c r="H225" s="1" t="s">
        <v>74</v>
      </c>
      <c r="I225" s="1" t="s">
        <v>2394</v>
      </c>
      <c r="J225" s="1" t="s">
        <v>2395</v>
      </c>
      <c r="K225" s="1" t="s">
        <v>74</v>
      </c>
      <c r="L225" s="1" t="s">
        <v>74</v>
      </c>
      <c r="M225" s="1" t="s">
        <v>74</v>
      </c>
      <c r="N225" s="1" t="s">
        <v>74</v>
      </c>
      <c r="O225" s="1" t="s">
        <v>74</v>
      </c>
      <c r="P225" s="1" t="s">
        <v>74</v>
      </c>
      <c r="Q225" s="1" t="s">
        <v>74</v>
      </c>
      <c r="R225" s="1" t="s">
        <v>74</v>
      </c>
      <c r="S225" s="1" t="s">
        <v>74</v>
      </c>
      <c r="T225" s="1" t="s">
        <v>74</v>
      </c>
      <c r="U225" s="1" t="s">
        <v>74</v>
      </c>
      <c r="V225" s="1" t="s">
        <v>2396</v>
      </c>
      <c r="W225" s="1" t="s">
        <v>74</v>
      </c>
      <c r="X225" s="1" t="s">
        <v>74</v>
      </c>
      <c r="Y225" s="1" t="s">
        <v>74</v>
      </c>
      <c r="Z225" s="1" t="s">
        <v>74</v>
      </c>
      <c r="AA225" s="1" t="s">
        <v>2397</v>
      </c>
      <c r="AB225" s="1" t="s">
        <v>2398</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74</v>
      </c>
      <c r="AP225" s="1" t="s">
        <v>2399</v>
      </c>
      <c r="AQ225" s="1" t="s">
        <v>74</v>
      </c>
      <c r="AR225" s="1" t="s">
        <v>74</v>
      </c>
      <c r="AS225" s="1" t="s">
        <v>74</v>
      </c>
      <c r="AT225" s="1" t="s">
        <v>120</v>
      </c>
      <c r="AU225" s="1">
        <v>2022.0</v>
      </c>
      <c r="AV225" s="1">
        <v>12.0</v>
      </c>
      <c r="AW225" s="1">
        <v>2.0</v>
      </c>
      <c r="AX225" s="1" t="s">
        <v>74</v>
      </c>
      <c r="AY225" s="1" t="s">
        <v>74</v>
      </c>
      <c r="AZ225" s="1" t="s">
        <v>74</v>
      </c>
      <c r="BA225" s="1" t="s">
        <v>74</v>
      </c>
      <c r="BB225" s="1" t="s">
        <v>74</v>
      </c>
      <c r="BC225" s="1" t="s">
        <v>74</v>
      </c>
      <c r="BD225" s="1">
        <v>250.0</v>
      </c>
      <c r="BE225" s="1" t="s">
        <v>2400</v>
      </c>
      <c r="BF225" s="2" t="str">
        <f>HYPERLINK("http://dx.doi.org/10.3390/min12020250","http://dx.doi.org/10.3390/min12020250")</f>
        <v>http://dx.doi.org/10.3390/min12020250</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2401</v>
      </c>
      <c r="BT225" s="1" t="str">
        <f>HYPERLINK("https%3A%2F%2Fwww.webofscience.com%2Fwos%2Fwoscc%2Ffull-record%2FWOS:000764352100001","View Full Record in Web of Science")</f>
        <v>View Full Record in Web of Science</v>
      </c>
    </row>
    <row r="226" ht="12.75" customHeight="1">
      <c r="A226" s="1" t="s">
        <v>72</v>
      </c>
      <c r="B226" s="1" t="s">
        <v>2402</v>
      </c>
      <c r="C226" s="1" t="s">
        <v>74</v>
      </c>
      <c r="D226" s="1" t="s">
        <v>74</v>
      </c>
      <c r="E226" s="1" t="s">
        <v>74</v>
      </c>
      <c r="F226" s="1" t="s">
        <v>2403</v>
      </c>
      <c r="G226" s="1" t="s">
        <v>74</v>
      </c>
      <c r="H226" s="1" t="s">
        <v>74</v>
      </c>
      <c r="I226" s="1" t="s">
        <v>2404</v>
      </c>
      <c r="J226" s="1" t="s">
        <v>2405</v>
      </c>
      <c r="K226" s="1" t="s">
        <v>74</v>
      </c>
      <c r="L226" s="1" t="s">
        <v>74</v>
      </c>
      <c r="M226" s="1" t="s">
        <v>74</v>
      </c>
      <c r="N226" s="1" t="s">
        <v>74</v>
      </c>
      <c r="O226" s="1" t="s">
        <v>74</v>
      </c>
      <c r="P226" s="1" t="s">
        <v>74</v>
      </c>
      <c r="Q226" s="1" t="s">
        <v>74</v>
      </c>
      <c r="R226" s="1" t="s">
        <v>74</v>
      </c>
      <c r="S226" s="1" t="s">
        <v>74</v>
      </c>
      <c r="T226" s="1" t="s">
        <v>74</v>
      </c>
      <c r="U226" s="1" t="s">
        <v>74</v>
      </c>
      <c r="V226" s="1" t="s">
        <v>2406</v>
      </c>
      <c r="W226" s="1" t="s">
        <v>74</v>
      </c>
      <c r="X226" s="1" t="s">
        <v>74</v>
      </c>
      <c r="Y226" s="1" t="s">
        <v>74</v>
      </c>
      <c r="Z226" s="1" t="s">
        <v>74</v>
      </c>
      <c r="AA226" s="1" t="s">
        <v>2407</v>
      </c>
      <c r="AB226" s="1" t="s">
        <v>2408</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2409</v>
      </c>
      <c r="AP226" s="1" t="s">
        <v>2410</v>
      </c>
      <c r="AQ226" s="1" t="s">
        <v>74</v>
      </c>
      <c r="AR226" s="1" t="s">
        <v>74</v>
      </c>
      <c r="AS226" s="1" t="s">
        <v>74</v>
      </c>
      <c r="AT226" s="1" t="s">
        <v>74</v>
      </c>
      <c r="AU226" s="1">
        <v>2021.0</v>
      </c>
      <c r="AV226" s="1">
        <v>21.0</v>
      </c>
      <c r="AW226" s="1">
        <v>19.0</v>
      </c>
      <c r="AX226" s="1" t="s">
        <v>74</v>
      </c>
      <c r="AY226" s="1" t="s">
        <v>74</v>
      </c>
      <c r="AZ226" s="1" t="s">
        <v>74</v>
      </c>
      <c r="BA226" s="1" t="s">
        <v>74</v>
      </c>
      <c r="BB226" s="1">
        <v>2850.0</v>
      </c>
      <c r="BC226" s="1">
        <v>2859.0</v>
      </c>
      <c r="BD226" s="1" t="s">
        <v>74</v>
      </c>
      <c r="BE226" s="1" t="s">
        <v>2411</v>
      </c>
      <c r="BF226" s="2" t="str">
        <f>HYPERLINK("http://dx.doi.org/10.2174/1389557521666210405155859","http://dx.doi.org/10.2174/1389557521666210405155859")</f>
        <v>http://dx.doi.org/10.2174/1389557521666210405155859</v>
      </c>
      <c r="BG226" s="1" t="s">
        <v>74</v>
      </c>
      <c r="BH226" s="1" t="s">
        <v>74</v>
      </c>
      <c r="BI226" s="1" t="s">
        <v>74</v>
      </c>
      <c r="BJ226" s="1" t="s">
        <v>74</v>
      </c>
      <c r="BK226" s="1" t="s">
        <v>74</v>
      </c>
      <c r="BL226" s="1" t="s">
        <v>74</v>
      </c>
      <c r="BM226" s="1" t="s">
        <v>74</v>
      </c>
      <c r="BN226" s="1">
        <v>3.3820506E7</v>
      </c>
      <c r="BO226" s="1" t="s">
        <v>74</v>
      </c>
      <c r="BP226" s="1" t="s">
        <v>74</v>
      </c>
      <c r="BQ226" s="1" t="s">
        <v>74</v>
      </c>
      <c r="BR226" s="1" t="s">
        <v>74</v>
      </c>
      <c r="BS226" s="1" t="s">
        <v>2412</v>
      </c>
      <c r="BT226" s="1" t="str">
        <f>HYPERLINK("https%3A%2F%2Fwww.webofscience.com%2Fwos%2Fwoscc%2Ffull-record%2FWOS:000710694600001","View Full Record in Web of Science")</f>
        <v>View Full Record in Web of Science</v>
      </c>
    </row>
    <row r="227" ht="12.75" customHeight="1">
      <c r="A227" s="1" t="s">
        <v>72</v>
      </c>
      <c r="B227" s="1" t="s">
        <v>2413</v>
      </c>
      <c r="C227" s="1" t="s">
        <v>74</v>
      </c>
      <c r="D227" s="1" t="s">
        <v>74</v>
      </c>
      <c r="E227" s="1" t="s">
        <v>74</v>
      </c>
      <c r="F227" s="1" t="s">
        <v>2414</v>
      </c>
      <c r="G227" s="1" t="s">
        <v>74</v>
      </c>
      <c r="H227" s="1" t="s">
        <v>74</v>
      </c>
      <c r="I227" s="1" t="s">
        <v>2415</v>
      </c>
      <c r="J227" s="1" t="s">
        <v>2416</v>
      </c>
      <c r="K227" s="1" t="s">
        <v>74</v>
      </c>
      <c r="L227" s="1" t="s">
        <v>74</v>
      </c>
      <c r="M227" s="1" t="s">
        <v>74</v>
      </c>
      <c r="N227" s="1" t="s">
        <v>74</v>
      </c>
      <c r="O227" s="1" t="s">
        <v>74</v>
      </c>
      <c r="P227" s="1" t="s">
        <v>74</v>
      </c>
      <c r="Q227" s="1" t="s">
        <v>74</v>
      </c>
      <c r="R227" s="1" t="s">
        <v>74</v>
      </c>
      <c r="S227" s="1" t="s">
        <v>74</v>
      </c>
      <c r="T227" s="1" t="s">
        <v>74</v>
      </c>
      <c r="U227" s="1" t="s">
        <v>74</v>
      </c>
      <c r="V227" s="1" t="s">
        <v>2417</v>
      </c>
      <c r="W227" s="1" t="s">
        <v>74</v>
      </c>
      <c r="X227" s="1" t="s">
        <v>74</v>
      </c>
      <c r="Y227" s="1" t="s">
        <v>74</v>
      </c>
      <c r="Z227" s="1" t="s">
        <v>74</v>
      </c>
      <c r="AA227" s="1" t="s">
        <v>74</v>
      </c>
      <c r="AB227" s="1" t="s">
        <v>74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2418</v>
      </c>
      <c r="AP227" s="1" t="s">
        <v>2419</v>
      </c>
      <c r="AQ227" s="1" t="s">
        <v>74</v>
      </c>
      <c r="AR227" s="1" t="s">
        <v>74</v>
      </c>
      <c r="AS227" s="1" t="s">
        <v>74</v>
      </c>
      <c r="AT227" s="1" t="s">
        <v>2420</v>
      </c>
      <c r="AU227" s="1">
        <v>2020.0</v>
      </c>
      <c r="AV227" s="1">
        <v>528.0</v>
      </c>
      <c r="AW227" s="1" t="s">
        <v>74</v>
      </c>
      <c r="AX227" s="1" t="s">
        <v>74</v>
      </c>
      <c r="AY227" s="1" t="s">
        <v>74</v>
      </c>
      <c r="AZ227" s="1" t="s">
        <v>74</v>
      </c>
      <c r="BA227" s="1" t="s">
        <v>74</v>
      </c>
      <c r="BB227" s="1" t="s">
        <v>74</v>
      </c>
      <c r="BC227" s="1" t="s">
        <v>74</v>
      </c>
      <c r="BD227" s="1">
        <v>735480.0</v>
      </c>
      <c r="BE227" s="1" t="s">
        <v>2421</v>
      </c>
      <c r="BF227" s="2" t="str">
        <f>HYPERLINK("http://dx.doi.org/10.1016/j.aquaculture.2020.735480","http://dx.doi.org/10.1016/j.aquaculture.2020.735480")</f>
        <v>http://dx.doi.org/10.1016/j.aquaculture.2020.735480</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2422</v>
      </c>
      <c r="BT227" s="1" t="str">
        <f>HYPERLINK("https%3A%2F%2Fwww.webofscience.com%2Fwos%2Fwoscc%2Ffull-record%2FWOS:000553682000023","View Full Record in Web of Science")</f>
        <v>View Full Record in Web of Science</v>
      </c>
    </row>
    <row r="228" ht="12.75" customHeight="1">
      <c r="A228" s="1" t="s">
        <v>72</v>
      </c>
      <c r="B228" s="1" t="s">
        <v>2423</v>
      </c>
      <c r="C228" s="1" t="s">
        <v>74</v>
      </c>
      <c r="D228" s="1" t="s">
        <v>74</v>
      </c>
      <c r="E228" s="1" t="s">
        <v>74</v>
      </c>
      <c r="F228" s="1" t="s">
        <v>2424</v>
      </c>
      <c r="G228" s="1" t="s">
        <v>74</v>
      </c>
      <c r="H228" s="1" t="s">
        <v>74</v>
      </c>
      <c r="I228" s="1" t="s">
        <v>2425</v>
      </c>
      <c r="J228" s="1" t="s">
        <v>2426</v>
      </c>
      <c r="K228" s="1" t="s">
        <v>74</v>
      </c>
      <c r="L228" s="1" t="s">
        <v>74</v>
      </c>
      <c r="M228" s="1" t="s">
        <v>74</v>
      </c>
      <c r="N228" s="1" t="s">
        <v>74</v>
      </c>
      <c r="O228" s="1" t="s">
        <v>74</v>
      </c>
      <c r="P228" s="1" t="s">
        <v>74</v>
      </c>
      <c r="Q228" s="1" t="s">
        <v>74</v>
      </c>
      <c r="R228" s="1" t="s">
        <v>74</v>
      </c>
      <c r="S228" s="1" t="s">
        <v>74</v>
      </c>
      <c r="T228" s="1" t="s">
        <v>74</v>
      </c>
      <c r="U228" s="1" t="s">
        <v>74</v>
      </c>
      <c r="V228" s="1" t="s">
        <v>2427</v>
      </c>
      <c r="W228" s="1" t="s">
        <v>74</v>
      </c>
      <c r="X228" s="1" t="s">
        <v>74</v>
      </c>
      <c r="Y228" s="1" t="s">
        <v>74</v>
      </c>
      <c r="Z228" s="1" t="s">
        <v>74</v>
      </c>
      <c r="AA228" s="1" t="s">
        <v>2428</v>
      </c>
      <c r="AB228" s="1" t="s">
        <v>2429</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2430</v>
      </c>
      <c r="AP228" s="1" t="s">
        <v>2431</v>
      </c>
      <c r="AQ228" s="1" t="s">
        <v>74</v>
      </c>
      <c r="AR228" s="1" t="s">
        <v>74</v>
      </c>
      <c r="AS228" s="1" t="s">
        <v>74</v>
      </c>
      <c r="AT228" s="1" t="s">
        <v>187</v>
      </c>
      <c r="AU228" s="1">
        <v>2020.0</v>
      </c>
      <c r="AV228" s="1">
        <v>42.0</v>
      </c>
      <c r="AW228" s="1">
        <v>2.0</v>
      </c>
      <c r="AX228" s="1" t="s">
        <v>74</v>
      </c>
      <c r="AY228" s="1" t="s">
        <v>74</v>
      </c>
      <c r="AZ228" s="1" t="s">
        <v>74</v>
      </c>
      <c r="BA228" s="1" t="s">
        <v>74</v>
      </c>
      <c r="BB228" s="1">
        <v>103.0</v>
      </c>
      <c r="BC228" s="1">
        <v>121.0</v>
      </c>
      <c r="BD228" s="1" t="s">
        <v>74</v>
      </c>
      <c r="BE228" s="1" t="s">
        <v>2432</v>
      </c>
      <c r="BF228" s="2" t="str">
        <f>HYPERLINK("http://dx.doi.org/10.1519/SSC.0000000000000517","http://dx.doi.org/10.1519/SSC.0000000000000517")</f>
        <v>http://dx.doi.org/10.1519/SSC.0000000000000517</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2433</v>
      </c>
      <c r="BT228" s="1" t="str">
        <f>HYPERLINK("https%3A%2F%2Fwww.webofscience.com%2Fwos%2Fwoscc%2Ffull-record%2FWOS:000524986700010","View Full Record in Web of Science")</f>
        <v>View Full Record in Web of Science</v>
      </c>
    </row>
    <row r="229" ht="12.75" customHeight="1">
      <c r="A229" s="1" t="s">
        <v>72</v>
      </c>
      <c r="B229" s="1" t="s">
        <v>2434</v>
      </c>
      <c r="C229" s="1" t="s">
        <v>74</v>
      </c>
      <c r="D229" s="1" t="s">
        <v>74</v>
      </c>
      <c r="E229" s="1" t="s">
        <v>74</v>
      </c>
      <c r="F229" s="1" t="s">
        <v>2435</v>
      </c>
      <c r="G229" s="1" t="s">
        <v>74</v>
      </c>
      <c r="H229" s="1" t="s">
        <v>74</v>
      </c>
      <c r="I229" s="1" t="s">
        <v>2436</v>
      </c>
      <c r="J229" s="1" t="s">
        <v>206</v>
      </c>
      <c r="K229" s="1" t="s">
        <v>74</v>
      </c>
      <c r="L229" s="1" t="s">
        <v>74</v>
      </c>
      <c r="M229" s="1" t="s">
        <v>74</v>
      </c>
      <c r="N229" s="1" t="s">
        <v>74</v>
      </c>
      <c r="O229" s="1" t="s">
        <v>74</v>
      </c>
      <c r="P229" s="1" t="s">
        <v>74</v>
      </c>
      <c r="Q229" s="1" t="s">
        <v>74</v>
      </c>
      <c r="R229" s="1" t="s">
        <v>74</v>
      </c>
      <c r="S229" s="1" t="s">
        <v>74</v>
      </c>
      <c r="T229" s="1" t="s">
        <v>74</v>
      </c>
      <c r="U229" s="1" t="s">
        <v>74</v>
      </c>
      <c r="V229" s="1" t="s">
        <v>2437</v>
      </c>
      <c r="W229" s="1" t="s">
        <v>74</v>
      </c>
      <c r="X229" s="1" t="s">
        <v>74</v>
      </c>
      <c r="Y229" s="1" t="s">
        <v>74</v>
      </c>
      <c r="Z229" s="1" t="s">
        <v>74</v>
      </c>
      <c r="AA229" s="1" t="s">
        <v>2438</v>
      </c>
      <c r="AB229" s="1" t="s">
        <v>2439</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210</v>
      </c>
      <c r="AP229" s="1" t="s">
        <v>211</v>
      </c>
      <c r="AQ229" s="1" t="s">
        <v>74</v>
      </c>
      <c r="AR229" s="1" t="s">
        <v>74</v>
      </c>
      <c r="AS229" s="1" t="s">
        <v>74</v>
      </c>
      <c r="AT229" s="1" t="s">
        <v>2440</v>
      </c>
      <c r="AU229" s="1">
        <v>2020.0</v>
      </c>
      <c r="AV229" s="1">
        <v>497.0</v>
      </c>
      <c r="AW229" s="1" t="s">
        <v>74</v>
      </c>
      <c r="AX229" s="1" t="s">
        <v>74</v>
      </c>
      <c r="AY229" s="1" t="s">
        <v>74</v>
      </c>
      <c r="AZ229" s="1" t="s">
        <v>74</v>
      </c>
      <c r="BA229" s="1" t="s">
        <v>74</v>
      </c>
      <c r="BB229" s="1" t="s">
        <v>74</v>
      </c>
      <c r="BC229" s="1" t="s">
        <v>74</v>
      </c>
      <c r="BD229" s="1">
        <v>165935.0</v>
      </c>
      <c r="BE229" s="1" t="s">
        <v>2441</v>
      </c>
      <c r="BF229" s="2" t="str">
        <f>HYPERLINK("http://dx.doi.org/10.1016/j.jmmm.2019.165935","http://dx.doi.org/10.1016/j.jmmm.2019.165935")</f>
        <v>http://dx.doi.org/10.1016/j.jmmm.2019.165935</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2442</v>
      </c>
      <c r="BT229" s="1" t="str">
        <f>HYPERLINK("https%3A%2F%2Fwww.webofscience.com%2Fwos%2Fwoscc%2Ffull-record%2FWOS:000501596800096","View Full Record in Web of Science")</f>
        <v>View Full Record in Web of Science</v>
      </c>
    </row>
    <row r="230" ht="12.75" customHeight="1">
      <c r="A230" s="1" t="s">
        <v>72</v>
      </c>
      <c r="B230" s="1" t="s">
        <v>2443</v>
      </c>
      <c r="C230" s="1" t="s">
        <v>74</v>
      </c>
      <c r="D230" s="1" t="s">
        <v>74</v>
      </c>
      <c r="E230" s="1" t="s">
        <v>74</v>
      </c>
      <c r="F230" s="1" t="s">
        <v>2444</v>
      </c>
      <c r="G230" s="1" t="s">
        <v>74</v>
      </c>
      <c r="H230" s="1" t="s">
        <v>74</v>
      </c>
      <c r="I230" s="1" t="s">
        <v>2445</v>
      </c>
      <c r="J230" s="1" t="s">
        <v>1735</v>
      </c>
      <c r="K230" s="1" t="s">
        <v>74</v>
      </c>
      <c r="L230" s="1" t="s">
        <v>74</v>
      </c>
      <c r="M230" s="1" t="s">
        <v>74</v>
      </c>
      <c r="N230" s="1" t="s">
        <v>74</v>
      </c>
      <c r="O230" s="1" t="s">
        <v>74</v>
      </c>
      <c r="P230" s="1" t="s">
        <v>74</v>
      </c>
      <c r="Q230" s="1" t="s">
        <v>74</v>
      </c>
      <c r="R230" s="1" t="s">
        <v>74</v>
      </c>
      <c r="S230" s="1" t="s">
        <v>74</v>
      </c>
      <c r="T230" s="1" t="s">
        <v>74</v>
      </c>
      <c r="U230" s="1" t="s">
        <v>74</v>
      </c>
      <c r="V230" s="1" t="s">
        <v>2446</v>
      </c>
      <c r="W230" s="1" t="s">
        <v>74</v>
      </c>
      <c r="X230" s="1" t="s">
        <v>74</v>
      </c>
      <c r="Y230" s="1" t="s">
        <v>74</v>
      </c>
      <c r="Z230" s="1" t="s">
        <v>74</v>
      </c>
      <c r="AA230" s="1" t="s">
        <v>2447</v>
      </c>
      <c r="AB230" s="1" t="s">
        <v>2448</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2107</v>
      </c>
      <c r="AP230" s="1" t="s">
        <v>1739</v>
      </c>
      <c r="AQ230" s="1" t="s">
        <v>74</v>
      </c>
      <c r="AR230" s="1" t="s">
        <v>74</v>
      </c>
      <c r="AS230" s="1" t="s">
        <v>74</v>
      </c>
      <c r="AT230" s="1" t="s">
        <v>2449</v>
      </c>
      <c r="AU230" s="1">
        <v>2019.0</v>
      </c>
      <c r="AV230" s="1">
        <v>20.0</v>
      </c>
      <c r="AW230" s="1">
        <v>16.0</v>
      </c>
      <c r="AX230" s="1" t="s">
        <v>74</v>
      </c>
      <c r="AY230" s="1" t="s">
        <v>74</v>
      </c>
      <c r="AZ230" s="1" t="s">
        <v>74</v>
      </c>
      <c r="BA230" s="1" t="s">
        <v>74</v>
      </c>
      <c r="BB230" s="1" t="s">
        <v>74</v>
      </c>
      <c r="BC230" s="1" t="s">
        <v>74</v>
      </c>
      <c r="BD230" s="1">
        <v>3850.0</v>
      </c>
      <c r="BE230" s="1" t="s">
        <v>2450</v>
      </c>
      <c r="BF230" s="2" t="str">
        <f>HYPERLINK("http://dx.doi.org/10.3390/ijms20163850","http://dx.doi.org/10.3390/ijms20163850")</f>
        <v>http://dx.doi.org/10.3390/ijms20163850</v>
      </c>
      <c r="BG230" s="1" t="s">
        <v>74</v>
      </c>
      <c r="BH230" s="1" t="s">
        <v>74</v>
      </c>
      <c r="BI230" s="1" t="s">
        <v>74</v>
      </c>
      <c r="BJ230" s="1" t="s">
        <v>74</v>
      </c>
      <c r="BK230" s="1" t="s">
        <v>74</v>
      </c>
      <c r="BL230" s="1" t="s">
        <v>74</v>
      </c>
      <c r="BM230" s="1" t="s">
        <v>74</v>
      </c>
      <c r="BN230" s="1">
        <v>3.1394756E7</v>
      </c>
      <c r="BO230" s="1" t="s">
        <v>74</v>
      </c>
      <c r="BP230" s="1" t="s">
        <v>74</v>
      </c>
      <c r="BQ230" s="1" t="s">
        <v>74</v>
      </c>
      <c r="BR230" s="1" t="s">
        <v>74</v>
      </c>
      <c r="BS230" s="1" t="s">
        <v>2451</v>
      </c>
      <c r="BT230" s="1" t="str">
        <f>HYPERLINK("https%3A%2F%2Fwww.webofscience.com%2Fwos%2Fwoscc%2Ffull-record%2FWOS:000484411100007","View Full Record in Web of Science")</f>
        <v>View Full Record in Web of Science</v>
      </c>
    </row>
    <row r="231" ht="12.75" customHeight="1">
      <c r="A231" s="1" t="s">
        <v>72</v>
      </c>
      <c r="B231" s="1" t="s">
        <v>2452</v>
      </c>
      <c r="C231" s="1" t="s">
        <v>74</v>
      </c>
      <c r="D231" s="1" t="s">
        <v>74</v>
      </c>
      <c r="E231" s="1" t="s">
        <v>74</v>
      </c>
      <c r="F231" s="1" t="s">
        <v>2453</v>
      </c>
      <c r="G231" s="1" t="s">
        <v>74</v>
      </c>
      <c r="H231" s="1" t="s">
        <v>74</v>
      </c>
      <c r="I231" s="1" t="s">
        <v>2454</v>
      </c>
      <c r="J231" s="1" t="s">
        <v>2455</v>
      </c>
      <c r="K231" s="1" t="s">
        <v>74</v>
      </c>
      <c r="L231" s="1" t="s">
        <v>74</v>
      </c>
      <c r="M231" s="1" t="s">
        <v>74</v>
      </c>
      <c r="N231" s="1" t="s">
        <v>74</v>
      </c>
      <c r="O231" s="1" t="s">
        <v>74</v>
      </c>
      <c r="P231" s="1" t="s">
        <v>74</v>
      </c>
      <c r="Q231" s="1" t="s">
        <v>74</v>
      </c>
      <c r="R231" s="1" t="s">
        <v>74</v>
      </c>
      <c r="S231" s="1" t="s">
        <v>74</v>
      </c>
      <c r="T231" s="1" t="s">
        <v>74</v>
      </c>
      <c r="U231" s="1" t="s">
        <v>74</v>
      </c>
      <c r="V231" s="1" t="s">
        <v>74</v>
      </c>
      <c r="W231" s="1" t="s">
        <v>74</v>
      </c>
      <c r="X231" s="1" t="s">
        <v>74</v>
      </c>
      <c r="Y231" s="1" t="s">
        <v>74</v>
      </c>
      <c r="Z231" s="1" t="s">
        <v>74</v>
      </c>
      <c r="AA231" s="1" t="s">
        <v>2456</v>
      </c>
      <c r="AB231" s="1" t="s">
        <v>74</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2457</v>
      </c>
      <c r="AP231" s="1" t="s">
        <v>74</v>
      </c>
      <c r="AQ231" s="1" t="s">
        <v>74</v>
      </c>
      <c r="AR231" s="1" t="s">
        <v>74</v>
      </c>
      <c r="AS231" s="1" t="s">
        <v>74</v>
      </c>
      <c r="AT231" s="1" t="s">
        <v>2458</v>
      </c>
      <c r="AU231" s="1">
        <v>2019.0</v>
      </c>
      <c r="AV231" s="1">
        <v>60.0</v>
      </c>
      <c r="AW231" s="1">
        <v>6.0</v>
      </c>
      <c r="AX231" s="1" t="s">
        <v>74</v>
      </c>
      <c r="AY231" s="1" t="s">
        <v>74</v>
      </c>
      <c r="AZ231" s="1" t="s">
        <v>74</v>
      </c>
      <c r="BA231" s="1" t="s">
        <v>74</v>
      </c>
      <c r="BB231" s="1">
        <v>511.0</v>
      </c>
      <c r="BC231" s="1">
        <v>511.0</v>
      </c>
      <c r="BD231" s="1" t="s">
        <v>74</v>
      </c>
      <c r="BE231" s="1" t="s">
        <v>2459</v>
      </c>
      <c r="BF231" s="2" t="str">
        <f>HYPERLINK("http://dx.doi.org/10.1016/j.tetlet.2019.01.016","http://dx.doi.org/10.1016/j.tetlet.2019.01.016")</f>
        <v>http://dx.doi.org/10.1016/j.tetlet.2019.01.016</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2460</v>
      </c>
      <c r="BT231" s="1" t="str">
        <f>HYPERLINK("https%3A%2F%2Fwww.webofscience.com%2Fwos%2Fwoscc%2Ffull-record%2FWOS:000457661800013","View Full Record in Web of Science")</f>
        <v>View Full Record in Web of Science</v>
      </c>
    </row>
    <row r="232" ht="12.75" customHeight="1">
      <c r="A232" s="1" t="s">
        <v>380</v>
      </c>
      <c r="B232" s="1" t="s">
        <v>2461</v>
      </c>
      <c r="C232" s="1" t="s">
        <v>74</v>
      </c>
      <c r="D232" s="1" t="s">
        <v>2462</v>
      </c>
      <c r="E232" s="1" t="s">
        <v>74</v>
      </c>
      <c r="F232" s="1" t="s">
        <v>2463</v>
      </c>
      <c r="G232" s="1" t="s">
        <v>74</v>
      </c>
      <c r="H232" s="1" t="s">
        <v>74</v>
      </c>
      <c r="I232" s="1" t="s">
        <v>2464</v>
      </c>
      <c r="J232" s="1" t="s">
        <v>2465</v>
      </c>
      <c r="K232" s="1" t="s">
        <v>74</v>
      </c>
      <c r="L232" s="1" t="s">
        <v>74</v>
      </c>
      <c r="M232" s="1" t="s">
        <v>74</v>
      </c>
      <c r="N232" s="1" t="s">
        <v>74</v>
      </c>
      <c r="O232" s="1" t="s">
        <v>74</v>
      </c>
      <c r="P232" s="1" t="s">
        <v>74</v>
      </c>
      <c r="Q232" s="1" t="s">
        <v>74</v>
      </c>
      <c r="R232" s="1" t="s">
        <v>74</v>
      </c>
      <c r="S232" s="1" t="s">
        <v>74</v>
      </c>
      <c r="T232" s="1" t="s">
        <v>74</v>
      </c>
      <c r="U232" s="1" t="s">
        <v>74</v>
      </c>
      <c r="V232" s="1" t="s">
        <v>74</v>
      </c>
      <c r="W232" s="1" t="s">
        <v>74</v>
      </c>
      <c r="X232" s="1" t="s">
        <v>74</v>
      </c>
      <c r="Y232" s="1" t="s">
        <v>74</v>
      </c>
      <c r="Z232" s="1" t="s">
        <v>74</v>
      </c>
      <c r="AA232" s="1" t="s">
        <v>74</v>
      </c>
      <c r="AB232" s="1" t="s">
        <v>74</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74</v>
      </c>
      <c r="AP232" s="1" t="s">
        <v>74</v>
      </c>
      <c r="AQ232" s="1" t="s">
        <v>2466</v>
      </c>
      <c r="AR232" s="1" t="s">
        <v>74</v>
      </c>
      <c r="AS232" s="1" t="s">
        <v>74</v>
      </c>
      <c r="AT232" s="1" t="s">
        <v>74</v>
      </c>
      <c r="AU232" s="1">
        <v>2018.0</v>
      </c>
      <c r="AV232" s="1" t="s">
        <v>74</v>
      </c>
      <c r="AW232" s="1" t="s">
        <v>74</v>
      </c>
      <c r="AX232" s="1" t="s">
        <v>74</v>
      </c>
      <c r="AY232" s="1" t="s">
        <v>74</v>
      </c>
      <c r="AZ232" s="1" t="s">
        <v>74</v>
      </c>
      <c r="BA232" s="1" t="s">
        <v>74</v>
      </c>
      <c r="BB232" s="1">
        <v>223.0</v>
      </c>
      <c r="BC232" s="1">
        <v>259.0</v>
      </c>
      <c r="BD232" s="1" t="s">
        <v>74</v>
      </c>
      <c r="BE232" s="1" t="s">
        <v>74</v>
      </c>
      <c r="BF232" s="1" t="s">
        <v>74</v>
      </c>
      <c r="BG232" s="1" t="s">
        <v>2467</v>
      </c>
      <c r="BH232" s="1" t="s">
        <v>74</v>
      </c>
      <c r="BI232" s="1" t="s">
        <v>74</v>
      </c>
      <c r="BJ232" s="1" t="s">
        <v>74</v>
      </c>
      <c r="BK232" s="1" t="s">
        <v>74</v>
      </c>
      <c r="BL232" s="1" t="s">
        <v>74</v>
      </c>
      <c r="BM232" s="1" t="s">
        <v>74</v>
      </c>
      <c r="BN232" s="1" t="s">
        <v>74</v>
      </c>
      <c r="BO232" s="1" t="s">
        <v>74</v>
      </c>
      <c r="BP232" s="1" t="s">
        <v>74</v>
      </c>
      <c r="BQ232" s="1" t="s">
        <v>74</v>
      </c>
      <c r="BR232" s="1" t="s">
        <v>74</v>
      </c>
      <c r="BS232" s="1" t="s">
        <v>2468</v>
      </c>
      <c r="BT232" s="1" t="str">
        <f>HYPERLINK("https%3A%2F%2Fwww.webofscience.com%2Fwos%2Fwoscc%2Ffull-record%2FWOS:000440942900009","View Full Record in Web of Science")</f>
        <v>View Full Record in Web of Science</v>
      </c>
    </row>
    <row r="233" ht="12.75" customHeight="1">
      <c r="A233" s="1" t="s">
        <v>72</v>
      </c>
      <c r="B233" s="1" t="s">
        <v>2469</v>
      </c>
      <c r="C233" s="1" t="s">
        <v>74</v>
      </c>
      <c r="D233" s="1" t="s">
        <v>74</v>
      </c>
      <c r="E233" s="1" t="s">
        <v>74</v>
      </c>
      <c r="F233" s="1" t="s">
        <v>2470</v>
      </c>
      <c r="G233" s="1" t="s">
        <v>74</v>
      </c>
      <c r="H233" s="1" t="s">
        <v>74</v>
      </c>
      <c r="I233" s="1" t="s">
        <v>2471</v>
      </c>
      <c r="J233" s="1" t="s">
        <v>2472</v>
      </c>
      <c r="K233" s="1" t="s">
        <v>74</v>
      </c>
      <c r="L233" s="1" t="s">
        <v>74</v>
      </c>
      <c r="M233" s="1" t="s">
        <v>74</v>
      </c>
      <c r="N233" s="1" t="s">
        <v>74</v>
      </c>
      <c r="O233" s="1" t="s">
        <v>74</v>
      </c>
      <c r="P233" s="1" t="s">
        <v>74</v>
      </c>
      <c r="Q233" s="1" t="s">
        <v>74</v>
      </c>
      <c r="R233" s="1" t="s">
        <v>74</v>
      </c>
      <c r="S233" s="1" t="s">
        <v>74</v>
      </c>
      <c r="T233" s="1" t="s">
        <v>74</v>
      </c>
      <c r="U233" s="1" t="s">
        <v>74</v>
      </c>
      <c r="V233" s="1" t="s">
        <v>2473</v>
      </c>
      <c r="W233" s="1" t="s">
        <v>74</v>
      </c>
      <c r="X233" s="1" t="s">
        <v>74</v>
      </c>
      <c r="Y233" s="1" t="s">
        <v>74</v>
      </c>
      <c r="Z233" s="1" t="s">
        <v>74</v>
      </c>
      <c r="AA233" s="1" t="s">
        <v>2474</v>
      </c>
      <c r="AB233" s="1" t="s">
        <v>2475</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2476</v>
      </c>
      <c r="AP233" s="1" t="s">
        <v>2477</v>
      </c>
      <c r="AQ233" s="1" t="s">
        <v>74</v>
      </c>
      <c r="AR233" s="1" t="s">
        <v>74</v>
      </c>
      <c r="AS233" s="1" t="s">
        <v>74</v>
      </c>
      <c r="AT233" s="1" t="s">
        <v>107</v>
      </c>
      <c r="AU233" s="1">
        <v>2017.0</v>
      </c>
      <c r="AV233" s="1">
        <v>17.0</v>
      </c>
      <c r="AW233" s="1">
        <v>5.0</v>
      </c>
      <c r="AX233" s="1" t="s">
        <v>74</v>
      </c>
      <c r="AY233" s="1" t="s">
        <v>74</v>
      </c>
      <c r="AZ233" s="1" t="s">
        <v>74</v>
      </c>
      <c r="BA233" s="1" t="s">
        <v>74</v>
      </c>
      <c r="BB233" s="1">
        <v>763.0</v>
      </c>
      <c r="BC233" s="1">
        <v>766.0</v>
      </c>
      <c r="BD233" s="1" t="s">
        <v>74</v>
      </c>
      <c r="BE233" s="1" t="s">
        <v>2478</v>
      </c>
      <c r="BF233" s="2" t="str">
        <f>HYPERLINK("http://dx.doi.org/10.1016/j.cap.2017.02.021","http://dx.doi.org/10.1016/j.cap.2017.02.021")</f>
        <v>http://dx.doi.org/10.1016/j.cap.2017.02.021</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2479</v>
      </c>
      <c r="BT233" s="1" t="str">
        <f>HYPERLINK("https%3A%2F%2Fwww.webofscience.com%2Fwos%2Fwoscc%2Ffull-record%2FWOS:000400210800025","View Full Record in Web of Science")</f>
        <v>View Full Record in Web of Science</v>
      </c>
    </row>
    <row r="234" ht="12.75" customHeight="1">
      <c r="A234" s="1" t="s">
        <v>72</v>
      </c>
      <c r="B234" s="1" t="s">
        <v>2480</v>
      </c>
      <c r="C234" s="1" t="s">
        <v>74</v>
      </c>
      <c r="D234" s="1" t="s">
        <v>74</v>
      </c>
      <c r="E234" s="1" t="s">
        <v>74</v>
      </c>
      <c r="F234" s="1" t="s">
        <v>2481</v>
      </c>
      <c r="G234" s="1" t="s">
        <v>74</v>
      </c>
      <c r="H234" s="1" t="s">
        <v>74</v>
      </c>
      <c r="I234" s="1" t="s">
        <v>2482</v>
      </c>
      <c r="J234" s="1" t="s">
        <v>2483</v>
      </c>
      <c r="K234" s="1" t="s">
        <v>74</v>
      </c>
      <c r="L234" s="1" t="s">
        <v>74</v>
      </c>
      <c r="M234" s="1" t="s">
        <v>74</v>
      </c>
      <c r="N234" s="1" t="s">
        <v>74</v>
      </c>
      <c r="O234" s="1" t="s">
        <v>74</v>
      </c>
      <c r="P234" s="1" t="s">
        <v>74</v>
      </c>
      <c r="Q234" s="1" t="s">
        <v>74</v>
      </c>
      <c r="R234" s="1" t="s">
        <v>74</v>
      </c>
      <c r="S234" s="1" t="s">
        <v>74</v>
      </c>
      <c r="T234" s="1" t="s">
        <v>74</v>
      </c>
      <c r="U234" s="1" t="s">
        <v>74</v>
      </c>
      <c r="V234" s="1" t="s">
        <v>2484</v>
      </c>
      <c r="W234" s="1" t="s">
        <v>74</v>
      </c>
      <c r="X234" s="1" t="s">
        <v>74</v>
      </c>
      <c r="Y234" s="1" t="s">
        <v>74</v>
      </c>
      <c r="Z234" s="1" t="s">
        <v>74</v>
      </c>
      <c r="AA234" s="1" t="s">
        <v>2485</v>
      </c>
      <c r="AB234" s="1" t="s">
        <v>74</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2486</v>
      </c>
      <c r="AP234" s="1" t="s">
        <v>2487</v>
      </c>
      <c r="AQ234" s="1" t="s">
        <v>74</v>
      </c>
      <c r="AR234" s="1" t="s">
        <v>74</v>
      </c>
      <c r="AS234" s="1" t="s">
        <v>74</v>
      </c>
      <c r="AT234" s="1" t="s">
        <v>2488</v>
      </c>
      <c r="AU234" s="1">
        <v>2016.0</v>
      </c>
      <c r="AV234" s="1">
        <v>55.0</v>
      </c>
      <c r="AW234" s="1">
        <v>47.0</v>
      </c>
      <c r="AX234" s="1" t="s">
        <v>74</v>
      </c>
      <c r="AY234" s="1" t="s">
        <v>74</v>
      </c>
      <c r="AZ234" s="1" t="s">
        <v>74</v>
      </c>
      <c r="BA234" s="1" t="s">
        <v>74</v>
      </c>
      <c r="BB234" s="1">
        <v>14510.0</v>
      </c>
      <c r="BC234" s="1">
        <v>14521.0</v>
      </c>
      <c r="BD234" s="1" t="s">
        <v>74</v>
      </c>
      <c r="BE234" s="1" t="s">
        <v>2489</v>
      </c>
      <c r="BF234" s="2" t="str">
        <f>HYPERLINK("http://dx.doi.org/10.1002/anie.201604311","http://dx.doi.org/10.1002/anie.201604311")</f>
        <v>http://dx.doi.org/10.1002/anie.201604311</v>
      </c>
      <c r="BG234" s="1" t="s">
        <v>74</v>
      </c>
      <c r="BH234" s="1" t="s">
        <v>74</v>
      </c>
      <c r="BI234" s="1" t="s">
        <v>74</v>
      </c>
      <c r="BJ234" s="1" t="s">
        <v>74</v>
      </c>
      <c r="BK234" s="1" t="s">
        <v>74</v>
      </c>
      <c r="BL234" s="1" t="s">
        <v>74</v>
      </c>
      <c r="BM234" s="1" t="s">
        <v>74</v>
      </c>
      <c r="BN234" s="1">
        <v>2.7666439E7</v>
      </c>
      <c r="BO234" s="1" t="s">
        <v>74</v>
      </c>
      <c r="BP234" s="1" t="s">
        <v>74</v>
      </c>
      <c r="BQ234" s="1" t="s">
        <v>74</v>
      </c>
      <c r="BR234" s="1" t="s">
        <v>74</v>
      </c>
      <c r="BS234" s="1" t="s">
        <v>2490</v>
      </c>
      <c r="BT234" s="1" t="str">
        <f>HYPERLINK("https%3A%2F%2Fwww.webofscience.com%2Fwos%2Fwoscc%2Ffull-record%2FWOS:000388252700004","View Full Record in Web of Science")</f>
        <v>View Full Record in Web of Science</v>
      </c>
    </row>
    <row r="235" ht="12.75" customHeight="1">
      <c r="A235" s="1" t="s">
        <v>72</v>
      </c>
      <c r="B235" s="1" t="s">
        <v>2491</v>
      </c>
      <c r="C235" s="1" t="s">
        <v>74</v>
      </c>
      <c r="D235" s="1" t="s">
        <v>74</v>
      </c>
      <c r="E235" s="1" t="s">
        <v>74</v>
      </c>
      <c r="F235" s="1" t="s">
        <v>2492</v>
      </c>
      <c r="G235" s="1" t="s">
        <v>74</v>
      </c>
      <c r="H235" s="1" t="s">
        <v>74</v>
      </c>
      <c r="I235" s="1" t="s">
        <v>2493</v>
      </c>
      <c r="J235" s="1" t="s">
        <v>2494</v>
      </c>
      <c r="K235" s="1" t="s">
        <v>74</v>
      </c>
      <c r="L235" s="1" t="s">
        <v>74</v>
      </c>
      <c r="M235" s="1" t="s">
        <v>74</v>
      </c>
      <c r="N235" s="1" t="s">
        <v>74</v>
      </c>
      <c r="O235" s="1" t="s">
        <v>2495</v>
      </c>
      <c r="P235" s="1" t="s">
        <v>2496</v>
      </c>
      <c r="Q235" s="1" t="s">
        <v>2497</v>
      </c>
      <c r="R235" s="1" t="s">
        <v>2498</v>
      </c>
      <c r="S235" s="1" t="s">
        <v>74</v>
      </c>
      <c r="T235" s="1" t="s">
        <v>74</v>
      </c>
      <c r="U235" s="1" t="s">
        <v>74</v>
      </c>
      <c r="V235" s="1" t="s">
        <v>2499</v>
      </c>
      <c r="W235" s="1" t="s">
        <v>74</v>
      </c>
      <c r="X235" s="1" t="s">
        <v>74</v>
      </c>
      <c r="Y235" s="1" t="s">
        <v>74</v>
      </c>
      <c r="Z235" s="1" t="s">
        <v>74</v>
      </c>
      <c r="AA235" s="1" t="s">
        <v>2500</v>
      </c>
      <c r="AB235" s="1" t="s">
        <v>2501</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2502</v>
      </c>
      <c r="AP235" s="1" t="s">
        <v>2503</v>
      </c>
      <c r="AQ235" s="1" t="s">
        <v>74</v>
      </c>
      <c r="AR235" s="1" t="s">
        <v>74</v>
      </c>
      <c r="AS235" s="1" t="s">
        <v>74</v>
      </c>
      <c r="AT235" s="1" t="s">
        <v>596</v>
      </c>
      <c r="AU235" s="1">
        <v>2016.0</v>
      </c>
      <c r="AV235" s="1">
        <v>227.0</v>
      </c>
      <c r="AW235" s="1">
        <v>11.0</v>
      </c>
      <c r="AX235" s="1" t="s">
        <v>74</v>
      </c>
      <c r="AY235" s="1" t="s">
        <v>74</v>
      </c>
      <c r="AZ235" s="1" t="s">
        <v>297</v>
      </c>
      <c r="BA235" s="1" t="s">
        <v>74</v>
      </c>
      <c r="BB235" s="1">
        <v>3239.0</v>
      </c>
      <c r="BC235" s="1">
        <v>3246.0</v>
      </c>
      <c r="BD235" s="1" t="s">
        <v>74</v>
      </c>
      <c r="BE235" s="1" t="s">
        <v>2504</v>
      </c>
      <c r="BF235" s="2" t="str">
        <f>HYPERLINK("http://dx.doi.org/10.1007/s00707-015-1540-y","http://dx.doi.org/10.1007/s00707-015-1540-y")</f>
        <v>http://dx.doi.org/10.1007/s00707-015-1540-y</v>
      </c>
      <c r="BG235" s="1" t="s">
        <v>74</v>
      </c>
      <c r="BH235" s="1" t="s">
        <v>74</v>
      </c>
      <c r="BI235" s="1" t="s">
        <v>74</v>
      </c>
      <c r="BJ235" s="1" t="s">
        <v>74</v>
      </c>
      <c r="BK235" s="1" t="s">
        <v>74</v>
      </c>
      <c r="BL235" s="1" t="s">
        <v>74</v>
      </c>
      <c r="BM235" s="1" t="s">
        <v>74</v>
      </c>
      <c r="BN235" s="1" t="s">
        <v>74</v>
      </c>
      <c r="BO235" s="1" t="s">
        <v>74</v>
      </c>
      <c r="BP235" s="1" t="s">
        <v>74</v>
      </c>
      <c r="BQ235" s="1" t="s">
        <v>74</v>
      </c>
      <c r="BR235" s="1" t="s">
        <v>74</v>
      </c>
      <c r="BS235" s="1" t="s">
        <v>2505</v>
      </c>
      <c r="BT235" s="1" t="str">
        <f>HYPERLINK("https%3A%2F%2Fwww.webofscience.com%2Fwos%2Fwoscc%2Ffull-record%2FWOS:000387422100012","View Full Record in Web of Science")</f>
        <v>View Full Record in Web of Science</v>
      </c>
    </row>
    <row r="236" ht="12.75" customHeight="1">
      <c r="A236" s="1" t="s">
        <v>72</v>
      </c>
      <c r="B236" s="1" t="s">
        <v>2506</v>
      </c>
      <c r="C236" s="1" t="s">
        <v>74</v>
      </c>
      <c r="D236" s="1" t="s">
        <v>74</v>
      </c>
      <c r="E236" s="1" t="s">
        <v>74</v>
      </c>
      <c r="F236" s="1" t="s">
        <v>2507</v>
      </c>
      <c r="G236" s="1" t="s">
        <v>74</v>
      </c>
      <c r="H236" s="1" t="s">
        <v>74</v>
      </c>
      <c r="I236" s="1" t="s">
        <v>2508</v>
      </c>
      <c r="J236" s="1" t="s">
        <v>2509</v>
      </c>
      <c r="K236" s="1" t="s">
        <v>74</v>
      </c>
      <c r="L236" s="1" t="s">
        <v>74</v>
      </c>
      <c r="M236" s="1" t="s">
        <v>74</v>
      </c>
      <c r="N236" s="1" t="s">
        <v>74</v>
      </c>
      <c r="O236" s="1" t="s">
        <v>74</v>
      </c>
      <c r="P236" s="1" t="s">
        <v>74</v>
      </c>
      <c r="Q236" s="1" t="s">
        <v>74</v>
      </c>
      <c r="R236" s="1" t="s">
        <v>74</v>
      </c>
      <c r="S236" s="1" t="s">
        <v>74</v>
      </c>
      <c r="T236" s="1" t="s">
        <v>74</v>
      </c>
      <c r="U236" s="1" t="s">
        <v>74</v>
      </c>
      <c r="V236" s="1" t="s">
        <v>2510</v>
      </c>
      <c r="W236" s="1" t="s">
        <v>74</v>
      </c>
      <c r="X236" s="1" t="s">
        <v>74</v>
      </c>
      <c r="Y236" s="1" t="s">
        <v>74</v>
      </c>
      <c r="Z236" s="1" t="s">
        <v>74</v>
      </c>
      <c r="AA236" s="1" t="s">
        <v>2511</v>
      </c>
      <c r="AB236" s="1" t="s">
        <v>2512</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2513</v>
      </c>
      <c r="AP236" s="1" t="s">
        <v>2514</v>
      </c>
      <c r="AQ236" s="1" t="s">
        <v>74</v>
      </c>
      <c r="AR236" s="1" t="s">
        <v>74</v>
      </c>
      <c r="AS236" s="1" t="s">
        <v>74</v>
      </c>
      <c r="AT236" s="1" t="s">
        <v>212</v>
      </c>
      <c r="AU236" s="1">
        <v>2013.0</v>
      </c>
      <c r="AV236" s="1">
        <v>261.0</v>
      </c>
      <c r="AW236" s="1" t="s">
        <v>74</v>
      </c>
      <c r="AX236" s="1" t="s">
        <v>74</v>
      </c>
      <c r="AY236" s="1" t="s">
        <v>74</v>
      </c>
      <c r="AZ236" s="1" t="s">
        <v>74</v>
      </c>
      <c r="BA236" s="1" t="s">
        <v>74</v>
      </c>
      <c r="BB236" s="1">
        <v>602.0</v>
      </c>
      <c r="BC236" s="1">
        <v>613.0</v>
      </c>
      <c r="BD236" s="1" t="s">
        <v>74</v>
      </c>
      <c r="BE236" s="1" t="s">
        <v>2515</v>
      </c>
      <c r="BF236" s="2" t="str">
        <f>HYPERLINK("http://dx.doi.org/10.1016/j.jhazmat.2013.07.073","http://dx.doi.org/10.1016/j.jhazmat.2013.07.073")</f>
        <v>http://dx.doi.org/10.1016/j.jhazmat.2013.07.073</v>
      </c>
      <c r="BG236" s="1" t="s">
        <v>74</v>
      </c>
      <c r="BH236" s="1" t="s">
        <v>74</v>
      </c>
      <c r="BI236" s="1" t="s">
        <v>74</v>
      </c>
      <c r="BJ236" s="1" t="s">
        <v>74</v>
      </c>
      <c r="BK236" s="1" t="s">
        <v>74</v>
      </c>
      <c r="BL236" s="1" t="s">
        <v>74</v>
      </c>
      <c r="BM236" s="1" t="s">
        <v>74</v>
      </c>
      <c r="BN236" s="1">
        <v>2.3995557E7</v>
      </c>
      <c r="BO236" s="1" t="s">
        <v>74</v>
      </c>
      <c r="BP236" s="1" t="s">
        <v>74</v>
      </c>
      <c r="BQ236" s="1" t="s">
        <v>74</v>
      </c>
      <c r="BR236" s="1" t="s">
        <v>74</v>
      </c>
      <c r="BS236" s="1" t="s">
        <v>2516</v>
      </c>
      <c r="BT236" s="1" t="str">
        <f>HYPERLINK("https%3A%2F%2Fwww.webofscience.com%2Fwos%2Fwoscc%2Ffull-record%2FWOS:000328177300068","View Full Record in Web of Science")</f>
        <v>View Full Record in Web of Science</v>
      </c>
    </row>
    <row r="237" ht="12.75" customHeight="1">
      <c r="A237" s="1" t="s">
        <v>72</v>
      </c>
      <c r="B237" s="1" t="s">
        <v>2517</v>
      </c>
      <c r="C237" s="1" t="s">
        <v>74</v>
      </c>
      <c r="D237" s="1" t="s">
        <v>74</v>
      </c>
      <c r="E237" s="1" t="s">
        <v>74</v>
      </c>
      <c r="F237" s="1" t="s">
        <v>2518</v>
      </c>
      <c r="G237" s="1" t="s">
        <v>74</v>
      </c>
      <c r="H237" s="1" t="s">
        <v>74</v>
      </c>
      <c r="I237" s="1" t="s">
        <v>2519</v>
      </c>
      <c r="J237" s="1" t="s">
        <v>771</v>
      </c>
      <c r="K237" s="1" t="s">
        <v>74</v>
      </c>
      <c r="L237" s="1" t="s">
        <v>74</v>
      </c>
      <c r="M237" s="1" t="s">
        <v>74</v>
      </c>
      <c r="N237" s="1" t="s">
        <v>74</v>
      </c>
      <c r="O237" s="1" t="s">
        <v>74</v>
      </c>
      <c r="P237" s="1" t="s">
        <v>74</v>
      </c>
      <c r="Q237" s="1" t="s">
        <v>74</v>
      </c>
      <c r="R237" s="1" t="s">
        <v>74</v>
      </c>
      <c r="S237" s="1" t="s">
        <v>74</v>
      </c>
      <c r="T237" s="1" t="s">
        <v>74</v>
      </c>
      <c r="U237" s="1" t="s">
        <v>74</v>
      </c>
      <c r="V237" s="1" t="s">
        <v>2520</v>
      </c>
      <c r="W237" s="1" t="s">
        <v>74</v>
      </c>
      <c r="X237" s="1" t="s">
        <v>74</v>
      </c>
      <c r="Y237" s="1" t="s">
        <v>74</v>
      </c>
      <c r="Z237" s="1" t="s">
        <v>74</v>
      </c>
      <c r="AA237" s="1" t="s">
        <v>2521</v>
      </c>
      <c r="AB237" s="1" t="s">
        <v>2522</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775</v>
      </c>
      <c r="AP237" s="1" t="s">
        <v>776</v>
      </c>
      <c r="AQ237" s="1" t="s">
        <v>74</v>
      </c>
      <c r="AR237" s="1" t="s">
        <v>74</v>
      </c>
      <c r="AS237" s="1" t="s">
        <v>74</v>
      </c>
      <c r="AT237" s="1" t="s">
        <v>2015</v>
      </c>
      <c r="AU237" s="1">
        <v>2012.0</v>
      </c>
      <c r="AV237" s="1">
        <v>39.0</v>
      </c>
      <c r="AW237" s="1">
        <v>3.0</v>
      </c>
      <c r="AX237" s="1" t="s">
        <v>74</v>
      </c>
      <c r="AY237" s="1" t="s">
        <v>74</v>
      </c>
      <c r="AZ237" s="1" t="s">
        <v>74</v>
      </c>
      <c r="BA237" s="1" t="s">
        <v>74</v>
      </c>
      <c r="BB237" s="1">
        <v>3526.0</v>
      </c>
      <c r="BC237" s="1">
        <v>3536.0</v>
      </c>
      <c r="BD237" s="1" t="s">
        <v>74</v>
      </c>
      <c r="BE237" s="1" t="s">
        <v>2523</v>
      </c>
      <c r="BF237" s="2" t="str">
        <f>HYPERLINK("http://dx.doi.org/10.1016/j.eswa.2011.09.043","http://dx.doi.org/10.1016/j.eswa.2011.09.043")</f>
        <v>http://dx.doi.org/10.1016/j.eswa.2011.09.043</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2524</v>
      </c>
      <c r="BT237" s="1" t="str">
        <f>HYPERLINK("https%3A%2F%2Fwww.webofscience.com%2Fwos%2Fwoscc%2Ffull-record%2FWOS:000297823300136","View Full Record in Web of Science")</f>
        <v>View Full Record in Web of Science</v>
      </c>
    </row>
    <row r="238" ht="12.75" customHeight="1">
      <c r="A238" s="1" t="s">
        <v>72</v>
      </c>
      <c r="B238" s="1" t="s">
        <v>2525</v>
      </c>
      <c r="C238" s="1" t="s">
        <v>74</v>
      </c>
      <c r="D238" s="1" t="s">
        <v>74</v>
      </c>
      <c r="E238" s="1" t="s">
        <v>74</v>
      </c>
      <c r="F238" s="1" t="s">
        <v>2526</v>
      </c>
      <c r="G238" s="1" t="s">
        <v>74</v>
      </c>
      <c r="H238" s="1" t="s">
        <v>74</v>
      </c>
      <c r="I238" s="1" t="s">
        <v>2527</v>
      </c>
      <c r="J238" s="1" t="s">
        <v>664</v>
      </c>
      <c r="K238" s="1" t="s">
        <v>74</v>
      </c>
      <c r="L238" s="1" t="s">
        <v>74</v>
      </c>
      <c r="M238" s="1" t="s">
        <v>74</v>
      </c>
      <c r="N238" s="1" t="s">
        <v>74</v>
      </c>
      <c r="O238" s="1" t="s">
        <v>74</v>
      </c>
      <c r="P238" s="1" t="s">
        <v>74</v>
      </c>
      <c r="Q238" s="1" t="s">
        <v>74</v>
      </c>
      <c r="R238" s="1" t="s">
        <v>74</v>
      </c>
      <c r="S238" s="1" t="s">
        <v>74</v>
      </c>
      <c r="T238" s="1" t="s">
        <v>74</v>
      </c>
      <c r="U238" s="1" t="s">
        <v>74</v>
      </c>
      <c r="V238" s="1" t="s">
        <v>2528</v>
      </c>
      <c r="W238" s="1" t="s">
        <v>74</v>
      </c>
      <c r="X238" s="1" t="s">
        <v>74</v>
      </c>
      <c r="Y238" s="1" t="s">
        <v>74</v>
      </c>
      <c r="Z238" s="1" t="s">
        <v>74</v>
      </c>
      <c r="AA238" s="1" t="s">
        <v>2529</v>
      </c>
      <c r="AB238" s="1" t="s">
        <v>2530</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2531</v>
      </c>
      <c r="AP238" s="1" t="s">
        <v>2532</v>
      </c>
      <c r="AQ238" s="1" t="s">
        <v>74</v>
      </c>
      <c r="AR238" s="1" t="s">
        <v>74</v>
      </c>
      <c r="AS238" s="1" t="s">
        <v>74</v>
      </c>
      <c r="AT238" s="1" t="s">
        <v>2015</v>
      </c>
      <c r="AU238" s="1">
        <v>2012.0</v>
      </c>
      <c r="AV238" s="1">
        <v>85.0</v>
      </c>
      <c r="AW238" s="1">
        <v>2.0</v>
      </c>
      <c r="AX238" s="1" t="s">
        <v>74</v>
      </c>
      <c r="AY238" s="1" t="s">
        <v>74</v>
      </c>
      <c r="AZ238" s="1" t="s">
        <v>74</v>
      </c>
      <c r="BA238" s="1" t="s">
        <v>74</v>
      </c>
      <c r="BB238" s="1" t="s">
        <v>74</v>
      </c>
      <c r="BC238" s="1" t="s">
        <v>74</v>
      </c>
      <c r="BD238" s="1">
        <v>22320.0</v>
      </c>
      <c r="BE238" s="1" t="s">
        <v>2533</v>
      </c>
      <c r="BF238" s="2" t="str">
        <f>HYPERLINK("http://dx.doi.org/10.1103/PhysRevA.85.022320","http://dx.doi.org/10.1103/PhysRevA.85.022320")</f>
        <v>http://dx.doi.org/10.1103/PhysRevA.85.022320</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2534</v>
      </c>
      <c r="BT238" s="1" t="str">
        <f>HYPERLINK("https%3A%2F%2Fwww.webofscience.com%2Fwos%2Fwoscc%2Ffull-record%2FWOS:000300417300001","View Full Record in Web of Science")</f>
        <v>View Full Record in Web of Science</v>
      </c>
    </row>
    <row r="239" ht="12.75" customHeight="1">
      <c r="A239" s="1" t="s">
        <v>72</v>
      </c>
      <c r="B239" s="1" t="s">
        <v>2535</v>
      </c>
      <c r="C239" s="1" t="s">
        <v>74</v>
      </c>
      <c r="D239" s="1" t="s">
        <v>74</v>
      </c>
      <c r="E239" s="1" t="s">
        <v>74</v>
      </c>
      <c r="F239" s="1" t="s">
        <v>2536</v>
      </c>
      <c r="G239" s="1" t="s">
        <v>74</v>
      </c>
      <c r="H239" s="1" t="s">
        <v>74</v>
      </c>
      <c r="I239" s="1" t="s">
        <v>2537</v>
      </c>
      <c r="J239" s="1" t="s">
        <v>2538</v>
      </c>
      <c r="K239" s="1" t="s">
        <v>74</v>
      </c>
      <c r="L239" s="1" t="s">
        <v>74</v>
      </c>
      <c r="M239" s="1" t="s">
        <v>74</v>
      </c>
      <c r="N239" s="1" t="s">
        <v>74</v>
      </c>
      <c r="O239" s="1" t="s">
        <v>74</v>
      </c>
      <c r="P239" s="1" t="s">
        <v>74</v>
      </c>
      <c r="Q239" s="1" t="s">
        <v>74</v>
      </c>
      <c r="R239" s="1" t="s">
        <v>74</v>
      </c>
      <c r="S239" s="1" t="s">
        <v>74</v>
      </c>
      <c r="T239" s="1" t="s">
        <v>74</v>
      </c>
      <c r="U239" s="1" t="s">
        <v>74</v>
      </c>
      <c r="V239" s="1" t="s">
        <v>74</v>
      </c>
      <c r="W239" s="1" t="s">
        <v>74</v>
      </c>
      <c r="X239" s="1" t="s">
        <v>74</v>
      </c>
      <c r="Y239" s="1" t="s">
        <v>74</v>
      </c>
      <c r="Z239" s="1" t="s">
        <v>74</v>
      </c>
      <c r="AA239" s="1" t="s">
        <v>74</v>
      </c>
      <c r="AB239" s="1" t="s">
        <v>74</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2539</v>
      </c>
      <c r="AP239" s="1" t="s">
        <v>2540</v>
      </c>
      <c r="AQ239" s="1" t="s">
        <v>74</v>
      </c>
      <c r="AR239" s="1" t="s">
        <v>74</v>
      </c>
      <c r="AS239" s="1" t="s">
        <v>74</v>
      </c>
      <c r="AT239" s="1" t="s">
        <v>647</v>
      </c>
      <c r="AU239" s="1">
        <v>2007.0</v>
      </c>
      <c r="AV239" s="1">
        <v>103.0</v>
      </c>
      <c r="AW239" s="1">
        <v>2.0</v>
      </c>
      <c r="AX239" s="1" t="s">
        <v>74</v>
      </c>
      <c r="AY239" s="1" t="s">
        <v>74</v>
      </c>
      <c r="AZ239" s="1" t="s">
        <v>74</v>
      </c>
      <c r="BA239" s="1" t="s">
        <v>74</v>
      </c>
      <c r="BB239" s="1">
        <v>724.0</v>
      </c>
      <c r="BC239" s="1">
        <v>724.0</v>
      </c>
      <c r="BD239" s="1" t="s">
        <v>74</v>
      </c>
      <c r="BE239" s="1" t="s">
        <v>74</v>
      </c>
      <c r="BF239" s="1" t="s">
        <v>74</v>
      </c>
      <c r="BG239" s="1" t="s">
        <v>74</v>
      </c>
      <c r="BH239" s="1" t="s">
        <v>74</v>
      </c>
      <c r="BI239" s="1" t="s">
        <v>74</v>
      </c>
      <c r="BJ239" s="1" t="s">
        <v>74</v>
      </c>
      <c r="BK239" s="1" t="s">
        <v>74</v>
      </c>
      <c r="BL239" s="1" t="s">
        <v>74</v>
      </c>
      <c r="BM239" s="1" t="s">
        <v>74</v>
      </c>
      <c r="BN239" s="1">
        <v>1.7768784E7</v>
      </c>
      <c r="BO239" s="1" t="s">
        <v>74</v>
      </c>
      <c r="BP239" s="1" t="s">
        <v>74</v>
      </c>
      <c r="BQ239" s="1" t="s">
        <v>74</v>
      </c>
      <c r="BR239" s="1" t="s">
        <v>74</v>
      </c>
      <c r="BS239" s="1" t="s">
        <v>2541</v>
      </c>
      <c r="BT239" s="1" t="str">
        <f>HYPERLINK("https%3A%2F%2Fwww.webofscience.com%2Fwos%2Fwoscc%2Ffull-record%2FWOS:000248459600046","View Full Record in Web of Science")</f>
        <v>View Full Record in Web of Science</v>
      </c>
    </row>
    <row r="240" ht="12.75" customHeight="1">
      <c r="A240" s="1" t="s">
        <v>346</v>
      </c>
      <c r="B240" s="1" t="s">
        <v>2542</v>
      </c>
      <c r="C240" s="1" t="s">
        <v>74</v>
      </c>
      <c r="D240" s="1" t="s">
        <v>2543</v>
      </c>
      <c r="E240" s="1" t="s">
        <v>74</v>
      </c>
      <c r="F240" s="1" t="s">
        <v>2544</v>
      </c>
      <c r="G240" s="1" t="s">
        <v>74</v>
      </c>
      <c r="H240" s="1" t="s">
        <v>74</v>
      </c>
      <c r="I240" s="1" t="s">
        <v>2545</v>
      </c>
      <c r="J240" s="1" t="s">
        <v>2546</v>
      </c>
      <c r="K240" s="1" t="s">
        <v>1807</v>
      </c>
      <c r="L240" s="1" t="s">
        <v>74</v>
      </c>
      <c r="M240" s="1" t="s">
        <v>74</v>
      </c>
      <c r="N240" s="1" t="s">
        <v>74</v>
      </c>
      <c r="O240" s="1" t="s">
        <v>2547</v>
      </c>
      <c r="P240" s="1" t="s">
        <v>2548</v>
      </c>
      <c r="Q240" s="1" t="s">
        <v>2549</v>
      </c>
      <c r="R240" s="1" t="s">
        <v>2550</v>
      </c>
      <c r="S240" s="1" t="s">
        <v>74</v>
      </c>
      <c r="T240" s="1" t="s">
        <v>74</v>
      </c>
      <c r="U240" s="1" t="s">
        <v>74</v>
      </c>
      <c r="V240" s="1" t="s">
        <v>2551</v>
      </c>
      <c r="W240" s="1" t="s">
        <v>74</v>
      </c>
      <c r="X240" s="1" t="s">
        <v>74</v>
      </c>
      <c r="Y240" s="1" t="s">
        <v>74</v>
      </c>
      <c r="Z240" s="1" t="s">
        <v>74</v>
      </c>
      <c r="AA240" s="1" t="s">
        <v>74</v>
      </c>
      <c r="AB240" s="1" t="s">
        <v>74</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1813</v>
      </c>
      <c r="AP240" s="1" t="s">
        <v>1814</v>
      </c>
      <c r="AQ240" s="1" t="s">
        <v>2552</v>
      </c>
      <c r="AR240" s="1" t="s">
        <v>74</v>
      </c>
      <c r="AS240" s="1" t="s">
        <v>74</v>
      </c>
      <c r="AT240" s="1" t="s">
        <v>74</v>
      </c>
      <c r="AU240" s="1">
        <v>2007.0</v>
      </c>
      <c r="AV240" s="1">
        <v>6538.0</v>
      </c>
      <c r="AW240" s="1" t="s">
        <v>74</v>
      </c>
      <c r="AX240" s="1" t="s">
        <v>74</v>
      </c>
      <c r="AY240" s="1" t="s">
        <v>74</v>
      </c>
      <c r="AZ240" s="1" t="s">
        <v>74</v>
      </c>
      <c r="BA240" s="1" t="s">
        <v>74</v>
      </c>
      <c r="BB240" s="1" t="s">
        <v>74</v>
      </c>
      <c r="BC240" s="1" t="s">
        <v>74</v>
      </c>
      <c r="BD240" s="1" t="s">
        <v>2553</v>
      </c>
      <c r="BE240" s="1" t="s">
        <v>2554</v>
      </c>
      <c r="BF240" s="2" t="str">
        <f>HYPERLINK("http://dx.doi.org/10.1117/12.718650","http://dx.doi.org/10.1117/12.718650")</f>
        <v>http://dx.doi.org/10.1117/12.718650</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2555</v>
      </c>
      <c r="BT240" s="1" t="str">
        <f>HYPERLINK("https%3A%2F%2Fwww.webofscience.com%2Fwos%2Fwoscc%2Ffull-record%2FWOS:000247902200033","View Full Record in Web of Science")</f>
        <v>View Full Record in Web of Science</v>
      </c>
    </row>
    <row r="241" ht="12.75" customHeight="1">
      <c r="A241" s="1" t="s">
        <v>475</v>
      </c>
      <c r="B241" s="1" t="s">
        <v>2556</v>
      </c>
      <c r="C241" s="1" t="s">
        <v>74</v>
      </c>
      <c r="D241" s="1" t="s">
        <v>2557</v>
      </c>
      <c r="E241" s="1" t="s">
        <v>74</v>
      </c>
      <c r="F241" s="1" t="s">
        <v>2556</v>
      </c>
      <c r="G241" s="1" t="s">
        <v>74</v>
      </c>
      <c r="H241" s="1" t="s">
        <v>74</v>
      </c>
      <c r="I241" s="1" t="s">
        <v>2558</v>
      </c>
      <c r="J241" s="1" t="s">
        <v>2559</v>
      </c>
      <c r="K241" s="1" t="s">
        <v>2560</v>
      </c>
      <c r="L241" s="1" t="s">
        <v>74</v>
      </c>
      <c r="M241" s="1" t="s">
        <v>74</v>
      </c>
      <c r="N241" s="1" t="s">
        <v>74</v>
      </c>
      <c r="O241" s="1" t="s">
        <v>2561</v>
      </c>
      <c r="P241" s="1" t="s">
        <v>2562</v>
      </c>
      <c r="Q241" s="1" t="s">
        <v>2563</v>
      </c>
      <c r="R241" s="1" t="s">
        <v>74</v>
      </c>
      <c r="S241" s="1" t="s">
        <v>74</v>
      </c>
      <c r="T241" s="1" t="s">
        <v>74</v>
      </c>
      <c r="U241" s="1" t="s">
        <v>74</v>
      </c>
      <c r="V241" s="1" t="s">
        <v>2564</v>
      </c>
      <c r="W241" s="1" t="s">
        <v>74</v>
      </c>
      <c r="X241" s="1" t="s">
        <v>74</v>
      </c>
      <c r="Y241" s="1" t="s">
        <v>74</v>
      </c>
      <c r="Z241" s="1" t="s">
        <v>74</v>
      </c>
      <c r="AA241" s="1" t="s">
        <v>74</v>
      </c>
      <c r="AB241" s="1" t="s">
        <v>74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1903</v>
      </c>
      <c r="AP241" s="1" t="s">
        <v>1904</v>
      </c>
      <c r="AQ241" s="1" t="s">
        <v>2565</v>
      </c>
      <c r="AR241" s="1" t="s">
        <v>74</v>
      </c>
      <c r="AS241" s="1" t="s">
        <v>74</v>
      </c>
      <c r="AT241" s="1" t="s">
        <v>74</v>
      </c>
      <c r="AU241" s="1">
        <v>2005.0</v>
      </c>
      <c r="AV241" s="1">
        <v>3773.0</v>
      </c>
      <c r="AW241" s="1" t="s">
        <v>74</v>
      </c>
      <c r="AX241" s="1" t="s">
        <v>74</v>
      </c>
      <c r="AY241" s="1" t="s">
        <v>74</v>
      </c>
      <c r="AZ241" s="1" t="s">
        <v>74</v>
      </c>
      <c r="BA241" s="1" t="s">
        <v>74</v>
      </c>
      <c r="BB241" s="1">
        <v>205.0</v>
      </c>
      <c r="BC241" s="1">
        <v>213.0</v>
      </c>
      <c r="BD241" s="1" t="s">
        <v>74</v>
      </c>
      <c r="BE241" s="1" t="s">
        <v>74</v>
      </c>
      <c r="BF241" s="1" t="s">
        <v>74</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2566</v>
      </c>
      <c r="BT241" s="1" t="str">
        <f>HYPERLINK("https%3A%2F%2Fwww.webofscience.com%2Fwos%2Fwoscc%2Ffull-record%2FWOS:000234341500022","View Full Record in Web of Science")</f>
        <v>View Full Record in Web of Science</v>
      </c>
    </row>
    <row r="242" ht="12.75" customHeight="1">
      <c r="A242" s="1" t="s">
        <v>72</v>
      </c>
      <c r="B242" s="1" t="s">
        <v>2567</v>
      </c>
      <c r="C242" s="1" t="s">
        <v>74</v>
      </c>
      <c r="D242" s="1" t="s">
        <v>74</v>
      </c>
      <c r="E242" s="1" t="s">
        <v>74</v>
      </c>
      <c r="F242" s="1" t="s">
        <v>2567</v>
      </c>
      <c r="G242" s="1" t="s">
        <v>74</v>
      </c>
      <c r="H242" s="1" t="s">
        <v>74</v>
      </c>
      <c r="I242" s="1" t="s">
        <v>2568</v>
      </c>
      <c r="J242" s="1" t="s">
        <v>2569</v>
      </c>
      <c r="K242" s="1" t="s">
        <v>74</v>
      </c>
      <c r="L242" s="1" t="s">
        <v>74</v>
      </c>
      <c r="M242" s="1" t="s">
        <v>74</v>
      </c>
      <c r="N242" s="1" t="s">
        <v>74</v>
      </c>
      <c r="O242" s="1" t="s">
        <v>74</v>
      </c>
      <c r="P242" s="1" t="s">
        <v>74</v>
      </c>
      <c r="Q242" s="1" t="s">
        <v>74</v>
      </c>
      <c r="R242" s="1" t="s">
        <v>74</v>
      </c>
      <c r="S242" s="1" t="s">
        <v>74</v>
      </c>
      <c r="T242" s="1" t="s">
        <v>74</v>
      </c>
      <c r="U242" s="1" t="s">
        <v>74</v>
      </c>
      <c r="V242" s="1" t="s">
        <v>2570</v>
      </c>
      <c r="W242" s="1" t="s">
        <v>74</v>
      </c>
      <c r="X242" s="1" t="s">
        <v>74</v>
      </c>
      <c r="Y242" s="1" t="s">
        <v>74</v>
      </c>
      <c r="Z242" s="1" t="s">
        <v>74</v>
      </c>
      <c r="AA242" s="1" t="s">
        <v>2571</v>
      </c>
      <c r="AB242" s="1" t="s">
        <v>2572</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2573</v>
      </c>
      <c r="AP242" s="1" t="s">
        <v>2574</v>
      </c>
      <c r="AQ242" s="1" t="s">
        <v>74</v>
      </c>
      <c r="AR242" s="1" t="s">
        <v>74</v>
      </c>
      <c r="AS242" s="1" t="s">
        <v>74</v>
      </c>
      <c r="AT242" s="1" t="s">
        <v>1467</v>
      </c>
      <c r="AU242" s="1">
        <v>2004.0</v>
      </c>
      <c r="AV242" s="1">
        <v>221.0</v>
      </c>
      <c r="AW242" s="1" t="s">
        <v>428</v>
      </c>
      <c r="AX242" s="1" t="s">
        <v>74</v>
      </c>
      <c r="AY242" s="1" t="s">
        <v>74</v>
      </c>
      <c r="AZ242" s="1" t="s">
        <v>74</v>
      </c>
      <c r="BA242" s="1" t="s">
        <v>74</v>
      </c>
      <c r="BB242" s="1">
        <v>71.0</v>
      </c>
      <c r="BC242" s="1">
        <v>76.0</v>
      </c>
      <c r="BD242" s="1" t="s">
        <v>74</v>
      </c>
      <c r="BE242" s="1" t="s">
        <v>2575</v>
      </c>
      <c r="BF242" s="2" t="str">
        <f>HYPERLINK("http://dx.doi.org/10.1016/j.molcata.2004.04.045","http://dx.doi.org/10.1016/j.molcata.2004.04.045")</f>
        <v>http://dx.doi.org/10.1016/j.molcata.2004.04.045</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2576</v>
      </c>
      <c r="BT242" s="1" t="str">
        <f>HYPERLINK("https%3A%2F%2Fwww.webofscience.com%2Fwos%2Fwoscc%2Ffull-record%2FWOS:000224328900008","View Full Record in Web of Science")</f>
        <v>View Full Record in Web of Science</v>
      </c>
    </row>
    <row r="243" ht="12.75" customHeight="1">
      <c r="A243" s="1" t="s">
        <v>72</v>
      </c>
      <c r="B243" s="1" t="s">
        <v>2577</v>
      </c>
      <c r="C243" s="1" t="s">
        <v>74</v>
      </c>
      <c r="D243" s="1" t="s">
        <v>74</v>
      </c>
      <c r="E243" s="1" t="s">
        <v>74</v>
      </c>
      <c r="F243" s="1" t="s">
        <v>2577</v>
      </c>
      <c r="G243" s="1" t="s">
        <v>74</v>
      </c>
      <c r="H243" s="1" t="s">
        <v>74</v>
      </c>
      <c r="I243" s="1" t="s">
        <v>2578</v>
      </c>
      <c r="J243" s="1" t="s">
        <v>2579</v>
      </c>
      <c r="K243" s="1" t="s">
        <v>74</v>
      </c>
      <c r="L243" s="1" t="s">
        <v>74</v>
      </c>
      <c r="M243" s="1" t="s">
        <v>74</v>
      </c>
      <c r="N243" s="1" t="s">
        <v>74</v>
      </c>
      <c r="O243" s="1" t="s">
        <v>74</v>
      </c>
      <c r="P243" s="1" t="s">
        <v>74</v>
      </c>
      <c r="Q243" s="1" t="s">
        <v>74</v>
      </c>
      <c r="R243" s="1" t="s">
        <v>74</v>
      </c>
      <c r="S243" s="1" t="s">
        <v>74</v>
      </c>
      <c r="T243" s="1" t="s">
        <v>74</v>
      </c>
      <c r="U243" s="1" t="s">
        <v>74</v>
      </c>
      <c r="V243" s="1" t="s">
        <v>2580</v>
      </c>
      <c r="W243" s="1" t="s">
        <v>74</v>
      </c>
      <c r="X243" s="1" t="s">
        <v>74</v>
      </c>
      <c r="Y243" s="1" t="s">
        <v>74</v>
      </c>
      <c r="Z243" s="1" t="s">
        <v>74</v>
      </c>
      <c r="AA243" s="1" t="s">
        <v>2581</v>
      </c>
      <c r="AB243" s="1" t="s">
        <v>2582</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2583</v>
      </c>
      <c r="AP243" s="1" t="s">
        <v>2584</v>
      </c>
      <c r="AQ243" s="1" t="s">
        <v>74</v>
      </c>
      <c r="AR243" s="1" t="s">
        <v>74</v>
      </c>
      <c r="AS243" s="1" t="s">
        <v>74</v>
      </c>
      <c r="AT243" s="1" t="s">
        <v>596</v>
      </c>
      <c r="AU243" s="1">
        <v>2004.0</v>
      </c>
      <c r="AV243" s="1">
        <v>70.0</v>
      </c>
      <c r="AW243" s="1">
        <v>11.0</v>
      </c>
      <c r="AX243" s="1" t="s">
        <v>74</v>
      </c>
      <c r="AY243" s="1" t="s">
        <v>74</v>
      </c>
      <c r="AZ243" s="1" t="s">
        <v>74</v>
      </c>
      <c r="BA243" s="1" t="s">
        <v>74</v>
      </c>
      <c r="BB243" s="1">
        <v>1058.0</v>
      </c>
      <c r="BC243" s="1">
        <v>1063.0</v>
      </c>
      <c r="BD243" s="1" t="s">
        <v>74</v>
      </c>
      <c r="BE243" s="1" t="s">
        <v>2585</v>
      </c>
      <c r="BF243" s="2" t="str">
        <f>HYPERLINK("http://dx.doi.org/10.1055/s-2004-832647","http://dx.doi.org/10.1055/s-2004-832647")</f>
        <v>http://dx.doi.org/10.1055/s-2004-832647</v>
      </c>
      <c r="BG243" s="1" t="s">
        <v>74</v>
      </c>
      <c r="BH243" s="1" t="s">
        <v>74</v>
      </c>
      <c r="BI243" s="1" t="s">
        <v>74</v>
      </c>
      <c r="BJ243" s="1" t="s">
        <v>74</v>
      </c>
      <c r="BK243" s="1" t="s">
        <v>74</v>
      </c>
      <c r="BL243" s="1" t="s">
        <v>74</v>
      </c>
      <c r="BM243" s="1" t="s">
        <v>74</v>
      </c>
      <c r="BN243" s="1">
        <v>1.5549662E7</v>
      </c>
      <c r="BO243" s="1" t="s">
        <v>74</v>
      </c>
      <c r="BP243" s="1" t="s">
        <v>74</v>
      </c>
      <c r="BQ243" s="1" t="s">
        <v>74</v>
      </c>
      <c r="BR243" s="1" t="s">
        <v>74</v>
      </c>
      <c r="BS243" s="1" t="s">
        <v>2586</v>
      </c>
      <c r="BT243" s="1" t="str">
        <f>HYPERLINK("https%3A%2F%2Fwww.webofscience.com%2Fwos%2Fwoscc%2Ffull-record%2FWOS:000225506000009","View Full Record in Web of Science")</f>
        <v>View Full Record in Web of Science</v>
      </c>
    </row>
    <row r="244" ht="12.75" customHeight="1">
      <c r="A244" s="1" t="s">
        <v>72</v>
      </c>
      <c r="B244" s="1" t="s">
        <v>2587</v>
      </c>
      <c r="C244" s="1" t="s">
        <v>74</v>
      </c>
      <c r="D244" s="1" t="s">
        <v>74</v>
      </c>
      <c r="E244" s="1" t="s">
        <v>74</v>
      </c>
      <c r="F244" s="1" t="s">
        <v>2587</v>
      </c>
      <c r="G244" s="1" t="s">
        <v>74</v>
      </c>
      <c r="H244" s="1" t="s">
        <v>74</v>
      </c>
      <c r="I244" s="1" t="s">
        <v>2588</v>
      </c>
      <c r="J244" s="1" t="s">
        <v>1085</v>
      </c>
      <c r="K244" s="1" t="s">
        <v>74</v>
      </c>
      <c r="L244" s="1" t="s">
        <v>74</v>
      </c>
      <c r="M244" s="1" t="s">
        <v>74</v>
      </c>
      <c r="N244" s="1" t="s">
        <v>74</v>
      </c>
      <c r="O244" s="1" t="s">
        <v>74</v>
      </c>
      <c r="P244" s="1" t="s">
        <v>74</v>
      </c>
      <c r="Q244" s="1" t="s">
        <v>74</v>
      </c>
      <c r="R244" s="1" t="s">
        <v>74</v>
      </c>
      <c r="S244" s="1" t="s">
        <v>74</v>
      </c>
      <c r="T244" s="1" t="s">
        <v>74</v>
      </c>
      <c r="U244" s="1" t="s">
        <v>74</v>
      </c>
      <c r="V244" s="1" t="s">
        <v>2589</v>
      </c>
      <c r="W244" s="1" t="s">
        <v>74</v>
      </c>
      <c r="X244" s="1" t="s">
        <v>74</v>
      </c>
      <c r="Y244" s="1" t="s">
        <v>74</v>
      </c>
      <c r="Z244" s="1" t="s">
        <v>74</v>
      </c>
      <c r="AA244" s="1" t="s">
        <v>593</v>
      </c>
      <c r="AB244" s="1" t="s">
        <v>594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1089</v>
      </c>
      <c r="AP244" s="1" t="s">
        <v>1090</v>
      </c>
      <c r="AQ244" s="1" t="s">
        <v>74</v>
      </c>
      <c r="AR244" s="1" t="s">
        <v>74</v>
      </c>
      <c r="AS244" s="1" t="s">
        <v>74</v>
      </c>
      <c r="AT244" s="1" t="s">
        <v>461</v>
      </c>
      <c r="AU244" s="1">
        <v>2002.0</v>
      </c>
      <c r="AV244" s="1">
        <v>66.0</v>
      </c>
      <c r="AW244" s="1">
        <v>3.0</v>
      </c>
      <c r="AX244" s="1" t="s">
        <v>2590</v>
      </c>
      <c r="AY244" s="1" t="s">
        <v>74</v>
      </c>
      <c r="AZ244" s="1" t="s">
        <v>74</v>
      </c>
      <c r="BA244" s="1" t="s">
        <v>74</v>
      </c>
      <c r="BB244" s="1" t="s">
        <v>74</v>
      </c>
      <c r="BC244" s="1" t="s">
        <v>74</v>
      </c>
      <c r="BD244" s="1">
        <v>36109.0</v>
      </c>
      <c r="BE244" s="1" t="s">
        <v>2591</v>
      </c>
      <c r="BF244" s="2" t="str">
        <f>HYPERLINK("http://dx.doi.org/10.1103/PhysRevE.66.036109","http://dx.doi.org/10.1103/PhysRevE.66.036109")</f>
        <v>http://dx.doi.org/10.1103/PhysRevE.66.036109</v>
      </c>
      <c r="BG244" s="1" t="s">
        <v>74</v>
      </c>
      <c r="BH244" s="1" t="s">
        <v>74</v>
      </c>
      <c r="BI244" s="1" t="s">
        <v>74</v>
      </c>
      <c r="BJ244" s="1" t="s">
        <v>74</v>
      </c>
      <c r="BK244" s="1" t="s">
        <v>74</v>
      </c>
      <c r="BL244" s="1" t="s">
        <v>74</v>
      </c>
      <c r="BM244" s="1" t="s">
        <v>74</v>
      </c>
      <c r="BN244" s="1">
        <v>1.2366186E7</v>
      </c>
      <c r="BO244" s="1" t="s">
        <v>74</v>
      </c>
      <c r="BP244" s="1" t="s">
        <v>74</v>
      </c>
      <c r="BQ244" s="1" t="s">
        <v>74</v>
      </c>
      <c r="BR244" s="1" t="s">
        <v>74</v>
      </c>
      <c r="BS244" s="1" t="s">
        <v>2592</v>
      </c>
      <c r="BT244" s="1" t="str">
        <f>HYPERLINK("https%3A%2F%2Fwww.webofscience.com%2Fwos%2Fwoscc%2Ffull-record%2FWOS:000178624100018","View Full Record in Web of Science")</f>
        <v>View Full Record in Web of Science</v>
      </c>
    </row>
    <row r="245" ht="12.75" customHeight="1">
      <c r="A245" s="1" t="s">
        <v>72</v>
      </c>
      <c r="B245" s="1" t="s">
        <v>2593</v>
      </c>
      <c r="C245" s="1" t="s">
        <v>74</v>
      </c>
      <c r="D245" s="1" t="s">
        <v>74</v>
      </c>
      <c r="E245" s="1" t="s">
        <v>74</v>
      </c>
      <c r="F245" s="1" t="s">
        <v>2593</v>
      </c>
      <c r="G245" s="1" t="s">
        <v>74</v>
      </c>
      <c r="H245" s="1" t="s">
        <v>74</v>
      </c>
      <c r="I245" s="1" t="s">
        <v>2594</v>
      </c>
      <c r="J245" s="1" t="s">
        <v>2595</v>
      </c>
      <c r="K245" s="1" t="s">
        <v>74</v>
      </c>
      <c r="L245" s="1" t="s">
        <v>74</v>
      </c>
      <c r="M245" s="1" t="s">
        <v>74</v>
      </c>
      <c r="N245" s="1" t="s">
        <v>74</v>
      </c>
      <c r="O245" s="1" t="s">
        <v>74</v>
      </c>
      <c r="P245" s="1" t="s">
        <v>74</v>
      </c>
      <c r="Q245" s="1" t="s">
        <v>74</v>
      </c>
      <c r="R245" s="1" t="s">
        <v>74</v>
      </c>
      <c r="S245" s="1" t="s">
        <v>74</v>
      </c>
      <c r="T245" s="1" t="s">
        <v>74</v>
      </c>
      <c r="U245" s="1" t="s">
        <v>74</v>
      </c>
      <c r="V245" s="1" t="s">
        <v>74</v>
      </c>
      <c r="W245" s="1" t="s">
        <v>74</v>
      </c>
      <c r="X245" s="1" t="s">
        <v>74</v>
      </c>
      <c r="Y245" s="1" t="s">
        <v>74</v>
      </c>
      <c r="Z245" s="1" t="s">
        <v>74</v>
      </c>
      <c r="AA245" s="1" t="s">
        <v>2596</v>
      </c>
      <c r="AB245" s="1" t="s">
        <v>74</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2597</v>
      </c>
      <c r="AP245" s="1" t="s">
        <v>74</v>
      </c>
      <c r="AQ245" s="1" t="s">
        <v>74</v>
      </c>
      <c r="AR245" s="1" t="s">
        <v>74</v>
      </c>
      <c r="AS245" s="1" t="s">
        <v>74</v>
      </c>
      <c r="AT245" s="1" t="s">
        <v>83</v>
      </c>
      <c r="AU245" s="1">
        <v>2002.0</v>
      </c>
      <c r="AV245" s="1">
        <v>49.0</v>
      </c>
      <c r="AW245" s="1">
        <v>1.0</v>
      </c>
      <c r="AX245" s="1" t="s">
        <v>74</v>
      </c>
      <c r="AY245" s="1" t="s">
        <v>74</v>
      </c>
      <c r="AZ245" s="1" t="s">
        <v>74</v>
      </c>
      <c r="BA245" s="1" t="s">
        <v>74</v>
      </c>
      <c r="BB245" s="1">
        <v>7.0</v>
      </c>
      <c r="BC245" s="1">
        <v>11.0</v>
      </c>
      <c r="BD245" s="1" t="s">
        <v>74</v>
      </c>
      <c r="BE245" s="1" t="s">
        <v>2598</v>
      </c>
      <c r="BF245" s="2" t="str">
        <f>HYPERLINK("http://dx.doi.org/10.1177/0037768602049001002","http://dx.doi.org/10.1177/0037768602049001002")</f>
        <v>http://dx.doi.org/10.1177/0037768602049001002</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2599</v>
      </c>
      <c r="BT245" s="1" t="str">
        <f>HYPERLINK("https%3A%2F%2Fwww.webofscience.com%2Fwos%2Fwoscc%2Ffull-record%2FWOS:000174817600002","View Full Record in Web of Science")</f>
        <v>View Full Record in Web of Science</v>
      </c>
    </row>
    <row r="246" ht="12.75" customHeight="1">
      <c r="A246" s="1" t="s">
        <v>72</v>
      </c>
      <c r="B246" s="1" t="s">
        <v>2600</v>
      </c>
      <c r="C246" s="1" t="s">
        <v>74</v>
      </c>
      <c r="D246" s="1" t="s">
        <v>74</v>
      </c>
      <c r="E246" s="1" t="s">
        <v>74</v>
      </c>
      <c r="F246" s="1" t="s">
        <v>2600</v>
      </c>
      <c r="G246" s="1" t="s">
        <v>74</v>
      </c>
      <c r="H246" s="1" t="s">
        <v>74</v>
      </c>
      <c r="I246" s="1" t="s">
        <v>2601</v>
      </c>
      <c r="J246" s="1" t="s">
        <v>2602</v>
      </c>
      <c r="K246" s="1" t="s">
        <v>74</v>
      </c>
      <c r="L246" s="1" t="s">
        <v>74</v>
      </c>
      <c r="M246" s="1" t="s">
        <v>74</v>
      </c>
      <c r="N246" s="1" t="s">
        <v>74</v>
      </c>
      <c r="O246" s="1" t="s">
        <v>74</v>
      </c>
      <c r="P246" s="1" t="s">
        <v>74</v>
      </c>
      <c r="Q246" s="1" t="s">
        <v>74</v>
      </c>
      <c r="R246" s="1" t="s">
        <v>74</v>
      </c>
      <c r="S246" s="1" t="s">
        <v>74</v>
      </c>
      <c r="T246" s="1" t="s">
        <v>74</v>
      </c>
      <c r="U246" s="1" t="s">
        <v>74</v>
      </c>
      <c r="V246" s="1" t="s">
        <v>2603</v>
      </c>
      <c r="W246" s="1" t="s">
        <v>74</v>
      </c>
      <c r="X246" s="1" t="s">
        <v>74</v>
      </c>
      <c r="Y246" s="1" t="s">
        <v>74</v>
      </c>
      <c r="Z246" s="1" t="s">
        <v>74</v>
      </c>
      <c r="AA246" s="1" t="s">
        <v>74</v>
      </c>
      <c r="AB246" s="1" t="s">
        <v>74</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2604</v>
      </c>
      <c r="AP246" s="1" t="s">
        <v>74</v>
      </c>
      <c r="AQ246" s="1" t="s">
        <v>74</v>
      </c>
      <c r="AR246" s="1" t="s">
        <v>74</v>
      </c>
      <c r="AS246" s="1" t="s">
        <v>74</v>
      </c>
      <c r="AT246" s="1" t="s">
        <v>120</v>
      </c>
      <c r="AU246" s="1">
        <v>2000.0</v>
      </c>
      <c r="AV246" s="1">
        <v>40.0</v>
      </c>
      <c r="AW246" s="1">
        <v>2.0</v>
      </c>
      <c r="AX246" s="1" t="s">
        <v>74</v>
      </c>
      <c r="AY246" s="1" t="s">
        <v>74</v>
      </c>
      <c r="AZ246" s="1" t="s">
        <v>74</v>
      </c>
      <c r="BA246" s="1" t="s">
        <v>74</v>
      </c>
      <c r="BB246" s="1">
        <v>114.0</v>
      </c>
      <c r="BC246" s="1">
        <v>118.0</v>
      </c>
      <c r="BD246" s="1" t="s">
        <v>74</v>
      </c>
      <c r="BE246" s="1" t="s">
        <v>2605</v>
      </c>
      <c r="BF246" s="2" t="str">
        <f>HYPERLINK("http://dx.doi.org/10.1007/s002849910022","http://dx.doi.org/10.1007/s002849910022")</f>
        <v>http://dx.doi.org/10.1007/s002849910022</v>
      </c>
      <c r="BG246" s="1" t="s">
        <v>74</v>
      </c>
      <c r="BH246" s="1" t="s">
        <v>74</v>
      </c>
      <c r="BI246" s="1" t="s">
        <v>74</v>
      </c>
      <c r="BJ246" s="1" t="s">
        <v>74</v>
      </c>
      <c r="BK246" s="1" t="s">
        <v>74</v>
      </c>
      <c r="BL246" s="1" t="s">
        <v>74</v>
      </c>
      <c r="BM246" s="1" t="s">
        <v>74</v>
      </c>
      <c r="BN246" s="1">
        <v>1.0594225E7</v>
      </c>
      <c r="BO246" s="1" t="s">
        <v>74</v>
      </c>
      <c r="BP246" s="1" t="s">
        <v>74</v>
      </c>
      <c r="BQ246" s="1" t="s">
        <v>74</v>
      </c>
      <c r="BR246" s="1" t="s">
        <v>74</v>
      </c>
      <c r="BS246" s="1" t="s">
        <v>2606</v>
      </c>
      <c r="BT246" s="1" t="str">
        <f>HYPERLINK("https%3A%2F%2Fwww.webofscience.com%2Fwos%2Fwoscc%2Ffull-record%2FWOS:000084502600008","View Full Record in Web of Science")</f>
        <v>View Full Record in Web of Science</v>
      </c>
    </row>
    <row r="247" ht="12.75" customHeight="1">
      <c r="A247" s="1" t="s">
        <v>72</v>
      </c>
      <c r="B247" s="1" t="s">
        <v>2607</v>
      </c>
      <c r="C247" s="1" t="s">
        <v>74</v>
      </c>
      <c r="D247" s="1" t="s">
        <v>74</v>
      </c>
      <c r="E247" s="1" t="s">
        <v>74</v>
      </c>
      <c r="F247" s="1" t="s">
        <v>2607</v>
      </c>
      <c r="G247" s="1" t="s">
        <v>74</v>
      </c>
      <c r="H247" s="1" t="s">
        <v>74</v>
      </c>
      <c r="I247" s="1" t="s">
        <v>2608</v>
      </c>
      <c r="J247" s="1" t="s">
        <v>1597</v>
      </c>
      <c r="K247" s="1" t="s">
        <v>74</v>
      </c>
      <c r="L247" s="1" t="s">
        <v>74</v>
      </c>
      <c r="M247" s="1" t="s">
        <v>74</v>
      </c>
      <c r="N247" s="1" t="s">
        <v>74</v>
      </c>
      <c r="O247" s="1" t="s">
        <v>74</v>
      </c>
      <c r="P247" s="1" t="s">
        <v>74</v>
      </c>
      <c r="Q247" s="1" t="s">
        <v>74</v>
      </c>
      <c r="R247" s="1" t="s">
        <v>74</v>
      </c>
      <c r="S247" s="1" t="s">
        <v>74</v>
      </c>
      <c r="T247" s="1" t="s">
        <v>74</v>
      </c>
      <c r="U247" s="1" t="s">
        <v>74</v>
      </c>
      <c r="V247" s="1" t="s">
        <v>2609</v>
      </c>
      <c r="W247" s="1" t="s">
        <v>74</v>
      </c>
      <c r="X247" s="1" t="s">
        <v>74</v>
      </c>
      <c r="Y247" s="1" t="s">
        <v>74</v>
      </c>
      <c r="Z247" s="1" t="s">
        <v>74</v>
      </c>
      <c r="AA247" s="1" t="s">
        <v>74</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1601</v>
      </c>
      <c r="AP247" s="1" t="s">
        <v>74</v>
      </c>
      <c r="AQ247" s="1" t="s">
        <v>74</v>
      </c>
      <c r="AR247" s="1" t="s">
        <v>74</v>
      </c>
      <c r="AS247" s="1" t="s">
        <v>74</v>
      </c>
      <c r="AT247" s="1" t="s">
        <v>2610</v>
      </c>
      <c r="AU247" s="1">
        <v>1999.0</v>
      </c>
      <c r="AV247" s="1">
        <v>14.0</v>
      </c>
      <c r="AW247" s="1">
        <v>39.0</v>
      </c>
      <c r="AX247" s="1" t="s">
        <v>74</v>
      </c>
      <c r="AY247" s="1" t="s">
        <v>74</v>
      </c>
      <c r="AZ247" s="1" t="s">
        <v>74</v>
      </c>
      <c r="BA247" s="1" t="s">
        <v>74</v>
      </c>
      <c r="BB247" s="1">
        <v>2739.0</v>
      </c>
      <c r="BC247" s="1">
        <v>2752.0</v>
      </c>
      <c r="BD247" s="1" t="s">
        <v>74</v>
      </c>
      <c r="BE247" s="1" t="s">
        <v>2611</v>
      </c>
      <c r="BF247" s="2" t="str">
        <f>HYPERLINK("http://dx.doi.org/10.1142/S0217732399002881","http://dx.doi.org/10.1142/S0217732399002881")</f>
        <v>http://dx.doi.org/10.1142/S0217732399002881</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2612</v>
      </c>
      <c r="BT247" s="1" t="str">
        <f>HYPERLINK("https%3A%2F%2Fwww.webofscience.com%2Fwos%2Fwoscc%2Ffull-record%2FWOS:000085214800007","View Full Record in Web of Science")</f>
        <v>View Full Record in Web of Science</v>
      </c>
    </row>
    <row r="248" ht="12.75" customHeight="1">
      <c r="A248" s="1" t="s">
        <v>72</v>
      </c>
      <c r="B248" s="1" t="s">
        <v>2613</v>
      </c>
      <c r="C248" s="1" t="s">
        <v>74</v>
      </c>
      <c r="D248" s="1" t="s">
        <v>74</v>
      </c>
      <c r="E248" s="1" t="s">
        <v>74</v>
      </c>
      <c r="F248" s="1" t="s">
        <v>2613</v>
      </c>
      <c r="G248" s="1" t="s">
        <v>74</v>
      </c>
      <c r="H248" s="1" t="s">
        <v>74</v>
      </c>
      <c r="I248" s="1" t="s">
        <v>2614</v>
      </c>
      <c r="J248" s="1" t="s">
        <v>2615</v>
      </c>
      <c r="K248" s="1" t="s">
        <v>74</v>
      </c>
      <c r="L248" s="1" t="s">
        <v>74</v>
      </c>
      <c r="M248" s="1" t="s">
        <v>74</v>
      </c>
      <c r="N248" s="1" t="s">
        <v>74</v>
      </c>
      <c r="O248" s="1" t="s">
        <v>74</v>
      </c>
      <c r="P248" s="1" t="s">
        <v>74</v>
      </c>
      <c r="Q248" s="1" t="s">
        <v>74</v>
      </c>
      <c r="R248" s="1" t="s">
        <v>74</v>
      </c>
      <c r="S248" s="1" t="s">
        <v>74</v>
      </c>
      <c r="T248" s="1" t="s">
        <v>74</v>
      </c>
      <c r="U248" s="1" t="s">
        <v>74</v>
      </c>
      <c r="V248" s="1" t="s">
        <v>2616</v>
      </c>
      <c r="W248" s="1" t="s">
        <v>74</v>
      </c>
      <c r="X248" s="1" t="s">
        <v>74</v>
      </c>
      <c r="Y248" s="1" t="s">
        <v>74</v>
      </c>
      <c r="Z248" s="1" t="s">
        <v>74</v>
      </c>
      <c r="AA248" s="1" t="s">
        <v>74</v>
      </c>
      <c r="AB248" s="1" t="s">
        <v>74</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2617</v>
      </c>
      <c r="AP248" s="1" t="s">
        <v>74</v>
      </c>
      <c r="AQ248" s="1" t="s">
        <v>74</v>
      </c>
      <c r="AR248" s="1" t="s">
        <v>74</v>
      </c>
      <c r="AS248" s="1" t="s">
        <v>74</v>
      </c>
      <c r="AT248" s="1" t="s">
        <v>554</v>
      </c>
      <c r="AU248" s="1">
        <v>1998.0</v>
      </c>
      <c r="AV248" s="1">
        <v>149.0</v>
      </c>
      <c r="AW248" s="1">
        <v>6.0</v>
      </c>
      <c r="AX248" s="1" t="s">
        <v>74</v>
      </c>
      <c r="AY248" s="1" t="s">
        <v>74</v>
      </c>
      <c r="AZ248" s="1" t="s">
        <v>74</v>
      </c>
      <c r="BA248" s="1" t="s">
        <v>74</v>
      </c>
      <c r="BB248" s="1">
        <v>389.0</v>
      </c>
      <c r="BC248" s="1">
        <v>397.0</v>
      </c>
      <c r="BD248" s="1" t="s">
        <v>74</v>
      </c>
      <c r="BE248" s="1" t="s">
        <v>2618</v>
      </c>
      <c r="BF248" s="2" t="str">
        <f>HYPERLINK("http://dx.doi.org/10.1016/S0923-2508(98)80321-5","http://dx.doi.org/10.1016/S0923-2508(98)80321-5")</f>
        <v>http://dx.doi.org/10.1016/S0923-2508(98)80321-5</v>
      </c>
      <c r="BG248" s="1" t="s">
        <v>74</v>
      </c>
      <c r="BH248" s="1" t="s">
        <v>74</v>
      </c>
      <c r="BI248" s="1" t="s">
        <v>74</v>
      </c>
      <c r="BJ248" s="1" t="s">
        <v>74</v>
      </c>
      <c r="BK248" s="1" t="s">
        <v>74</v>
      </c>
      <c r="BL248" s="1" t="s">
        <v>74</v>
      </c>
      <c r="BM248" s="1" t="s">
        <v>74</v>
      </c>
      <c r="BN248" s="1">
        <v>9766238.0</v>
      </c>
      <c r="BO248" s="1" t="s">
        <v>74</v>
      </c>
      <c r="BP248" s="1" t="s">
        <v>74</v>
      </c>
      <c r="BQ248" s="1" t="s">
        <v>74</v>
      </c>
      <c r="BR248" s="1" t="s">
        <v>74</v>
      </c>
      <c r="BS248" s="1" t="s">
        <v>2619</v>
      </c>
      <c r="BT248" s="1" t="str">
        <f>HYPERLINK("https%3A%2F%2Fwww.webofscience.com%2Fwos%2Fwoscc%2Ffull-record%2FWOS:000075157900002","View Full Record in Web of Science")</f>
        <v>View Full Record in Web of Science</v>
      </c>
    </row>
    <row r="249" ht="12.75" customHeight="1">
      <c r="A249" s="1" t="s">
        <v>72</v>
      </c>
      <c r="B249" s="1" t="s">
        <v>2620</v>
      </c>
      <c r="C249" s="1" t="s">
        <v>74</v>
      </c>
      <c r="D249" s="1" t="s">
        <v>74</v>
      </c>
      <c r="E249" s="1" t="s">
        <v>74</v>
      </c>
      <c r="F249" s="1" t="s">
        <v>2620</v>
      </c>
      <c r="G249" s="1" t="s">
        <v>74</v>
      </c>
      <c r="H249" s="1" t="s">
        <v>74</v>
      </c>
      <c r="I249" s="1" t="s">
        <v>2621</v>
      </c>
      <c r="J249" s="1" t="s">
        <v>2011</v>
      </c>
      <c r="K249" s="1" t="s">
        <v>74</v>
      </c>
      <c r="L249" s="1" t="s">
        <v>74</v>
      </c>
      <c r="M249" s="1" t="s">
        <v>74</v>
      </c>
      <c r="N249" s="1" t="s">
        <v>74</v>
      </c>
      <c r="O249" s="1" t="s">
        <v>74</v>
      </c>
      <c r="P249" s="1" t="s">
        <v>74</v>
      </c>
      <c r="Q249" s="1" t="s">
        <v>74</v>
      </c>
      <c r="R249" s="1" t="s">
        <v>74</v>
      </c>
      <c r="S249" s="1" t="s">
        <v>74</v>
      </c>
      <c r="T249" s="1" t="s">
        <v>74</v>
      </c>
      <c r="U249" s="1" t="s">
        <v>74</v>
      </c>
      <c r="V249" s="1" t="s">
        <v>2622</v>
      </c>
      <c r="W249" s="1" t="s">
        <v>74</v>
      </c>
      <c r="X249" s="1" t="s">
        <v>74</v>
      </c>
      <c r="Y249" s="1" t="s">
        <v>74</v>
      </c>
      <c r="Z249" s="1" t="s">
        <v>74</v>
      </c>
      <c r="AA249" s="1" t="s">
        <v>1578</v>
      </c>
      <c r="AB249" s="1" t="s">
        <v>74</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2623</v>
      </c>
      <c r="AP249" s="1" t="s">
        <v>2624</v>
      </c>
      <c r="AQ249" s="1" t="s">
        <v>74</v>
      </c>
      <c r="AR249" s="1" t="s">
        <v>74</v>
      </c>
      <c r="AS249" s="1" t="s">
        <v>74</v>
      </c>
      <c r="AT249" s="1" t="s">
        <v>2625</v>
      </c>
      <c r="AU249" s="1">
        <v>1997.0</v>
      </c>
      <c r="AV249" s="1">
        <v>55.0</v>
      </c>
      <c r="AW249" s="1">
        <v>8.0</v>
      </c>
      <c r="AX249" s="1" t="s">
        <v>74</v>
      </c>
      <c r="AY249" s="1" t="s">
        <v>74</v>
      </c>
      <c r="AZ249" s="1" t="s">
        <v>74</v>
      </c>
      <c r="BA249" s="1" t="s">
        <v>74</v>
      </c>
      <c r="BB249" s="1">
        <v>5241.0</v>
      </c>
      <c r="BC249" s="1">
        <v>5244.0</v>
      </c>
      <c r="BD249" s="1" t="s">
        <v>74</v>
      </c>
      <c r="BE249" s="1" t="s">
        <v>2626</v>
      </c>
      <c r="BF249" s="2" t="str">
        <f>HYPERLINK("http://dx.doi.org/10.1103/PhysRevD.55.5241","http://dx.doi.org/10.1103/PhysRevD.55.5241")</f>
        <v>http://dx.doi.org/10.1103/PhysRevD.55.5241</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2627</v>
      </c>
      <c r="BT249" s="1" t="str">
        <f>HYPERLINK("https%3A%2F%2Fwww.webofscience.com%2Fwos%2Fwoscc%2Ffull-record%2FWOS:A1997WV25000077","View Full Record in Web of Science")</f>
        <v>View Full Record in Web of Science</v>
      </c>
    </row>
    <row r="250" ht="12.75" customHeight="1">
      <c r="A250" s="1" t="s">
        <v>72</v>
      </c>
      <c r="B250" s="1" t="s">
        <v>2628</v>
      </c>
      <c r="C250" s="1" t="s">
        <v>74</v>
      </c>
      <c r="D250" s="1" t="s">
        <v>74</v>
      </c>
      <c r="E250" s="1" t="s">
        <v>74</v>
      </c>
      <c r="F250" s="1" t="s">
        <v>2628</v>
      </c>
      <c r="G250" s="1" t="s">
        <v>74</v>
      </c>
      <c r="H250" s="1" t="s">
        <v>74</v>
      </c>
      <c r="I250" s="1" t="s">
        <v>2629</v>
      </c>
      <c r="J250" s="1" t="s">
        <v>2190</v>
      </c>
      <c r="K250" s="1" t="s">
        <v>74</v>
      </c>
      <c r="L250" s="1" t="s">
        <v>74</v>
      </c>
      <c r="M250" s="1" t="s">
        <v>74</v>
      </c>
      <c r="N250" s="1" t="s">
        <v>74</v>
      </c>
      <c r="O250" s="1" t="s">
        <v>74</v>
      </c>
      <c r="P250" s="1" t="s">
        <v>74</v>
      </c>
      <c r="Q250" s="1" t="s">
        <v>74</v>
      </c>
      <c r="R250" s="1" t="s">
        <v>74</v>
      </c>
      <c r="S250" s="1" t="s">
        <v>74</v>
      </c>
      <c r="T250" s="1" t="s">
        <v>74</v>
      </c>
      <c r="U250" s="1" t="s">
        <v>74</v>
      </c>
      <c r="V250" s="1" t="s">
        <v>2630</v>
      </c>
      <c r="W250" s="1" t="s">
        <v>74</v>
      </c>
      <c r="X250" s="1" t="s">
        <v>74</v>
      </c>
      <c r="Y250" s="1" t="s">
        <v>74</v>
      </c>
      <c r="Z250" s="1" t="s">
        <v>74</v>
      </c>
      <c r="AA250" s="1" t="s">
        <v>2631</v>
      </c>
      <c r="AB250" s="1" t="s">
        <v>2632</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2194</v>
      </c>
      <c r="AP250" s="1" t="s">
        <v>2195</v>
      </c>
      <c r="AQ250" s="1" t="s">
        <v>74</v>
      </c>
      <c r="AR250" s="1" t="s">
        <v>74</v>
      </c>
      <c r="AS250" s="1" t="s">
        <v>74</v>
      </c>
      <c r="AT250" s="1" t="s">
        <v>1348</v>
      </c>
      <c r="AU250" s="1">
        <v>1996.0</v>
      </c>
      <c r="AV250" s="1">
        <v>54.0</v>
      </c>
      <c r="AW250" s="1">
        <v>10.0</v>
      </c>
      <c r="AX250" s="1" t="s">
        <v>74</v>
      </c>
      <c r="AY250" s="1" t="s">
        <v>74</v>
      </c>
      <c r="AZ250" s="1" t="s">
        <v>74</v>
      </c>
      <c r="BA250" s="1" t="s">
        <v>74</v>
      </c>
      <c r="BB250" s="1" t="s">
        <v>2633</v>
      </c>
      <c r="BC250" s="1" t="s">
        <v>2634</v>
      </c>
      <c r="BD250" s="1" t="s">
        <v>74</v>
      </c>
      <c r="BE250" s="1" t="s">
        <v>2635</v>
      </c>
      <c r="BF250" s="2" t="str">
        <f>HYPERLINK("http://dx.doi.org/10.1103/PhysRevB.54.R6823","http://dx.doi.org/10.1103/PhysRevB.54.R6823")</f>
        <v>http://dx.doi.org/10.1103/PhysRevB.54.R6823</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2636</v>
      </c>
      <c r="BT250" s="1" t="str">
        <f>HYPERLINK("https%3A%2F%2Fwww.webofscience.com%2Fwos%2Fwoscc%2Ffull-record%2FWOS:A1996VH08200006","View Full Record in Web of Science")</f>
        <v>View Full Record in Web of Science</v>
      </c>
    </row>
    <row r="251" ht="12.75" customHeight="1">
      <c r="A251" s="1" t="s">
        <v>72</v>
      </c>
      <c r="B251" s="1" t="s">
        <v>2637</v>
      </c>
      <c r="C251" s="1" t="s">
        <v>74</v>
      </c>
      <c r="D251" s="1" t="s">
        <v>74</v>
      </c>
      <c r="E251" s="1" t="s">
        <v>74</v>
      </c>
      <c r="F251" s="1" t="s">
        <v>2638</v>
      </c>
      <c r="G251" s="1" t="s">
        <v>74</v>
      </c>
      <c r="H251" s="1" t="s">
        <v>74</v>
      </c>
      <c r="I251" s="1" t="s">
        <v>2639</v>
      </c>
      <c r="J251" s="1" t="s">
        <v>2640</v>
      </c>
      <c r="K251" s="1" t="s">
        <v>74</v>
      </c>
      <c r="L251" s="1" t="s">
        <v>74</v>
      </c>
      <c r="M251" s="1" t="s">
        <v>74</v>
      </c>
      <c r="N251" s="1" t="s">
        <v>74</v>
      </c>
      <c r="O251" s="1" t="s">
        <v>74</v>
      </c>
      <c r="P251" s="1" t="s">
        <v>74</v>
      </c>
      <c r="Q251" s="1" t="s">
        <v>74</v>
      </c>
      <c r="R251" s="1" t="s">
        <v>74</v>
      </c>
      <c r="S251" s="1" t="s">
        <v>74</v>
      </c>
      <c r="T251" s="1" t="s">
        <v>74</v>
      </c>
      <c r="U251" s="1" t="s">
        <v>74</v>
      </c>
      <c r="V251" s="1" t="s">
        <v>2641</v>
      </c>
      <c r="W251" s="1" t="s">
        <v>74</v>
      </c>
      <c r="X251" s="1" t="s">
        <v>74</v>
      </c>
      <c r="Y251" s="1" t="s">
        <v>74</v>
      </c>
      <c r="Z251" s="1" t="s">
        <v>74</v>
      </c>
      <c r="AA251" s="1" t="s">
        <v>2642</v>
      </c>
      <c r="AB251" s="1" t="s">
        <v>74</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2643</v>
      </c>
      <c r="AP251" s="1" t="s">
        <v>2644</v>
      </c>
      <c r="AQ251" s="1" t="s">
        <v>74</v>
      </c>
      <c r="AR251" s="1" t="s">
        <v>74</v>
      </c>
      <c r="AS251" s="1" t="s">
        <v>74</v>
      </c>
      <c r="AT251" s="1" t="s">
        <v>2645</v>
      </c>
      <c r="AU251" s="1">
        <v>2025.0</v>
      </c>
      <c r="AV251" s="1">
        <v>162.0</v>
      </c>
      <c r="AW251" s="1">
        <v>13.0</v>
      </c>
      <c r="AX251" s="1" t="s">
        <v>74</v>
      </c>
      <c r="AY251" s="1" t="s">
        <v>74</v>
      </c>
      <c r="AZ251" s="1" t="s">
        <v>74</v>
      </c>
      <c r="BA251" s="1" t="s">
        <v>74</v>
      </c>
      <c r="BB251" s="1" t="s">
        <v>74</v>
      </c>
      <c r="BC251" s="1" t="s">
        <v>74</v>
      </c>
      <c r="BD251" s="1">
        <v>134103.0</v>
      </c>
      <c r="BE251" s="1" t="s">
        <v>2646</v>
      </c>
      <c r="BF251" s="2" t="str">
        <f>HYPERLINK("http://dx.doi.org/10.1063/5.0247008","http://dx.doi.org/10.1063/5.0247008")</f>
        <v>http://dx.doi.org/10.1063/5.0247008</v>
      </c>
      <c r="BG251" s="1" t="s">
        <v>74</v>
      </c>
      <c r="BH251" s="1" t="s">
        <v>74</v>
      </c>
      <c r="BI251" s="1" t="s">
        <v>74</v>
      </c>
      <c r="BJ251" s="1" t="s">
        <v>74</v>
      </c>
      <c r="BK251" s="1" t="s">
        <v>74</v>
      </c>
      <c r="BL251" s="1" t="s">
        <v>74</v>
      </c>
      <c r="BM251" s="1" t="s">
        <v>74</v>
      </c>
      <c r="BN251" s="1">
        <v>4.0166992E7</v>
      </c>
      <c r="BO251" s="1" t="s">
        <v>74</v>
      </c>
      <c r="BP251" s="1" t="s">
        <v>74</v>
      </c>
      <c r="BQ251" s="1" t="s">
        <v>74</v>
      </c>
      <c r="BR251" s="1" t="s">
        <v>74</v>
      </c>
      <c r="BS251" s="1" t="s">
        <v>2647</v>
      </c>
      <c r="BT251" s="1" t="str">
        <f>HYPERLINK("https%3A%2F%2Fwww.webofscience.com%2Fwos%2Fwoscc%2Ffull-record%2FWOS:001458020200021","View Full Record in Web of Science")</f>
        <v>View Full Record in Web of Science</v>
      </c>
    </row>
    <row r="252" ht="12.75" customHeight="1">
      <c r="A252" s="1" t="s">
        <v>72</v>
      </c>
      <c r="B252" s="1" t="s">
        <v>2648</v>
      </c>
      <c r="C252" s="1" t="s">
        <v>74</v>
      </c>
      <c r="D252" s="1" t="s">
        <v>74</v>
      </c>
      <c r="E252" s="1" t="s">
        <v>74</v>
      </c>
      <c r="F252" s="1" t="s">
        <v>2649</v>
      </c>
      <c r="G252" s="1" t="s">
        <v>74</v>
      </c>
      <c r="H252" s="1" t="s">
        <v>74</v>
      </c>
      <c r="I252" s="1" t="s">
        <v>2650</v>
      </c>
      <c r="J252" s="1" t="s">
        <v>2651</v>
      </c>
      <c r="K252" s="1" t="s">
        <v>74</v>
      </c>
      <c r="L252" s="1" t="s">
        <v>74</v>
      </c>
      <c r="M252" s="1" t="s">
        <v>74</v>
      </c>
      <c r="N252" s="1" t="s">
        <v>74</v>
      </c>
      <c r="O252" s="1" t="s">
        <v>74</v>
      </c>
      <c r="P252" s="1" t="s">
        <v>74</v>
      </c>
      <c r="Q252" s="1" t="s">
        <v>74</v>
      </c>
      <c r="R252" s="1" t="s">
        <v>74</v>
      </c>
      <c r="S252" s="1" t="s">
        <v>74</v>
      </c>
      <c r="T252" s="1" t="s">
        <v>74</v>
      </c>
      <c r="U252" s="1" t="s">
        <v>74</v>
      </c>
      <c r="V252" s="1" t="s">
        <v>2652</v>
      </c>
      <c r="W252" s="1" t="s">
        <v>74</v>
      </c>
      <c r="X252" s="1" t="s">
        <v>74</v>
      </c>
      <c r="Y252" s="1" t="s">
        <v>74</v>
      </c>
      <c r="Z252" s="1" t="s">
        <v>74</v>
      </c>
      <c r="AA252" s="1" t="s">
        <v>2653</v>
      </c>
      <c r="AB252" s="1" t="s">
        <v>1654</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2654</v>
      </c>
      <c r="AP252" s="1" t="s">
        <v>2655</v>
      </c>
      <c r="AQ252" s="1" t="s">
        <v>74</v>
      </c>
      <c r="AR252" s="1" t="s">
        <v>74</v>
      </c>
      <c r="AS252" s="1" t="s">
        <v>74</v>
      </c>
      <c r="AT252" s="1" t="s">
        <v>120</v>
      </c>
      <c r="AU252" s="1">
        <v>2025.0</v>
      </c>
      <c r="AV252" s="1">
        <v>24.0</v>
      </c>
      <c r="AW252" s="1">
        <v>1.0</v>
      </c>
      <c r="AX252" s="1" t="s">
        <v>74</v>
      </c>
      <c r="AY252" s="1" t="s">
        <v>74</v>
      </c>
      <c r="AZ252" s="1" t="s">
        <v>74</v>
      </c>
      <c r="BA252" s="1" t="s">
        <v>74</v>
      </c>
      <c r="BB252" s="1" t="s">
        <v>74</v>
      </c>
      <c r="BC252" s="1" t="s">
        <v>74</v>
      </c>
      <c r="BD252" s="1">
        <v>45.0</v>
      </c>
      <c r="BE252" s="1" t="s">
        <v>2656</v>
      </c>
      <c r="BF252" s="2" t="str">
        <f>HYPERLINK("http://dx.doi.org/10.1007/s10207-024-00961-6","http://dx.doi.org/10.1007/s10207-024-00961-6")</f>
        <v>http://dx.doi.org/10.1007/s10207-024-00961-6</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2657</v>
      </c>
      <c r="BT252" s="1" t="str">
        <f>HYPERLINK("https%3A%2F%2Fwww.webofscience.com%2Fwos%2Fwoscc%2Ffull-record%2FWOS:001379064400002","View Full Record in Web of Science")</f>
        <v>View Full Record in Web of Science</v>
      </c>
    </row>
    <row r="253" ht="12.75" customHeight="1">
      <c r="A253" s="1" t="s">
        <v>72</v>
      </c>
      <c r="B253" s="1" t="s">
        <v>2658</v>
      </c>
      <c r="C253" s="1" t="s">
        <v>74</v>
      </c>
      <c r="D253" s="1" t="s">
        <v>74</v>
      </c>
      <c r="E253" s="1" t="s">
        <v>74</v>
      </c>
      <c r="F253" s="1" t="s">
        <v>2659</v>
      </c>
      <c r="G253" s="1" t="s">
        <v>74</v>
      </c>
      <c r="H253" s="1" t="s">
        <v>74</v>
      </c>
      <c r="I253" s="1" t="s">
        <v>2660</v>
      </c>
      <c r="J253" s="1" t="s">
        <v>2661</v>
      </c>
      <c r="K253" s="1" t="s">
        <v>74</v>
      </c>
      <c r="L253" s="1" t="s">
        <v>74</v>
      </c>
      <c r="M253" s="1" t="s">
        <v>74</v>
      </c>
      <c r="N253" s="1" t="s">
        <v>74</v>
      </c>
      <c r="O253" s="1" t="s">
        <v>74</v>
      </c>
      <c r="P253" s="1" t="s">
        <v>74</v>
      </c>
      <c r="Q253" s="1" t="s">
        <v>74</v>
      </c>
      <c r="R253" s="1" t="s">
        <v>74</v>
      </c>
      <c r="S253" s="1" t="s">
        <v>74</v>
      </c>
      <c r="T253" s="1" t="s">
        <v>74</v>
      </c>
      <c r="U253" s="1" t="s">
        <v>74</v>
      </c>
      <c r="V253" s="1" t="s">
        <v>2662</v>
      </c>
      <c r="W253" s="1" t="s">
        <v>74</v>
      </c>
      <c r="X253" s="1" t="s">
        <v>74</v>
      </c>
      <c r="Y253" s="1" t="s">
        <v>74</v>
      </c>
      <c r="Z253" s="1" t="s">
        <v>74</v>
      </c>
      <c r="AA253" s="1" t="s">
        <v>2663</v>
      </c>
      <c r="AB253" s="1" t="s">
        <v>2664</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2665</v>
      </c>
      <c r="AP253" s="1" t="s">
        <v>2666</v>
      </c>
      <c r="AQ253" s="1" t="s">
        <v>74</v>
      </c>
      <c r="AR253" s="1" t="s">
        <v>74</v>
      </c>
      <c r="AS253" s="1" t="s">
        <v>74</v>
      </c>
      <c r="AT253" s="1" t="s">
        <v>2667</v>
      </c>
      <c r="AU253" s="1">
        <v>2025.0</v>
      </c>
      <c r="AV253" s="1">
        <v>480.0</v>
      </c>
      <c r="AW253" s="1" t="s">
        <v>74</v>
      </c>
      <c r="AX253" s="1" t="s">
        <v>74</v>
      </c>
      <c r="AY253" s="1" t="s">
        <v>74</v>
      </c>
      <c r="AZ253" s="1" t="s">
        <v>74</v>
      </c>
      <c r="BA253" s="1" t="s">
        <v>74</v>
      </c>
      <c r="BB253" s="1" t="s">
        <v>74</v>
      </c>
      <c r="BC253" s="1" t="s">
        <v>74</v>
      </c>
      <c r="BD253" s="1">
        <v>115385.0</v>
      </c>
      <c r="BE253" s="1" t="s">
        <v>2668</v>
      </c>
      <c r="BF253" s="2" t="str">
        <f>HYPERLINK("http://dx.doi.org/10.1016/j.bbr.2024.115385","http://dx.doi.org/10.1016/j.bbr.2024.115385")</f>
        <v>http://dx.doi.org/10.1016/j.bbr.2024.115385</v>
      </c>
      <c r="BG253" s="1" t="s">
        <v>74</v>
      </c>
      <c r="BH253" s="1" t="s">
        <v>2669</v>
      </c>
      <c r="BI253" s="1" t="s">
        <v>74</v>
      </c>
      <c r="BJ253" s="1" t="s">
        <v>74</v>
      </c>
      <c r="BK253" s="1" t="s">
        <v>74</v>
      </c>
      <c r="BL253" s="1" t="s">
        <v>74</v>
      </c>
      <c r="BM253" s="1" t="s">
        <v>74</v>
      </c>
      <c r="BN253" s="1">
        <v>3.9667646E7</v>
      </c>
      <c r="BO253" s="1" t="s">
        <v>74</v>
      </c>
      <c r="BP253" s="1" t="s">
        <v>74</v>
      </c>
      <c r="BQ253" s="1" t="s">
        <v>74</v>
      </c>
      <c r="BR253" s="1" t="s">
        <v>74</v>
      </c>
      <c r="BS253" s="1" t="s">
        <v>2670</v>
      </c>
      <c r="BT253" s="1" t="str">
        <f>HYPERLINK("https%3A%2F%2Fwww.webofscience.com%2Fwos%2Fwoscc%2Ffull-record%2FWOS:001391295400001","View Full Record in Web of Science")</f>
        <v>View Full Record in Web of Science</v>
      </c>
    </row>
    <row r="254" ht="12.75" customHeight="1">
      <c r="A254" s="1" t="s">
        <v>72</v>
      </c>
      <c r="B254" s="1" t="s">
        <v>2671</v>
      </c>
      <c r="C254" s="1" t="s">
        <v>74</v>
      </c>
      <c r="D254" s="1" t="s">
        <v>74</v>
      </c>
      <c r="E254" s="1" t="s">
        <v>74</v>
      </c>
      <c r="F254" s="1" t="s">
        <v>2672</v>
      </c>
      <c r="G254" s="1" t="s">
        <v>74</v>
      </c>
      <c r="H254" s="1" t="s">
        <v>74</v>
      </c>
      <c r="I254" s="1" t="s">
        <v>2673</v>
      </c>
      <c r="J254" s="1" t="s">
        <v>2674</v>
      </c>
      <c r="K254" s="1" t="s">
        <v>74</v>
      </c>
      <c r="L254" s="1" t="s">
        <v>74</v>
      </c>
      <c r="M254" s="1" t="s">
        <v>74</v>
      </c>
      <c r="N254" s="1" t="s">
        <v>74</v>
      </c>
      <c r="O254" s="1" t="s">
        <v>74</v>
      </c>
      <c r="P254" s="1" t="s">
        <v>74</v>
      </c>
      <c r="Q254" s="1" t="s">
        <v>74</v>
      </c>
      <c r="R254" s="1" t="s">
        <v>74</v>
      </c>
      <c r="S254" s="1" t="s">
        <v>74</v>
      </c>
      <c r="T254" s="1" t="s">
        <v>74</v>
      </c>
      <c r="U254" s="1" t="s">
        <v>74</v>
      </c>
      <c r="V254" s="1" t="s">
        <v>2675</v>
      </c>
      <c r="W254" s="1" t="s">
        <v>74</v>
      </c>
      <c r="X254" s="1" t="s">
        <v>74</v>
      </c>
      <c r="Y254" s="1" t="s">
        <v>74</v>
      </c>
      <c r="Z254" s="1" t="s">
        <v>74</v>
      </c>
      <c r="AA254" s="1" t="s">
        <v>2676</v>
      </c>
      <c r="AB254" s="1" t="s">
        <v>2677</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74</v>
      </c>
      <c r="AP254" s="1" t="s">
        <v>2678</v>
      </c>
      <c r="AQ254" s="1" t="s">
        <v>74</v>
      </c>
      <c r="AR254" s="1" t="s">
        <v>74</v>
      </c>
      <c r="AS254" s="1" t="s">
        <v>74</v>
      </c>
      <c r="AT254" s="1" t="s">
        <v>596</v>
      </c>
      <c r="AU254" s="1">
        <v>2023.0</v>
      </c>
      <c r="AV254" s="1">
        <v>13.0</v>
      </c>
      <c r="AW254" s="1">
        <v>21.0</v>
      </c>
      <c r="AX254" s="1" t="s">
        <v>74</v>
      </c>
      <c r="AY254" s="1" t="s">
        <v>74</v>
      </c>
      <c r="AZ254" s="1" t="s">
        <v>74</v>
      </c>
      <c r="BA254" s="1" t="s">
        <v>74</v>
      </c>
      <c r="BB254" s="1" t="s">
        <v>74</v>
      </c>
      <c r="BC254" s="1" t="s">
        <v>74</v>
      </c>
      <c r="BD254" s="1">
        <v>2841.0</v>
      </c>
      <c r="BE254" s="1" t="s">
        <v>2679</v>
      </c>
      <c r="BF254" s="2" t="str">
        <f>HYPERLINK("http://dx.doi.org/10.3390/nano13212841","http://dx.doi.org/10.3390/nano13212841")</f>
        <v>http://dx.doi.org/10.3390/nano13212841</v>
      </c>
      <c r="BG254" s="1" t="s">
        <v>74</v>
      </c>
      <c r="BH254" s="1" t="s">
        <v>74</v>
      </c>
      <c r="BI254" s="1" t="s">
        <v>74</v>
      </c>
      <c r="BJ254" s="1" t="s">
        <v>74</v>
      </c>
      <c r="BK254" s="1" t="s">
        <v>74</v>
      </c>
      <c r="BL254" s="1" t="s">
        <v>74</v>
      </c>
      <c r="BM254" s="1" t="s">
        <v>74</v>
      </c>
      <c r="BN254" s="1">
        <v>3.7947687E7</v>
      </c>
      <c r="BO254" s="1" t="s">
        <v>74</v>
      </c>
      <c r="BP254" s="1" t="s">
        <v>74</v>
      </c>
      <c r="BQ254" s="1" t="s">
        <v>74</v>
      </c>
      <c r="BR254" s="1" t="s">
        <v>74</v>
      </c>
      <c r="BS254" s="1" t="s">
        <v>2680</v>
      </c>
      <c r="BT254" s="1" t="str">
        <f>HYPERLINK("https%3A%2F%2Fwww.webofscience.com%2Fwos%2Fwoscc%2Ffull-record%2FWOS:001100302700001","View Full Record in Web of Science")</f>
        <v>View Full Record in Web of Science</v>
      </c>
    </row>
    <row r="255" ht="12.75" customHeight="1">
      <c r="A255" s="1" t="s">
        <v>72</v>
      </c>
      <c r="B255" s="1" t="s">
        <v>2681</v>
      </c>
      <c r="C255" s="1" t="s">
        <v>74</v>
      </c>
      <c r="D255" s="1" t="s">
        <v>74</v>
      </c>
      <c r="E255" s="1" t="s">
        <v>74</v>
      </c>
      <c r="F255" s="1" t="s">
        <v>2682</v>
      </c>
      <c r="G255" s="1" t="s">
        <v>74</v>
      </c>
      <c r="H255" s="1" t="s">
        <v>74</v>
      </c>
      <c r="I255" s="1" t="s">
        <v>2683</v>
      </c>
      <c r="J255" s="1" t="s">
        <v>2684</v>
      </c>
      <c r="K255" s="1" t="s">
        <v>74</v>
      </c>
      <c r="L255" s="1" t="s">
        <v>74</v>
      </c>
      <c r="M255" s="1" t="s">
        <v>74</v>
      </c>
      <c r="N255" s="1" t="s">
        <v>74</v>
      </c>
      <c r="O255" s="1" t="s">
        <v>74</v>
      </c>
      <c r="P255" s="1" t="s">
        <v>74</v>
      </c>
      <c r="Q255" s="1" t="s">
        <v>74</v>
      </c>
      <c r="R255" s="1" t="s">
        <v>74</v>
      </c>
      <c r="S255" s="1" t="s">
        <v>74</v>
      </c>
      <c r="T255" s="1" t="s">
        <v>74</v>
      </c>
      <c r="U255" s="1" t="s">
        <v>74</v>
      </c>
      <c r="V255" s="1" t="s">
        <v>2685</v>
      </c>
      <c r="W255" s="1" t="s">
        <v>74</v>
      </c>
      <c r="X255" s="1" t="s">
        <v>74</v>
      </c>
      <c r="Y255" s="1" t="s">
        <v>74</v>
      </c>
      <c r="Z255" s="1" t="s">
        <v>74</v>
      </c>
      <c r="AA255" s="1" t="s">
        <v>2686</v>
      </c>
      <c r="AB255" s="1" t="s">
        <v>2687</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2688</v>
      </c>
      <c r="AP255" s="1" t="s">
        <v>2689</v>
      </c>
      <c r="AQ255" s="1" t="s">
        <v>74</v>
      </c>
      <c r="AR255" s="1" t="s">
        <v>74</v>
      </c>
      <c r="AS255" s="1" t="s">
        <v>74</v>
      </c>
      <c r="AT255" s="1" t="s">
        <v>2690</v>
      </c>
      <c r="AU255" s="1">
        <v>2022.0</v>
      </c>
      <c r="AV255" s="1">
        <v>35.0</v>
      </c>
      <c r="AW255" s="1">
        <v>4.0</v>
      </c>
      <c r="AX255" s="1" t="s">
        <v>74</v>
      </c>
      <c r="AY255" s="1" t="s">
        <v>74</v>
      </c>
      <c r="AZ255" s="1" t="s">
        <v>74</v>
      </c>
      <c r="BA255" s="1" t="s">
        <v>74</v>
      </c>
      <c r="BB255" s="1">
        <v>435.0</v>
      </c>
      <c r="BC255" s="1">
        <v>457.0</v>
      </c>
      <c r="BD255" s="1" t="s">
        <v>74</v>
      </c>
      <c r="BE255" s="1" t="s">
        <v>2691</v>
      </c>
      <c r="BF255" s="2" t="str">
        <f>HYPERLINK("http://dx.doi.org/10.1108/ARLA-08-2021-0163","http://dx.doi.org/10.1108/ARLA-08-2021-0163")</f>
        <v>http://dx.doi.org/10.1108/ARLA-08-2021-0163</v>
      </c>
      <c r="BG255" s="1" t="s">
        <v>74</v>
      </c>
      <c r="BH255" s="1" t="s">
        <v>2692</v>
      </c>
      <c r="BI255" s="1" t="s">
        <v>74</v>
      </c>
      <c r="BJ255" s="1" t="s">
        <v>74</v>
      </c>
      <c r="BK255" s="1" t="s">
        <v>74</v>
      </c>
      <c r="BL255" s="1" t="s">
        <v>74</v>
      </c>
      <c r="BM255" s="1" t="s">
        <v>74</v>
      </c>
      <c r="BN255" s="1" t="s">
        <v>74</v>
      </c>
      <c r="BO255" s="1" t="s">
        <v>74</v>
      </c>
      <c r="BP255" s="1" t="s">
        <v>74</v>
      </c>
      <c r="BQ255" s="1" t="s">
        <v>74</v>
      </c>
      <c r="BR255" s="1" t="s">
        <v>74</v>
      </c>
      <c r="BS255" s="1" t="s">
        <v>2693</v>
      </c>
      <c r="BT255" s="1" t="str">
        <f>HYPERLINK("https%3A%2F%2Fwww.webofscience.com%2Fwos%2Fwoscc%2Ffull-record%2FWOS:000849048600001","View Full Record in Web of Science")</f>
        <v>View Full Record in Web of Science</v>
      </c>
    </row>
    <row r="256" ht="12.75" customHeight="1">
      <c r="A256" s="1" t="s">
        <v>72</v>
      </c>
      <c r="B256" s="1" t="s">
        <v>2694</v>
      </c>
      <c r="C256" s="1" t="s">
        <v>74</v>
      </c>
      <c r="D256" s="1" t="s">
        <v>74</v>
      </c>
      <c r="E256" s="1" t="s">
        <v>74</v>
      </c>
      <c r="F256" s="1" t="s">
        <v>2695</v>
      </c>
      <c r="G256" s="1" t="s">
        <v>74</v>
      </c>
      <c r="H256" s="1" t="s">
        <v>74</v>
      </c>
      <c r="I256" s="1" t="s">
        <v>2696</v>
      </c>
      <c r="J256" s="1" t="s">
        <v>138</v>
      </c>
      <c r="K256" s="1" t="s">
        <v>74</v>
      </c>
      <c r="L256" s="1" t="s">
        <v>74</v>
      </c>
      <c r="M256" s="1" t="s">
        <v>74</v>
      </c>
      <c r="N256" s="1" t="s">
        <v>74</v>
      </c>
      <c r="O256" s="1" t="s">
        <v>74</v>
      </c>
      <c r="P256" s="1" t="s">
        <v>74</v>
      </c>
      <c r="Q256" s="1" t="s">
        <v>74</v>
      </c>
      <c r="R256" s="1" t="s">
        <v>74</v>
      </c>
      <c r="S256" s="1" t="s">
        <v>74</v>
      </c>
      <c r="T256" s="1" t="s">
        <v>74</v>
      </c>
      <c r="U256" s="1" t="s">
        <v>74</v>
      </c>
      <c r="V256" s="1" t="s">
        <v>74</v>
      </c>
      <c r="W256" s="1" t="s">
        <v>74</v>
      </c>
      <c r="X256" s="1" t="s">
        <v>74</v>
      </c>
      <c r="Y256" s="1" t="s">
        <v>74</v>
      </c>
      <c r="Z256" s="1" t="s">
        <v>74</v>
      </c>
      <c r="AA256" s="1" t="s">
        <v>2697</v>
      </c>
      <c r="AB256" s="1" t="s">
        <v>2698</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74</v>
      </c>
      <c r="AP256" s="1" t="s">
        <v>142</v>
      </c>
      <c r="AQ256" s="1" t="s">
        <v>74</v>
      </c>
      <c r="AR256" s="1" t="s">
        <v>74</v>
      </c>
      <c r="AS256" s="1" t="s">
        <v>74</v>
      </c>
      <c r="AT256" s="1" t="s">
        <v>187</v>
      </c>
      <c r="AU256" s="1">
        <v>2022.0</v>
      </c>
      <c r="AV256" s="1">
        <v>14.0</v>
      </c>
      <c r="AW256" s="1">
        <v>8.0</v>
      </c>
      <c r="AX256" s="1" t="s">
        <v>74</v>
      </c>
      <c r="AY256" s="1" t="s">
        <v>74</v>
      </c>
      <c r="AZ256" s="1" t="s">
        <v>74</v>
      </c>
      <c r="BA256" s="1" t="s">
        <v>74</v>
      </c>
      <c r="BB256" s="1" t="s">
        <v>74</v>
      </c>
      <c r="BC256" s="1" t="s">
        <v>74</v>
      </c>
      <c r="BD256" s="1">
        <v>4581.0</v>
      </c>
      <c r="BE256" s="1" t="s">
        <v>2699</v>
      </c>
      <c r="BF256" s="2" t="str">
        <f>HYPERLINK("http://dx.doi.org/10.3390/su14084581","http://dx.doi.org/10.3390/su14084581")</f>
        <v>http://dx.doi.org/10.3390/su14084581</v>
      </c>
      <c r="BG256" s="1" t="s">
        <v>74</v>
      </c>
      <c r="BH256" s="1" t="s">
        <v>74</v>
      </c>
      <c r="BI256" s="1" t="s">
        <v>74</v>
      </c>
      <c r="BJ256" s="1" t="s">
        <v>74</v>
      </c>
      <c r="BK256" s="1" t="s">
        <v>74</v>
      </c>
      <c r="BL256" s="1" t="s">
        <v>74</v>
      </c>
      <c r="BM256" s="1" t="s">
        <v>74</v>
      </c>
      <c r="BN256" s="1" t="s">
        <v>74</v>
      </c>
      <c r="BO256" s="1" t="s">
        <v>74</v>
      </c>
      <c r="BP256" s="1" t="s">
        <v>74</v>
      </c>
      <c r="BQ256" s="1" t="s">
        <v>74</v>
      </c>
      <c r="BR256" s="1" t="s">
        <v>74</v>
      </c>
      <c r="BS256" s="1" t="s">
        <v>2700</v>
      </c>
      <c r="BT256" s="1" t="str">
        <f>HYPERLINK("https%3A%2F%2Fwww.webofscience.com%2Fwos%2Fwoscc%2Ffull-record%2FWOS:000786331100001","View Full Record in Web of Science")</f>
        <v>View Full Record in Web of Science</v>
      </c>
    </row>
    <row r="257" ht="12.75" customHeight="1">
      <c r="A257" s="1" t="s">
        <v>72</v>
      </c>
      <c r="B257" s="1" t="s">
        <v>2701</v>
      </c>
      <c r="C257" s="1" t="s">
        <v>74</v>
      </c>
      <c r="D257" s="1" t="s">
        <v>74</v>
      </c>
      <c r="E257" s="1" t="s">
        <v>74</v>
      </c>
      <c r="F257" s="1" t="s">
        <v>2702</v>
      </c>
      <c r="G257" s="1" t="s">
        <v>74</v>
      </c>
      <c r="H257" s="1" t="s">
        <v>74</v>
      </c>
      <c r="I257" s="1" t="s">
        <v>2703</v>
      </c>
      <c r="J257" s="1" t="s">
        <v>2704</v>
      </c>
      <c r="K257" s="1" t="s">
        <v>74</v>
      </c>
      <c r="L257" s="1" t="s">
        <v>74</v>
      </c>
      <c r="M257" s="1" t="s">
        <v>74</v>
      </c>
      <c r="N257" s="1" t="s">
        <v>74</v>
      </c>
      <c r="O257" s="1" t="s">
        <v>74</v>
      </c>
      <c r="P257" s="1" t="s">
        <v>74</v>
      </c>
      <c r="Q257" s="1" t="s">
        <v>74</v>
      </c>
      <c r="R257" s="1" t="s">
        <v>74</v>
      </c>
      <c r="S257" s="1" t="s">
        <v>74</v>
      </c>
      <c r="T257" s="1" t="s">
        <v>74</v>
      </c>
      <c r="U257" s="1" t="s">
        <v>74</v>
      </c>
      <c r="V257" s="1" t="s">
        <v>2705</v>
      </c>
      <c r="W257" s="1" t="s">
        <v>74</v>
      </c>
      <c r="X257" s="1" t="s">
        <v>74</v>
      </c>
      <c r="Y257" s="1" t="s">
        <v>74</v>
      </c>
      <c r="Z257" s="1" t="s">
        <v>74</v>
      </c>
      <c r="AA257" s="1" t="s">
        <v>2706</v>
      </c>
      <c r="AB257" s="1" t="s">
        <v>2707</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2708</v>
      </c>
      <c r="AP257" s="1" t="s">
        <v>2709</v>
      </c>
      <c r="AQ257" s="1" t="s">
        <v>74</v>
      </c>
      <c r="AR257" s="1" t="s">
        <v>74</v>
      </c>
      <c r="AS257" s="1" t="s">
        <v>74</v>
      </c>
      <c r="AT257" s="1" t="s">
        <v>107</v>
      </c>
      <c r="AU257" s="1">
        <v>2022.0</v>
      </c>
      <c r="AV257" s="1">
        <v>31.0</v>
      </c>
      <c r="AW257" s="1">
        <v>5.0</v>
      </c>
      <c r="AX257" s="1" t="s">
        <v>74</v>
      </c>
      <c r="AY257" s="1" t="s">
        <v>74</v>
      </c>
      <c r="AZ257" s="1" t="s">
        <v>74</v>
      </c>
      <c r="BA257" s="1" t="s">
        <v>74</v>
      </c>
      <c r="BB257" s="1">
        <v>645.0</v>
      </c>
      <c r="BC257" s="1">
        <v>664.0</v>
      </c>
      <c r="BD257" s="1">
        <v>1.056789521107258E16</v>
      </c>
      <c r="BE257" s="1" t="s">
        <v>2710</v>
      </c>
      <c r="BF257" s="2" t="str">
        <f>HYPERLINK("http://dx.doi.org/10.1177/10567895211072581","http://dx.doi.org/10.1177/10567895211072581")</f>
        <v>http://dx.doi.org/10.1177/10567895211072581</v>
      </c>
      <c r="BG257" s="1" t="s">
        <v>74</v>
      </c>
      <c r="BH257" s="1" t="s">
        <v>2711</v>
      </c>
      <c r="BI257" s="1" t="s">
        <v>74</v>
      </c>
      <c r="BJ257" s="1" t="s">
        <v>74</v>
      </c>
      <c r="BK257" s="1" t="s">
        <v>74</v>
      </c>
      <c r="BL257" s="1" t="s">
        <v>74</v>
      </c>
      <c r="BM257" s="1" t="s">
        <v>74</v>
      </c>
      <c r="BN257" s="1" t="s">
        <v>74</v>
      </c>
      <c r="BO257" s="1" t="s">
        <v>74</v>
      </c>
      <c r="BP257" s="1" t="s">
        <v>74</v>
      </c>
      <c r="BQ257" s="1" t="s">
        <v>74</v>
      </c>
      <c r="BR257" s="1" t="s">
        <v>74</v>
      </c>
      <c r="BS257" s="1" t="s">
        <v>2712</v>
      </c>
      <c r="BT257" s="1" t="str">
        <f>HYPERLINK("https%3A%2F%2Fwww.webofscience.com%2Fwos%2Fwoscc%2Ffull-record%2FWOS:000748898700001","View Full Record in Web of Science")</f>
        <v>View Full Record in Web of Science</v>
      </c>
    </row>
    <row r="258" ht="12.75" customHeight="1">
      <c r="A258" s="1" t="s">
        <v>72</v>
      </c>
      <c r="B258" s="1" t="s">
        <v>2713</v>
      </c>
      <c r="C258" s="1" t="s">
        <v>74</v>
      </c>
      <c r="D258" s="1" t="s">
        <v>74</v>
      </c>
      <c r="E258" s="1" t="s">
        <v>74</v>
      </c>
      <c r="F258" s="1" t="s">
        <v>2714</v>
      </c>
      <c r="G258" s="1" t="s">
        <v>74</v>
      </c>
      <c r="H258" s="1" t="s">
        <v>74</v>
      </c>
      <c r="I258" s="1" t="s">
        <v>2715</v>
      </c>
      <c r="J258" s="1" t="s">
        <v>2716</v>
      </c>
      <c r="K258" s="1" t="s">
        <v>74</v>
      </c>
      <c r="L258" s="1" t="s">
        <v>74</v>
      </c>
      <c r="M258" s="1" t="s">
        <v>74</v>
      </c>
      <c r="N258" s="1" t="s">
        <v>74</v>
      </c>
      <c r="O258" s="1" t="s">
        <v>74</v>
      </c>
      <c r="P258" s="1" t="s">
        <v>74</v>
      </c>
      <c r="Q258" s="1" t="s">
        <v>74</v>
      </c>
      <c r="R258" s="1" t="s">
        <v>74</v>
      </c>
      <c r="S258" s="1" t="s">
        <v>74</v>
      </c>
      <c r="T258" s="1" t="s">
        <v>74</v>
      </c>
      <c r="U258" s="1" t="s">
        <v>74</v>
      </c>
      <c r="V258" s="1" t="s">
        <v>2717</v>
      </c>
      <c r="W258" s="1" t="s">
        <v>74</v>
      </c>
      <c r="X258" s="1" t="s">
        <v>74</v>
      </c>
      <c r="Y258" s="1" t="s">
        <v>74</v>
      </c>
      <c r="Z258" s="1" t="s">
        <v>74</v>
      </c>
      <c r="AA258" s="1" t="s">
        <v>2718</v>
      </c>
      <c r="AB258" s="1" t="s">
        <v>2719</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2720</v>
      </c>
      <c r="AP258" s="1" t="s">
        <v>74</v>
      </c>
      <c r="AQ258" s="1" t="s">
        <v>74</v>
      </c>
      <c r="AR258" s="1" t="s">
        <v>74</v>
      </c>
      <c r="AS258" s="1" t="s">
        <v>74</v>
      </c>
      <c r="AT258" s="1" t="s">
        <v>496</v>
      </c>
      <c r="AU258" s="1">
        <v>2022.0</v>
      </c>
      <c r="AV258" s="1">
        <v>20.0</v>
      </c>
      <c r="AW258" s="1">
        <v>1.0</v>
      </c>
      <c r="AX258" s="1" t="s">
        <v>74</v>
      </c>
      <c r="AY258" s="1" t="s">
        <v>74</v>
      </c>
      <c r="AZ258" s="1" t="s">
        <v>74</v>
      </c>
      <c r="BA258" s="1" t="s">
        <v>74</v>
      </c>
      <c r="BB258" s="1">
        <v>141.0</v>
      </c>
      <c r="BC258" s="1">
        <v>152.0</v>
      </c>
      <c r="BD258" s="1" t="s">
        <v>74</v>
      </c>
      <c r="BE258" s="1" t="s">
        <v>2721</v>
      </c>
      <c r="BF258" s="2" t="str">
        <f>HYPERLINK("http://dx.doi.org/10.1109/TLA.2022.9662183","http://dx.doi.org/10.1109/TLA.2022.9662183")</f>
        <v>http://dx.doi.org/10.1109/TLA.2022.9662183</v>
      </c>
      <c r="BG258" s="1" t="s">
        <v>74</v>
      </c>
      <c r="BH258" s="1" t="s">
        <v>74</v>
      </c>
      <c r="BI258" s="1" t="s">
        <v>74</v>
      </c>
      <c r="BJ258" s="1" t="s">
        <v>74</v>
      </c>
      <c r="BK258" s="1" t="s">
        <v>74</v>
      </c>
      <c r="BL258" s="1" t="s">
        <v>74</v>
      </c>
      <c r="BM258" s="1" t="s">
        <v>74</v>
      </c>
      <c r="BN258" s="1" t="s">
        <v>74</v>
      </c>
      <c r="BO258" s="1" t="s">
        <v>74</v>
      </c>
      <c r="BP258" s="1" t="s">
        <v>74</v>
      </c>
      <c r="BQ258" s="1" t="s">
        <v>74</v>
      </c>
      <c r="BR258" s="1" t="s">
        <v>74</v>
      </c>
      <c r="BS258" s="1" t="s">
        <v>2722</v>
      </c>
      <c r="BT258" s="1" t="str">
        <f>HYPERLINK("https%3A%2F%2Fwww.webofscience.com%2Fwos%2Fwoscc%2Ffull-record%2FWOS:000733944300018","View Full Record in Web of Science")</f>
        <v>View Full Record in Web of Science</v>
      </c>
    </row>
    <row r="259" ht="12.75" customHeight="1">
      <c r="A259" s="1" t="s">
        <v>72</v>
      </c>
      <c r="B259" s="1" t="s">
        <v>2723</v>
      </c>
      <c r="C259" s="1" t="s">
        <v>74</v>
      </c>
      <c r="D259" s="1" t="s">
        <v>74</v>
      </c>
      <c r="E259" s="1" t="s">
        <v>74</v>
      </c>
      <c r="F259" s="1" t="s">
        <v>2724</v>
      </c>
      <c r="G259" s="1" t="s">
        <v>74</v>
      </c>
      <c r="H259" s="1" t="s">
        <v>74</v>
      </c>
      <c r="I259" s="1" t="s">
        <v>2725</v>
      </c>
      <c r="J259" s="1" t="s">
        <v>1293</v>
      </c>
      <c r="K259" s="1" t="s">
        <v>74</v>
      </c>
      <c r="L259" s="1" t="s">
        <v>74</v>
      </c>
      <c r="M259" s="1" t="s">
        <v>74</v>
      </c>
      <c r="N259" s="1" t="s">
        <v>74</v>
      </c>
      <c r="O259" s="1" t="s">
        <v>74</v>
      </c>
      <c r="P259" s="1" t="s">
        <v>74</v>
      </c>
      <c r="Q259" s="1" t="s">
        <v>74</v>
      </c>
      <c r="R259" s="1" t="s">
        <v>74</v>
      </c>
      <c r="S259" s="1" t="s">
        <v>74</v>
      </c>
      <c r="T259" s="1" t="s">
        <v>74</v>
      </c>
      <c r="U259" s="1" t="s">
        <v>74</v>
      </c>
      <c r="V259" s="1" t="s">
        <v>2726</v>
      </c>
      <c r="W259" s="1" t="s">
        <v>74</v>
      </c>
      <c r="X259" s="1" t="s">
        <v>74</v>
      </c>
      <c r="Y259" s="1" t="s">
        <v>74</v>
      </c>
      <c r="Z259" s="1" t="s">
        <v>74</v>
      </c>
      <c r="AA259" s="1" t="s">
        <v>2727</v>
      </c>
      <c r="AB259" s="1" t="s">
        <v>74</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1295</v>
      </c>
      <c r="AP259" s="1" t="s">
        <v>1296</v>
      </c>
      <c r="AQ259" s="1" t="s">
        <v>74</v>
      </c>
      <c r="AR259" s="1" t="s">
        <v>74</v>
      </c>
      <c r="AS259" s="1" t="s">
        <v>74</v>
      </c>
      <c r="AT259" s="1" t="s">
        <v>596</v>
      </c>
      <c r="AU259" s="1">
        <v>2021.0</v>
      </c>
      <c r="AV259" s="1">
        <v>36.0</v>
      </c>
      <c r="AW259" s="1">
        <v>103.0</v>
      </c>
      <c r="AX259" s="1" t="s">
        <v>74</v>
      </c>
      <c r="AY259" s="1" t="s">
        <v>74</v>
      </c>
      <c r="AZ259" s="1" t="s">
        <v>74</v>
      </c>
      <c r="BA259" s="1" t="s">
        <v>74</v>
      </c>
      <c r="BB259" s="1">
        <v>323.0</v>
      </c>
      <c r="BC259" s="1">
        <v>348.0</v>
      </c>
      <c r="BD259" s="1" t="s">
        <v>74</v>
      </c>
      <c r="BE259" s="1" t="s">
        <v>2728</v>
      </c>
      <c r="BF259" s="2" t="str">
        <f>HYPERLINK("http://dx.doi.org/10.4067/S0718-83582021000300323","http://dx.doi.org/10.4067/S0718-83582021000300323")</f>
        <v>http://dx.doi.org/10.4067/S0718-83582021000300323</v>
      </c>
      <c r="BG259" s="1" t="s">
        <v>74</v>
      </c>
      <c r="BH259" s="1" t="s">
        <v>74</v>
      </c>
      <c r="BI259" s="1" t="s">
        <v>74</v>
      </c>
      <c r="BJ259" s="1" t="s">
        <v>74</v>
      </c>
      <c r="BK259" s="1" t="s">
        <v>74</v>
      </c>
      <c r="BL259" s="1" t="s">
        <v>74</v>
      </c>
      <c r="BM259" s="1" t="s">
        <v>74</v>
      </c>
      <c r="BN259" s="1" t="s">
        <v>74</v>
      </c>
      <c r="BO259" s="1" t="s">
        <v>74</v>
      </c>
      <c r="BP259" s="1" t="s">
        <v>74</v>
      </c>
      <c r="BQ259" s="1" t="s">
        <v>74</v>
      </c>
      <c r="BR259" s="1" t="s">
        <v>74</v>
      </c>
      <c r="BS259" s="1" t="s">
        <v>2729</v>
      </c>
      <c r="BT259" s="1" t="str">
        <f>HYPERLINK("https%3A%2F%2Fwww.webofscience.com%2Fwos%2Fwoscc%2Ffull-record%2FWOS:000744248400001","View Full Record in Web of Science")</f>
        <v>View Full Record in Web of Science</v>
      </c>
    </row>
    <row r="260" ht="12.75" customHeight="1">
      <c r="A260" s="1" t="s">
        <v>72</v>
      </c>
      <c r="B260" s="1" t="s">
        <v>2730</v>
      </c>
      <c r="C260" s="1" t="s">
        <v>74</v>
      </c>
      <c r="D260" s="1" t="s">
        <v>74</v>
      </c>
      <c r="E260" s="1" t="s">
        <v>74</v>
      </c>
      <c r="F260" s="1" t="s">
        <v>2731</v>
      </c>
      <c r="G260" s="1" t="s">
        <v>74</v>
      </c>
      <c r="H260" s="1" t="s">
        <v>74</v>
      </c>
      <c r="I260" s="1" t="s">
        <v>2732</v>
      </c>
      <c r="J260" s="1" t="s">
        <v>2733</v>
      </c>
      <c r="K260" s="1" t="s">
        <v>74</v>
      </c>
      <c r="L260" s="1" t="s">
        <v>74</v>
      </c>
      <c r="M260" s="1" t="s">
        <v>74</v>
      </c>
      <c r="N260" s="1" t="s">
        <v>74</v>
      </c>
      <c r="O260" s="1" t="s">
        <v>74</v>
      </c>
      <c r="P260" s="1" t="s">
        <v>74</v>
      </c>
      <c r="Q260" s="1" t="s">
        <v>74</v>
      </c>
      <c r="R260" s="1" t="s">
        <v>74</v>
      </c>
      <c r="S260" s="1" t="s">
        <v>74</v>
      </c>
      <c r="T260" s="1" t="s">
        <v>74</v>
      </c>
      <c r="U260" s="1" t="s">
        <v>74</v>
      </c>
      <c r="V260" s="1" t="s">
        <v>2734</v>
      </c>
      <c r="W260" s="1" t="s">
        <v>74</v>
      </c>
      <c r="X260" s="1" t="s">
        <v>74</v>
      </c>
      <c r="Y260" s="1" t="s">
        <v>74</v>
      </c>
      <c r="Z260" s="1" t="s">
        <v>74</v>
      </c>
      <c r="AA260" s="1" t="s">
        <v>2735</v>
      </c>
      <c r="AB260" s="1" t="s">
        <v>2736</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2737</v>
      </c>
      <c r="AP260" s="1" t="s">
        <v>2738</v>
      </c>
      <c r="AQ260" s="1" t="s">
        <v>74</v>
      </c>
      <c r="AR260" s="1" t="s">
        <v>74</v>
      </c>
      <c r="AS260" s="1" t="s">
        <v>74</v>
      </c>
      <c r="AT260" s="1" t="s">
        <v>83</v>
      </c>
      <c r="AU260" s="1">
        <v>2022.0</v>
      </c>
      <c r="AV260" s="1">
        <v>43.0</v>
      </c>
      <c r="AW260" s="1">
        <v>2.0</v>
      </c>
      <c r="AX260" s="1" t="s">
        <v>74</v>
      </c>
      <c r="AY260" s="1" t="s">
        <v>74</v>
      </c>
      <c r="AZ260" s="1" t="s">
        <v>74</v>
      </c>
      <c r="BA260" s="1" t="s">
        <v>74</v>
      </c>
      <c r="BB260" s="1">
        <v>354.0</v>
      </c>
      <c r="BC260" s="1">
        <v>368.0</v>
      </c>
      <c r="BD260" s="1" t="s">
        <v>74</v>
      </c>
      <c r="BE260" s="1" t="s">
        <v>2739</v>
      </c>
      <c r="BF260" s="2" t="str">
        <f>HYPERLINK("http://dx.doi.org/10.1002/oca.2808","http://dx.doi.org/10.1002/oca.2808")</f>
        <v>http://dx.doi.org/10.1002/oca.2808</v>
      </c>
      <c r="BG260" s="1" t="s">
        <v>74</v>
      </c>
      <c r="BH260" s="1" t="s">
        <v>2740</v>
      </c>
      <c r="BI260" s="1" t="s">
        <v>74</v>
      </c>
      <c r="BJ260" s="1" t="s">
        <v>74</v>
      </c>
      <c r="BK260" s="1" t="s">
        <v>74</v>
      </c>
      <c r="BL260" s="1" t="s">
        <v>74</v>
      </c>
      <c r="BM260" s="1" t="s">
        <v>74</v>
      </c>
      <c r="BN260" s="1" t="s">
        <v>74</v>
      </c>
      <c r="BO260" s="1" t="s">
        <v>74</v>
      </c>
      <c r="BP260" s="1" t="s">
        <v>74</v>
      </c>
      <c r="BQ260" s="1" t="s">
        <v>74</v>
      </c>
      <c r="BR260" s="1" t="s">
        <v>74</v>
      </c>
      <c r="BS260" s="1" t="s">
        <v>2741</v>
      </c>
      <c r="BT260" s="1" t="str">
        <f>HYPERLINK("https%3A%2F%2Fwww.webofscience.com%2Fwos%2Fwoscc%2Ffull-record%2FWOS:000706834800001","View Full Record in Web of Science")</f>
        <v>View Full Record in Web of Science</v>
      </c>
    </row>
    <row r="261" ht="12.75" customHeight="1">
      <c r="A261" s="1" t="s">
        <v>72</v>
      </c>
      <c r="B261" s="1" t="s">
        <v>2742</v>
      </c>
      <c r="C261" s="1" t="s">
        <v>74</v>
      </c>
      <c r="D261" s="1" t="s">
        <v>74</v>
      </c>
      <c r="E261" s="1" t="s">
        <v>74</v>
      </c>
      <c r="F261" s="1" t="s">
        <v>2743</v>
      </c>
      <c r="G261" s="1" t="s">
        <v>74</v>
      </c>
      <c r="H261" s="1" t="s">
        <v>74</v>
      </c>
      <c r="I261" s="1" t="s">
        <v>2744</v>
      </c>
      <c r="J261" s="1" t="s">
        <v>2472</v>
      </c>
      <c r="K261" s="1" t="s">
        <v>74</v>
      </c>
      <c r="L261" s="1" t="s">
        <v>74</v>
      </c>
      <c r="M261" s="1" t="s">
        <v>74</v>
      </c>
      <c r="N261" s="1" t="s">
        <v>74</v>
      </c>
      <c r="O261" s="1" t="s">
        <v>74</v>
      </c>
      <c r="P261" s="1" t="s">
        <v>74</v>
      </c>
      <c r="Q261" s="1" t="s">
        <v>74</v>
      </c>
      <c r="R261" s="1" t="s">
        <v>74</v>
      </c>
      <c r="S261" s="1" t="s">
        <v>74</v>
      </c>
      <c r="T261" s="1" t="s">
        <v>74</v>
      </c>
      <c r="U261" s="1" t="s">
        <v>74</v>
      </c>
      <c r="V261" s="1" t="s">
        <v>2745</v>
      </c>
      <c r="W261" s="1" t="s">
        <v>74</v>
      </c>
      <c r="X261" s="1" t="s">
        <v>74</v>
      </c>
      <c r="Y261" s="1" t="s">
        <v>74</v>
      </c>
      <c r="Z261" s="1" t="s">
        <v>74</v>
      </c>
      <c r="AA261" s="1" t="s">
        <v>2746</v>
      </c>
      <c r="AB261" s="1" t="s">
        <v>2747</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2476</v>
      </c>
      <c r="AP261" s="1" t="s">
        <v>2477</v>
      </c>
      <c r="AQ261" s="1" t="s">
        <v>74</v>
      </c>
      <c r="AR261" s="1" t="s">
        <v>74</v>
      </c>
      <c r="AS261" s="1" t="s">
        <v>74</v>
      </c>
      <c r="AT261" s="1" t="s">
        <v>496</v>
      </c>
      <c r="AU261" s="1">
        <v>2021.0</v>
      </c>
      <c r="AV261" s="1">
        <v>21.0</v>
      </c>
      <c r="AW261" s="1" t="s">
        <v>74</v>
      </c>
      <c r="AX261" s="1" t="s">
        <v>74</v>
      </c>
      <c r="AY261" s="1" t="s">
        <v>74</v>
      </c>
      <c r="AZ261" s="1" t="s">
        <v>74</v>
      </c>
      <c r="BA261" s="1" t="s">
        <v>74</v>
      </c>
      <c r="BB261" s="1">
        <v>180.0</v>
      </c>
      <c r="BC261" s="1">
        <v>183.0</v>
      </c>
      <c r="BD261" s="1" t="s">
        <v>74</v>
      </c>
      <c r="BE261" s="1" t="s">
        <v>2748</v>
      </c>
      <c r="BF261" s="2" t="str">
        <f>HYPERLINK("http://dx.doi.org/10.1016/j.cap.2020.09.018","http://dx.doi.org/10.1016/j.cap.2020.09.018")</f>
        <v>http://dx.doi.org/10.1016/j.cap.2020.09.018</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2749</v>
      </c>
      <c r="BT261" s="1" t="str">
        <f>HYPERLINK("https%3A%2F%2Fwww.webofscience.com%2Fwos%2Fwoscc%2Ffull-record%2FWOS:000598139600002","View Full Record in Web of Science")</f>
        <v>View Full Record in Web of Science</v>
      </c>
    </row>
    <row r="262" ht="12.75" customHeight="1">
      <c r="A262" s="1" t="s">
        <v>346</v>
      </c>
      <c r="B262" s="1" t="s">
        <v>2750</v>
      </c>
      <c r="C262" s="1" t="s">
        <v>74</v>
      </c>
      <c r="D262" s="1" t="s">
        <v>74</v>
      </c>
      <c r="E262" s="1" t="s">
        <v>348</v>
      </c>
      <c r="F262" s="1" t="s">
        <v>2751</v>
      </c>
      <c r="G262" s="1" t="s">
        <v>74</v>
      </c>
      <c r="H262" s="1" t="s">
        <v>74</v>
      </c>
      <c r="I262" s="1" t="s">
        <v>2752</v>
      </c>
      <c r="J262" s="1" t="s">
        <v>2753</v>
      </c>
      <c r="K262" s="1" t="s">
        <v>74</v>
      </c>
      <c r="L262" s="1" t="s">
        <v>74</v>
      </c>
      <c r="M262" s="1" t="s">
        <v>74</v>
      </c>
      <c r="N262" s="1" t="s">
        <v>74</v>
      </c>
      <c r="O262" s="1" t="s">
        <v>2754</v>
      </c>
      <c r="P262" s="1" t="s">
        <v>2755</v>
      </c>
      <c r="Q262" s="1" t="s">
        <v>2756</v>
      </c>
      <c r="R262" s="1" t="s">
        <v>2757</v>
      </c>
      <c r="S262" s="1" t="s">
        <v>74</v>
      </c>
      <c r="T262" s="1" t="s">
        <v>74</v>
      </c>
      <c r="U262" s="1" t="s">
        <v>74</v>
      </c>
      <c r="V262" s="1" t="s">
        <v>2758</v>
      </c>
      <c r="W262" s="1" t="s">
        <v>74</v>
      </c>
      <c r="X262" s="1" t="s">
        <v>74</v>
      </c>
      <c r="Y262" s="1" t="s">
        <v>74</v>
      </c>
      <c r="Z262" s="1" t="s">
        <v>74</v>
      </c>
      <c r="AA262" s="1" t="s">
        <v>2759</v>
      </c>
      <c r="AB262" s="1" t="s">
        <v>2760</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74</v>
      </c>
      <c r="AP262" s="1" t="s">
        <v>74</v>
      </c>
      <c r="AQ262" s="1" t="s">
        <v>2761</v>
      </c>
      <c r="AR262" s="1" t="s">
        <v>74</v>
      </c>
      <c r="AS262" s="1" t="s">
        <v>74</v>
      </c>
      <c r="AT262" s="1" t="s">
        <v>74</v>
      </c>
      <c r="AU262" s="1">
        <v>2021.0</v>
      </c>
      <c r="AV262" s="1" t="s">
        <v>74</v>
      </c>
      <c r="AW262" s="1" t="s">
        <v>74</v>
      </c>
      <c r="AX262" s="1" t="s">
        <v>74</v>
      </c>
      <c r="AY262" s="1" t="s">
        <v>74</v>
      </c>
      <c r="AZ262" s="1" t="s">
        <v>74</v>
      </c>
      <c r="BA262" s="1" t="s">
        <v>74</v>
      </c>
      <c r="BB262" s="1">
        <v>90.0</v>
      </c>
      <c r="BC262" s="1">
        <v>94.0</v>
      </c>
      <c r="BD262" s="1" t="s">
        <v>74</v>
      </c>
      <c r="BE262" s="1" t="s">
        <v>2762</v>
      </c>
      <c r="BF262" s="2" t="str">
        <f>HYPERLINK("http://dx.doi.org/10.1109/SACVLC53127.2021.9652346","http://dx.doi.org/10.1109/SACVLC53127.2021.9652346")</f>
        <v>http://dx.doi.org/10.1109/SACVLC53127.2021.9652346</v>
      </c>
      <c r="BG262" s="1" t="s">
        <v>74</v>
      </c>
      <c r="BH262" s="1" t="s">
        <v>74</v>
      </c>
      <c r="BI262" s="1" t="s">
        <v>74</v>
      </c>
      <c r="BJ262" s="1" t="s">
        <v>74</v>
      </c>
      <c r="BK262" s="1" t="s">
        <v>74</v>
      </c>
      <c r="BL262" s="1" t="s">
        <v>74</v>
      </c>
      <c r="BM262" s="1" t="s">
        <v>74</v>
      </c>
      <c r="BN262" s="1" t="s">
        <v>74</v>
      </c>
      <c r="BO262" s="1" t="s">
        <v>74</v>
      </c>
      <c r="BP262" s="1" t="s">
        <v>74</v>
      </c>
      <c r="BQ262" s="1" t="s">
        <v>74</v>
      </c>
      <c r="BR262" s="1" t="s">
        <v>74</v>
      </c>
      <c r="BS262" s="1" t="s">
        <v>2763</v>
      </c>
      <c r="BT262" s="1" t="str">
        <f>HYPERLINK("https%3A%2F%2Fwww.webofscience.com%2Fwos%2Fwoscc%2Ffull-record%2FWOS:000760247000016","View Full Record in Web of Science")</f>
        <v>View Full Record in Web of Science</v>
      </c>
    </row>
    <row r="263" ht="12.75" customHeight="1">
      <c r="A263" s="1" t="s">
        <v>72</v>
      </c>
      <c r="B263" s="1" t="s">
        <v>2764</v>
      </c>
      <c r="C263" s="1" t="s">
        <v>74</v>
      </c>
      <c r="D263" s="1" t="s">
        <v>74</v>
      </c>
      <c r="E263" s="1" t="s">
        <v>74</v>
      </c>
      <c r="F263" s="1" t="s">
        <v>2765</v>
      </c>
      <c r="G263" s="1" t="s">
        <v>74</v>
      </c>
      <c r="H263" s="1" t="s">
        <v>74</v>
      </c>
      <c r="I263" s="1" t="s">
        <v>2766</v>
      </c>
      <c r="J263" s="1" t="s">
        <v>2767</v>
      </c>
      <c r="K263" s="1" t="s">
        <v>74</v>
      </c>
      <c r="L263" s="1" t="s">
        <v>74</v>
      </c>
      <c r="M263" s="1" t="s">
        <v>74</v>
      </c>
      <c r="N263" s="1" t="s">
        <v>74</v>
      </c>
      <c r="O263" s="1" t="s">
        <v>74</v>
      </c>
      <c r="P263" s="1" t="s">
        <v>74</v>
      </c>
      <c r="Q263" s="1" t="s">
        <v>74</v>
      </c>
      <c r="R263" s="1" t="s">
        <v>74</v>
      </c>
      <c r="S263" s="1" t="s">
        <v>74</v>
      </c>
      <c r="T263" s="1" t="s">
        <v>74</v>
      </c>
      <c r="U263" s="1" t="s">
        <v>74</v>
      </c>
      <c r="V263" s="1" t="s">
        <v>2768</v>
      </c>
      <c r="W263" s="1" t="s">
        <v>74</v>
      </c>
      <c r="X263" s="1" t="s">
        <v>74</v>
      </c>
      <c r="Y263" s="1" t="s">
        <v>74</v>
      </c>
      <c r="Z263" s="1" t="s">
        <v>74</v>
      </c>
      <c r="AA263" s="1" t="s">
        <v>2769</v>
      </c>
      <c r="AB263" s="1" t="s">
        <v>2770</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2771</v>
      </c>
      <c r="AP263" s="1" t="s">
        <v>2772</v>
      </c>
      <c r="AQ263" s="1" t="s">
        <v>74</v>
      </c>
      <c r="AR263" s="1" t="s">
        <v>74</v>
      </c>
      <c r="AS263" s="1" t="s">
        <v>74</v>
      </c>
      <c r="AT263" s="1" t="s">
        <v>83</v>
      </c>
      <c r="AU263" s="1">
        <v>2020.0</v>
      </c>
      <c r="AV263" s="1">
        <v>98.0</v>
      </c>
      <c r="AW263" s="1" t="s">
        <v>74</v>
      </c>
      <c r="AX263" s="1" t="s">
        <v>74</v>
      </c>
      <c r="AY263" s="1" t="s">
        <v>74</v>
      </c>
      <c r="AZ263" s="1" t="s">
        <v>74</v>
      </c>
      <c r="BA263" s="1" t="s">
        <v>74</v>
      </c>
      <c r="BB263" s="1">
        <v>773.0</v>
      </c>
      <c r="BC263" s="1">
        <v>787.0</v>
      </c>
      <c r="BD263" s="1" t="s">
        <v>74</v>
      </c>
      <c r="BE263" s="1" t="s">
        <v>2773</v>
      </c>
      <c r="BF263" s="2" t="str">
        <f>HYPERLINK("http://dx.doi.org/10.1016/j.fsi.2019.11.030","http://dx.doi.org/10.1016/j.fsi.2019.11.030")</f>
        <v>http://dx.doi.org/10.1016/j.fsi.2019.11.030</v>
      </c>
      <c r="BG263" s="1" t="s">
        <v>74</v>
      </c>
      <c r="BH263" s="1" t="s">
        <v>74</v>
      </c>
      <c r="BI263" s="1" t="s">
        <v>74</v>
      </c>
      <c r="BJ263" s="1" t="s">
        <v>74</v>
      </c>
      <c r="BK263" s="1" t="s">
        <v>74</v>
      </c>
      <c r="BL263" s="1" t="s">
        <v>74</v>
      </c>
      <c r="BM263" s="1" t="s">
        <v>74</v>
      </c>
      <c r="BN263" s="1">
        <v>3.1734286E7</v>
      </c>
      <c r="BO263" s="1" t="s">
        <v>74</v>
      </c>
      <c r="BP263" s="1" t="s">
        <v>74</v>
      </c>
      <c r="BQ263" s="1" t="s">
        <v>74</v>
      </c>
      <c r="BR263" s="1" t="s">
        <v>74</v>
      </c>
      <c r="BS263" s="1" t="s">
        <v>2774</v>
      </c>
      <c r="BT263" s="1" t="str">
        <f>HYPERLINK("https%3A%2F%2Fwww.webofscience.com%2Fwos%2Fwoscc%2Ffull-record%2FWOS:000516880900082","View Full Record in Web of Science")</f>
        <v>View Full Record in Web of Science</v>
      </c>
    </row>
    <row r="264" ht="12.75" customHeight="1">
      <c r="A264" s="1" t="s">
        <v>380</v>
      </c>
      <c r="B264" s="1" t="s">
        <v>984</v>
      </c>
      <c r="C264" s="1" t="s">
        <v>74</v>
      </c>
      <c r="D264" s="1" t="s">
        <v>985</v>
      </c>
      <c r="E264" s="1" t="s">
        <v>74</v>
      </c>
      <c r="F264" s="1" t="s">
        <v>986</v>
      </c>
      <c r="G264" s="1" t="s">
        <v>74</v>
      </c>
      <c r="H264" s="1" t="s">
        <v>74</v>
      </c>
      <c r="I264" s="1" t="s">
        <v>2775</v>
      </c>
      <c r="J264" s="1" t="s">
        <v>988</v>
      </c>
      <c r="K264" s="1" t="s">
        <v>989</v>
      </c>
      <c r="L264" s="1" t="s">
        <v>74</v>
      </c>
      <c r="M264" s="1" t="s">
        <v>74</v>
      </c>
      <c r="N264" s="1" t="s">
        <v>74</v>
      </c>
      <c r="O264" s="1" t="s">
        <v>74</v>
      </c>
      <c r="P264" s="1" t="s">
        <v>74</v>
      </c>
      <c r="Q264" s="1" t="s">
        <v>74</v>
      </c>
      <c r="R264" s="1" t="s">
        <v>74</v>
      </c>
      <c r="S264" s="1" t="s">
        <v>74</v>
      </c>
      <c r="T264" s="1" t="s">
        <v>74</v>
      </c>
      <c r="U264" s="1" t="s">
        <v>74</v>
      </c>
      <c r="V264" s="1" t="s">
        <v>74</v>
      </c>
      <c r="W264" s="1" t="s">
        <v>74</v>
      </c>
      <c r="X264" s="1" t="s">
        <v>74</v>
      </c>
      <c r="Y264" s="1" t="s">
        <v>74</v>
      </c>
      <c r="Z264" s="1" t="s">
        <v>74</v>
      </c>
      <c r="AA264" s="1" t="s">
        <v>990</v>
      </c>
      <c r="AB264" s="1" t="s">
        <v>74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74</v>
      </c>
      <c r="AP264" s="1" t="s">
        <v>74</v>
      </c>
      <c r="AQ264" s="1" t="s">
        <v>991</v>
      </c>
      <c r="AR264" s="1" t="s">
        <v>74</v>
      </c>
      <c r="AS264" s="1" t="s">
        <v>74</v>
      </c>
      <c r="AT264" s="1" t="s">
        <v>74</v>
      </c>
      <c r="AU264" s="1">
        <v>2020.0</v>
      </c>
      <c r="AV264" s="1">
        <v>8.0</v>
      </c>
      <c r="AW264" s="1" t="s">
        <v>74</v>
      </c>
      <c r="AX264" s="1" t="s">
        <v>74</v>
      </c>
      <c r="AY264" s="1" t="s">
        <v>74</v>
      </c>
      <c r="AZ264" s="1" t="s">
        <v>74</v>
      </c>
      <c r="BA264" s="1" t="s">
        <v>74</v>
      </c>
      <c r="BB264" s="1">
        <v>228.0</v>
      </c>
      <c r="BC264" s="1">
        <v>231.0</v>
      </c>
      <c r="BD264" s="1" t="s">
        <v>74</v>
      </c>
      <c r="BE264" s="1" t="s">
        <v>74</v>
      </c>
      <c r="BF264" s="1" t="s">
        <v>74</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2776</v>
      </c>
      <c r="BT264" s="1" t="str">
        <f>HYPERLINK("https%3A%2F%2Fwww.webofscience.com%2Fwos%2Fwoscc%2Ffull-record%2FWOS:000608865900061","View Full Record in Web of Science")</f>
        <v>View Full Record in Web of Science</v>
      </c>
    </row>
    <row r="265" ht="12.75" customHeight="1">
      <c r="A265" s="1" t="s">
        <v>72</v>
      </c>
      <c r="B265" s="1" t="s">
        <v>2777</v>
      </c>
      <c r="C265" s="1" t="s">
        <v>74</v>
      </c>
      <c r="D265" s="1" t="s">
        <v>74</v>
      </c>
      <c r="E265" s="1" t="s">
        <v>74</v>
      </c>
      <c r="F265" s="1" t="s">
        <v>2778</v>
      </c>
      <c r="G265" s="1" t="s">
        <v>74</v>
      </c>
      <c r="H265" s="1" t="s">
        <v>74</v>
      </c>
      <c r="I265" s="1" t="s">
        <v>2779</v>
      </c>
      <c r="J265" s="1" t="s">
        <v>2780</v>
      </c>
      <c r="K265" s="1" t="s">
        <v>74</v>
      </c>
      <c r="L265" s="1" t="s">
        <v>74</v>
      </c>
      <c r="M265" s="1" t="s">
        <v>74</v>
      </c>
      <c r="N265" s="1" t="s">
        <v>74</v>
      </c>
      <c r="O265" s="1" t="s">
        <v>74</v>
      </c>
      <c r="P265" s="1" t="s">
        <v>74</v>
      </c>
      <c r="Q265" s="1" t="s">
        <v>74</v>
      </c>
      <c r="R265" s="1" t="s">
        <v>74</v>
      </c>
      <c r="S265" s="1" t="s">
        <v>74</v>
      </c>
      <c r="T265" s="1" t="s">
        <v>74</v>
      </c>
      <c r="U265" s="1" t="s">
        <v>74</v>
      </c>
      <c r="V265" s="1" t="s">
        <v>2781</v>
      </c>
      <c r="W265" s="1" t="s">
        <v>74</v>
      </c>
      <c r="X265" s="1" t="s">
        <v>74</v>
      </c>
      <c r="Y265" s="1" t="s">
        <v>74</v>
      </c>
      <c r="Z265" s="1" t="s">
        <v>74</v>
      </c>
      <c r="AA265" s="1" t="s">
        <v>2782</v>
      </c>
      <c r="AB265" s="1" t="s">
        <v>2783</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2784</v>
      </c>
      <c r="AP265" s="1" t="s">
        <v>2785</v>
      </c>
      <c r="AQ265" s="1" t="s">
        <v>74</v>
      </c>
      <c r="AR265" s="1" t="s">
        <v>74</v>
      </c>
      <c r="AS265" s="1" t="s">
        <v>74</v>
      </c>
      <c r="AT265" s="1" t="s">
        <v>496</v>
      </c>
      <c r="AU265" s="1">
        <v>2020.0</v>
      </c>
      <c r="AV265" s="1">
        <v>24.0</v>
      </c>
      <c r="AW265" s="1">
        <v>1.0</v>
      </c>
      <c r="AX265" s="1" t="s">
        <v>74</v>
      </c>
      <c r="AY265" s="1" t="s">
        <v>74</v>
      </c>
      <c r="AZ265" s="1" t="s">
        <v>74</v>
      </c>
      <c r="BA265" s="1" t="s">
        <v>74</v>
      </c>
      <c r="BB265" s="1">
        <v>245.0</v>
      </c>
      <c r="BC265" s="1">
        <v>246.0</v>
      </c>
      <c r="BD265" s="1" t="s">
        <v>74</v>
      </c>
      <c r="BE265" s="1" t="s">
        <v>2786</v>
      </c>
      <c r="BF265" s="2" t="str">
        <f>HYPERLINK("http://dx.doi.org/10.1007/s10008-019-04466-4","http://dx.doi.org/10.1007/s10008-019-04466-4")</f>
        <v>http://dx.doi.org/10.1007/s10008-019-04466-4</v>
      </c>
      <c r="BG265" s="1" t="s">
        <v>74</v>
      </c>
      <c r="BH265" s="1" t="s">
        <v>74</v>
      </c>
      <c r="BI265" s="1" t="s">
        <v>74</v>
      </c>
      <c r="BJ265" s="1" t="s">
        <v>74</v>
      </c>
      <c r="BK265" s="1" t="s">
        <v>74</v>
      </c>
      <c r="BL265" s="1" t="s">
        <v>74</v>
      </c>
      <c r="BM265" s="1" t="s">
        <v>74</v>
      </c>
      <c r="BN265" s="1" t="s">
        <v>74</v>
      </c>
      <c r="BO265" s="1" t="s">
        <v>74</v>
      </c>
      <c r="BP265" s="1" t="s">
        <v>74</v>
      </c>
      <c r="BQ265" s="1" t="s">
        <v>74</v>
      </c>
      <c r="BR265" s="1" t="s">
        <v>74</v>
      </c>
      <c r="BS265" s="1" t="s">
        <v>2787</v>
      </c>
      <c r="BT265" s="1" t="str">
        <f>HYPERLINK("https%3A%2F%2Fwww.webofscience.com%2Fwos%2Fwoscc%2Ffull-record%2FWOS:000511923600025","View Full Record in Web of Science")</f>
        <v>View Full Record in Web of Science</v>
      </c>
    </row>
    <row r="266" ht="12.75" customHeight="1">
      <c r="A266" s="1" t="s">
        <v>72</v>
      </c>
      <c r="B266" s="1" t="s">
        <v>2788</v>
      </c>
      <c r="C266" s="1" t="s">
        <v>74</v>
      </c>
      <c r="D266" s="1" t="s">
        <v>74</v>
      </c>
      <c r="E266" s="1" t="s">
        <v>74</v>
      </c>
      <c r="F266" s="1" t="s">
        <v>2789</v>
      </c>
      <c r="G266" s="1" t="s">
        <v>74</v>
      </c>
      <c r="H266" s="1" t="s">
        <v>74</v>
      </c>
      <c r="I266" s="1" t="s">
        <v>2790</v>
      </c>
      <c r="J266" s="1" t="s">
        <v>2684</v>
      </c>
      <c r="K266" s="1" t="s">
        <v>74</v>
      </c>
      <c r="L266" s="1" t="s">
        <v>74</v>
      </c>
      <c r="M266" s="1" t="s">
        <v>74</v>
      </c>
      <c r="N266" s="1" t="s">
        <v>74</v>
      </c>
      <c r="O266" s="1" t="s">
        <v>74</v>
      </c>
      <c r="P266" s="1" t="s">
        <v>74</v>
      </c>
      <c r="Q266" s="1" t="s">
        <v>74</v>
      </c>
      <c r="R266" s="1" t="s">
        <v>74</v>
      </c>
      <c r="S266" s="1" t="s">
        <v>74</v>
      </c>
      <c r="T266" s="1" t="s">
        <v>74</v>
      </c>
      <c r="U266" s="1" t="s">
        <v>74</v>
      </c>
      <c r="V266" s="1" t="s">
        <v>2791</v>
      </c>
      <c r="W266" s="1" t="s">
        <v>74</v>
      </c>
      <c r="X266" s="1" t="s">
        <v>74</v>
      </c>
      <c r="Y266" s="1" t="s">
        <v>74</v>
      </c>
      <c r="Z266" s="1" t="s">
        <v>74</v>
      </c>
      <c r="AA266" s="1" t="s">
        <v>2792</v>
      </c>
      <c r="AB266" s="1" t="s">
        <v>2793</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2688</v>
      </c>
      <c r="AP266" s="1" t="s">
        <v>2689</v>
      </c>
      <c r="AQ266" s="1" t="s">
        <v>74</v>
      </c>
      <c r="AR266" s="1" t="s">
        <v>74</v>
      </c>
      <c r="AS266" s="1" t="s">
        <v>74</v>
      </c>
      <c r="AT266" s="1" t="s">
        <v>2794</v>
      </c>
      <c r="AU266" s="1">
        <v>2019.0</v>
      </c>
      <c r="AV266" s="1">
        <v>32.0</v>
      </c>
      <c r="AW266" s="1">
        <v>4.0</v>
      </c>
      <c r="AX266" s="1" t="s">
        <v>74</v>
      </c>
      <c r="AY266" s="1" t="s">
        <v>74</v>
      </c>
      <c r="AZ266" s="1" t="s">
        <v>297</v>
      </c>
      <c r="BA266" s="1" t="s">
        <v>74</v>
      </c>
      <c r="BB266" s="1">
        <v>541.0</v>
      </c>
      <c r="BC266" s="1">
        <v>565.0</v>
      </c>
      <c r="BD266" s="1" t="s">
        <v>74</v>
      </c>
      <c r="BE266" s="1" t="s">
        <v>2795</v>
      </c>
      <c r="BF266" s="2" t="str">
        <f>HYPERLINK("http://dx.doi.org/10.1108/ARLA-02-2019-0050","http://dx.doi.org/10.1108/ARLA-02-2019-0050")</f>
        <v>http://dx.doi.org/10.1108/ARLA-02-2019-0050</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2796</v>
      </c>
      <c r="BT266" s="1" t="str">
        <f>HYPERLINK("https%3A%2F%2Fwww.webofscience.com%2Fwos%2Fwoscc%2Ffull-record%2FWOS:000499266600008","View Full Record in Web of Science")</f>
        <v>View Full Record in Web of Science</v>
      </c>
    </row>
    <row r="267" ht="12.75" customHeight="1">
      <c r="A267" s="1" t="s">
        <v>72</v>
      </c>
      <c r="B267" s="1" t="s">
        <v>2797</v>
      </c>
      <c r="C267" s="1" t="s">
        <v>74</v>
      </c>
      <c r="D267" s="1" t="s">
        <v>74</v>
      </c>
      <c r="E267" s="1" t="s">
        <v>74</v>
      </c>
      <c r="F267" s="1" t="s">
        <v>2798</v>
      </c>
      <c r="G267" s="1" t="s">
        <v>74</v>
      </c>
      <c r="H267" s="1" t="s">
        <v>74</v>
      </c>
      <c r="I267" s="1" t="s">
        <v>2799</v>
      </c>
      <c r="J267" s="1" t="s">
        <v>2800</v>
      </c>
      <c r="K267" s="1" t="s">
        <v>74</v>
      </c>
      <c r="L267" s="1" t="s">
        <v>74</v>
      </c>
      <c r="M267" s="1" t="s">
        <v>74</v>
      </c>
      <c r="N267" s="1" t="s">
        <v>74</v>
      </c>
      <c r="O267" s="1" t="s">
        <v>74</v>
      </c>
      <c r="P267" s="1" t="s">
        <v>74</v>
      </c>
      <c r="Q267" s="1" t="s">
        <v>74</v>
      </c>
      <c r="R267" s="1" t="s">
        <v>74</v>
      </c>
      <c r="S267" s="1" t="s">
        <v>74</v>
      </c>
      <c r="T267" s="1" t="s">
        <v>74</v>
      </c>
      <c r="U267" s="1" t="s">
        <v>74</v>
      </c>
      <c r="V267" s="1" t="s">
        <v>2801</v>
      </c>
      <c r="W267" s="1" t="s">
        <v>74</v>
      </c>
      <c r="X267" s="1" t="s">
        <v>74</v>
      </c>
      <c r="Y267" s="1" t="s">
        <v>74</v>
      </c>
      <c r="Z267" s="1" t="s">
        <v>74</v>
      </c>
      <c r="AA267" s="1" t="s">
        <v>74</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2802</v>
      </c>
      <c r="AP267" s="1" t="s">
        <v>74</v>
      </c>
      <c r="AQ267" s="1" t="s">
        <v>74</v>
      </c>
      <c r="AR267" s="1" t="s">
        <v>74</v>
      </c>
      <c r="AS267" s="1" t="s">
        <v>74</v>
      </c>
      <c r="AT267" s="1" t="s">
        <v>1307</v>
      </c>
      <c r="AU267" s="1">
        <v>2019.0</v>
      </c>
      <c r="AV267" s="1" t="s">
        <v>74</v>
      </c>
      <c r="AW267" s="1">
        <v>69.0</v>
      </c>
      <c r="AX267" s="1" t="s">
        <v>74</v>
      </c>
      <c r="AY267" s="1" t="s">
        <v>74</v>
      </c>
      <c r="AZ267" s="1" t="s">
        <v>74</v>
      </c>
      <c r="BA267" s="1" t="s">
        <v>74</v>
      </c>
      <c r="BB267" s="1">
        <v>67.0</v>
      </c>
      <c r="BC267" s="1">
        <v>78.0</v>
      </c>
      <c r="BD267" s="1" t="s">
        <v>74</v>
      </c>
      <c r="BE267" s="1" t="s">
        <v>2803</v>
      </c>
      <c r="BF267" s="2" t="str">
        <f>HYPERLINK("http://dx.doi.org/10.7440/res69.2019.06","http://dx.doi.org/10.7440/res69.2019.06")</f>
        <v>http://dx.doi.org/10.7440/res69.2019.06</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2804</v>
      </c>
      <c r="BT267" s="1" t="str">
        <f>HYPERLINK("https%3A%2F%2Fwww.webofscience.com%2Fwos%2Fwoscc%2Ffull-record%2FWOS:000473284300006","View Full Record in Web of Science")</f>
        <v>View Full Record in Web of Science</v>
      </c>
    </row>
    <row r="268" ht="12.75" customHeight="1">
      <c r="A268" s="1" t="s">
        <v>72</v>
      </c>
      <c r="B268" s="1" t="s">
        <v>2805</v>
      </c>
      <c r="C268" s="1" t="s">
        <v>74</v>
      </c>
      <c r="D268" s="1" t="s">
        <v>74</v>
      </c>
      <c r="E268" s="1" t="s">
        <v>74</v>
      </c>
      <c r="F268" s="1" t="s">
        <v>2806</v>
      </c>
      <c r="G268" s="1" t="s">
        <v>74</v>
      </c>
      <c r="H268" s="1" t="s">
        <v>74</v>
      </c>
      <c r="I268" s="1" t="s">
        <v>2807</v>
      </c>
      <c r="J268" s="1" t="s">
        <v>2808</v>
      </c>
      <c r="K268" s="1" t="s">
        <v>74</v>
      </c>
      <c r="L268" s="1" t="s">
        <v>74</v>
      </c>
      <c r="M268" s="1" t="s">
        <v>74</v>
      </c>
      <c r="N268" s="1" t="s">
        <v>74</v>
      </c>
      <c r="O268" s="1" t="s">
        <v>74</v>
      </c>
      <c r="P268" s="1" t="s">
        <v>74</v>
      </c>
      <c r="Q268" s="1" t="s">
        <v>74</v>
      </c>
      <c r="R268" s="1" t="s">
        <v>74</v>
      </c>
      <c r="S268" s="1" t="s">
        <v>74</v>
      </c>
      <c r="T268" s="1" t="s">
        <v>74</v>
      </c>
      <c r="U268" s="1" t="s">
        <v>74</v>
      </c>
      <c r="V268" s="1" t="s">
        <v>2809</v>
      </c>
      <c r="W268" s="1" t="s">
        <v>74</v>
      </c>
      <c r="X268" s="1" t="s">
        <v>74</v>
      </c>
      <c r="Y268" s="1" t="s">
        <v>74</v>
      </c>
      <c r="Z268" s="1" t="s">
        <v>74</v>
      </c>
      <c r="AA268" s="1" t="s">
        <v>2810</v>
      </c>
      <c r="AB268" s="1" t="s">
        <v>2811</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2812</v>
      </c>
      <c r="AP268" s="1" t="s">
        <v>74</v>
      </c>
      <c r="AQ268" s="1" t="s">
        <v>74</v>
      </c>
      <c r="AR268" s="1" t="s">
        <v>74</v>
      </c>
      <c r="AS268" s="1" t="s">
        <v>74</v>
      </c>
      <c r="AT268" s="1" t="s">
        <v>2813</v>
      </c>
      <c r="AU268" s="1">
        <v>2019.0</v>
      </c>
      <c r="AV268" s="1" t="s">
        <v>74</v>
      </c>
      <c r="AW268" s="1" t="s">
        <v>74</v>
      </c>
      <c r="AX268" s="1" t="s">
        <v>74</v>
      </c>
      <c r="AY268" s="1" t="s">
        <v>74</v>
      </c>
      <c r="AZ268" s="1" t="s">
        <v>74</v>
      </c>
      <c r="BA268" s="1" t="s">
        <v>74</v>
      </c>
      <c r="BB268" s="1" t="s">
        <v>74</v>
      </c>
      <c r="BC268" s="1" t="s">
        <v>74</v>
      </c>
      <c r="BD268" s="1">
        <v>251.0</v>
      </c>
      <c r="BE268" s="1" t="s">
        <v>2814</v>
      </c>
      <c r="BF268" s="2" t="str">
        <f>HYPERLINK("http://dx.doi.org/10.1186/s13662-019-2189-y","http://dx.doi.org/10.1186/s13662-019-2189-y")</f>
        <v>http://dx.doi.org/10.1186/s13662-019-2189-y</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2815</v>
      </c>
      <c r="BT268" s="1" t="str">
        <f>HYPERLINK("https%3A%2F%2Fwww.webofscience.com%2Fwos%2Fwoscc%2Ffull-record%2FWOS:000473128600001","View Full Record in Web of Science")</f>
        <v>View Full Record in Web of Science</v>
      </c>
    </row>
    <row r="269" ht="12.75" customHeight="1">
      <c r="A269" s="1" t="s">
        <v>72</v>
      </c>
      <c r="B269" s="1" t="s">
        <v>2816</v>
      </c>
      <c r="C269" s="1" t="s">
        <v>74</v>
      </c>
      <c r="D269" s="1" t="s">
        <v>74</v>
      </c>
      <c r="E269" s="1" t="s">
        <v>74</v>
      </c>
      <c r="F269" s="1" t="s">
        <v>2817</v>
      </c>
      <c r="G269" s="1" t="s">
        <v>74</v>
      </c>
      <c r="H269" s="1" t="s">
        <v>74</v>
      </c>
      <c r="I269" s="1" t="s">
        <v>2818</v>
      </c>
      <c r="J269" s="1" t="s">
        <v>148</v>
      </c>
      <c r="K269" s="1" t="s">
        <v>74</v>
      </c>
      <c r="L269" s="1" t="s">
        <v>74</v>
      </c>
      <c r="M269" s="1" t="s">
        <v>74</v>
      </c>
      <c r="N269" s="1" t="s">
        <v>74</v>
      </c>
      <c r="O269" s="1" t="s">
        <v>74</v>
      </c>
      <c r="P269" s="1" t="s">
        <v>74</v>
      </c>
      <c r="Q269" s="1" t="s">
        <v>74</v>
      </c>
      <c r="R269" s="1" t="s">
        <v>74</v>
      </c>
      <c r="S269" s="1" t="s">
        <v>74</v>
      </c>
      <c r="T269" s="1" t="s">
        <v>74</v>
      </c>
      <c r="U269" s="1" t="s">
        <v>74</v>
      </c>
      <c r="V269" s="1" t="s">
        <v>2819</v>
      </c>
      <c r="W269" s="1" t="s">
        <v>74</v>
      </c>
      <c r="X269" s="1" t="s">
        <v>74</v>
      </c>
      <c r="Y269" s="1" t="s">
        <v>74</v>
      </c>
      <c r="Z269" s="1" t="s">
        <v>74</v>
      </c>
      <c r="AA269" s="1" t="s">
        <v>2820</v>
      </c>
      <c r="AB269" s="1" t="s">
        <v>2821</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151</v>
      </c>
      <c r="AP269" s="1" t="s">
        <v>74</v>
      </c>
      <c r="AQ269" s="1" t="s">
        <v>74</v>
      </c>
      <c r="AR269" s="1" t="s">
        <v>74</v>
      </c>
      <c r="AS269" s="1" t="s">
        <v>74</v>
      </c>
      <c r="AT269" s="1" t="s">
        <v>2822</v>
      </c>
      <c r="AU269" s="1">
        <v>2019.0</v>
      </c>
      <c r="AV269" s="1">
        <v>7.0</v>
      </c>
      <c r="AW269" s="1" t="s">
        <v>74</v>
      </c>
      <c r="AX269" s="1" t="s">
        <v>74</v>
      </c>
      <c r="AY269" s="1" t="s">
        <v>74</v>
      </c>
      <c r="AZ269" s="1" t="s">
        <v>74</v>
      </c>
      <c r="BA269" s="1" t="s">
        <v>74</v>
      </c>
      <c r="BB269" s="1" t="s">
        <v>74</v>
      </c>
      <c r="BC269" s="1" t="s">
        <v>74</v>
      </c>
      <c r="BD269" s="1">
        <v>454.0</v>
      </c>
      <c r="BE269" s="1" t="s">
        <v>2823</v>
      </c>
      <c r="BF269" s="2" t="str">
        <f>HYPERLINK("http://dx.doi.org/10.3389/fchem.2019.00454","http://dx.doi.org/10.3389/fchem.2019.00454")</f>
        <v>http://dx.doi.org/10.3389/fchem.2019.00454</v>
      </c>
      <c r="BG269" s="1" t="s">
        <v>74</v>
      </c>
      <c r="BH269" s="1" t="s">
        <v>74</v>
      </c>
      <c r="BI269" s="1" t="s">
        <v>74</v>
      </c>
      <c r="BJ269" s="1" t="s">
        <v>74</v>
      </c>
      <c r="BK269" s="1" t="s">
        <v>74</v>
      </c>
      <c r="BL269" s="1" t="s">
        <v>74</v>
      </c>
      <c r="BM269" s="1" t="s">
        <v>74</v>
      </c>
      <c r="BN269" s="1">
        <v>3.1297366E7</v>
      </c>
      <c r="BO269" s="1" t="s">
        <v>74</v>
      </c>
      <c r="BP269" s="1" t="s">
        <v>74</v>
      </c>
      <c r="BQ269" s="1" t="s">
        <v>74</v>
      </c>
      <c r="BR269" s="1" t="s">
        <v>74</v>
      </c>
      <c r="BS269" s="1" t="s">
        <v>2824</v>
      </c>
      <c r="BT269" s="1" t="str">
        <f>HYPERLINK("https%3A%2F%2Fwww.webofscience.com%2Fwos%2Fwoscc%2Ffull-record%2FWOS:000473052600002","View Full Record in Web of Science")</f>
        <v>View Full Record in Web of Science</v>
      </c>
    </row>
    <row r="270" ht="12.75" customHeight="1">
      <c r="A270" s="1" t="s">
        <v>72</v>
      </c>
      <c r="B270" s="1" t="s">
        <v>2825</v>
      </c>
      <c r="C270" s="1" t="s">
        <v>74</v>
      </c>
      <c r="D270" s="1" t="s">
        <v>74</v>
      </c>
      <c r="E270" s="1" t="s">
        <v>74</v>
      </c>
      <c r="F270" s="1" t="s">
        <v>2826</v>
      </c>
      <c r="G270" s="1" t="s">
        <v>74</v>
      </c>
      <c r="H270" s="1" t="s">
        <v>74</v>
      </c>
      <c r="I270" s="1" t="s">
        <v>2827</v>
      </c>
      <c r="J270" s="1" t="s">
        <v>2828</v>
      </c>
      <c r="K270" s="1" t="s">
        <v>74</v>
      </c>
      <c r="L270" s="1" t="s">
        <v>74</v>
      </c>
      <c r="M270" s="1" t="s">
        <v>74</v>
      </c>
      <c r="N270" s="1" t="s">
        <v>74</v>
      </c>
      <c r="O270" s="1" t="s">
        <v>74</v>
      </c>
      <c r="P270" s="1" t="s">
        <v>74</v>
      </c>
      <c r="Q270" s="1" t="s">
        <v>74</v>
      </c>
      <c r="R270" s="1" t="s">
        <v>74</v>
      </c>
      <c r="S270" s="1" t="s">
        <v>74</v>
      </c>
      <c r="T270" s="1" t="s">
        <v>74</v>
      </c>
      <c r="U270" s="1" t="s">
        <v>74</v>
      </c>
      <c r="V270" s="1" t="s">
        <v>2829</v>
      </c>
      <c r="W270" s="1" t="s">
        <v>74</v>
      </c>
      <c r="X270" s="1" t="s">
        <v>74</v>
      </c>
      <c r="Y270" s="1" t="s">
        <v>74</v>
      </c>
      <c r="Z270" s="1" t="s">
        <v>74</v>
      </c>
      <c r="AA270" s="1" t="s">
        <v>2830</v>
      </c>
      <c r="AB270" s="1" t="s">
        <v>2831</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2832</v>
      </c>
      <c r="AP270" s="1" t="s">
        <v>2833</v>
      </c>
      <c r="AQ270" s="1" t="s">
        <v>74</v>
      </c>
      <c r="AR270" s="1" t="s">
        <v>74</v>
      </c>
      <c r="AS270" s="1" t="s">
        <v>74</v>
      </c>
      <c r="AT270" s="1" t="s">
        <v>485</v>
      </c>
      <c r="AU270" s="1">
        <v>2019.0</v>
      </c>
      <c r="AV270" s="1">
        <v>47.0</v>
      </c>
      <c r="AW270" s="1">
        <v>2.0</v>
      </c>
      <c r="AX270" s="1" t="s">
        <v>74</v>
      </c>
      <c r="AY270" s="1" t="s">
        <v>74</v>
      </c>
      <c r="AZ270" s="1" t="s">
        <v>74</v>
      </c>
      <c r="BA270" s="1" t="s">
        <v>74</v>
      </c>
      <c r="BB270" s="1">
        <v>122.0</v>
      </c>
      <c r="BC270" s="1">
        <v>127.0</v>
      </c>
      <c r="BD270" s="1" t="s">
        <v>74</v>
      </c>
      <c r="BE270" s="1" t="s">
        <v>2834</v>
      </c>
      <c r="BF270" s="2" t="str">
        <f>HYPERLINK("http://dx.doi.org/10.1016/j.aller.2018.04.006","http://dx.doi.org/10.1016/j.aller.2018.04.006")</f>
        <v>http://dx.doi.org/10.1016/j.aller.2018.04.006</v>
      </c>
      <c r="BG270" s="1" t="s">
        <v>74</v>
      </c>
      <c r="BH270" s="1" t="s">
        <v>74</v>
      </c>
      <c r="BI270" s="1" t="s">
        <v>74</v>
      </c>
      <c r="BJ270" s="1" t="s">
        <v>74</v>
      </c>
      <c r="BK270" s="1" t="s">
        <v>74</v>
      </c>
      <c r="BL270" s="1" t="s">
        <v>74</v>
      </c>
      <c r="BM270" s="1" t="s">
        <v>74</v>
      </c>
      <c r="BN270" s="1">
        <v>3.0078621E7</v>
      </c>
      <c r="BO270" s="1" t="s">
        <v>74</v>
      </c>
      <c r="BP270" s="1" t="s">
        <v>74</v>
      </c>
      <c r="BQ270" s="1" t="s">
        <v>74</v>
      </c>
      <c r="BR270" s="1" t="s">
        <v>74</v>
      </c>
      <c r="BS270" s="1" t="s">
        <v>2835</v>
      </c>
      <c r="BT270" s="1" t="str">
        <f>HYPERLINK("https%3A%2F%2Fwww.webofscience.com%2Fwos%2Fwoscc%2Ffull-record%2FWOS:000459947900003","View Full Record in Web of Science")</f>
        <v>View Full Record in Web of Science</v>
      </c>
    </row>
    <row r="271" ht="12.75" customHeight="1">
      <c r="A271" s="1" t="s">
        <v>72</v>
      </c>
      <c r="B271" s="1" t="s">
        <v>2142</v>
      </c>
      <c r="C271" s="1" t="s">
        <v>74</v>
      </c>
      <c r="D271" s="1" t="s">
        <v>74</v>
      </c>
      <c r="E271" s="1" t="s">
        <v>74</v>
      </c>
      <c r="F271" s="1" t="s">
        <v>2143</v>
      </c>
      <c r="G271" s="1" t="s">
        <v>74</v>
      </c>
      <c r="H271" s="1" t="s">
        <v>74</v>
      </c>
      <c r="I271" s="1" t="s">
        <v>2836</v>
      </c>
      <c r="J271" s="1" t="s">
        <v>2837</v>
      </c>
      <c r="K271" s="1" t="s">
        <v>74</v>
      </c>
      <c r="L271" s="1" t="s">
        <v>74</v>
      </c>
      <c r="M271" s="1" t="s">
        <v>74</v>
      </c>
      <c r="N271" s="1" t="s">
        <v>74</v>
      </c>
      <c r="O271" s="1" t="s">
        <v>74</v>
      </c>
      <c r="P271" s="1" t="s">
        <v>74</v>
      </c>
      <c r="Q271" s="1" t="s">
        <v>74</v>
      </c>
      <c r="R271" s="1" t="s">
        <v>74</v>
      </c>
      <c r="S271" s="1" t="s">
        <v>74</v>
      </c>
      <c r="T271" s="1" t="s">
        <v>74</v>
      </c>
      <c r="U271" s="1" t="s">
        <v>74</v>
      </c>
      <c r="V271" s="1" t="s">
        <v>74</v>
      </c>
      <c r="W271" s="1" t="s">
        <v>74</v>
      </c>
      <c r="X271" s="1" t="s">
        <v>74</v>
      </c>
      <c r="Y271" s="1" t="s">
        <v>74</v>
      </c>
      <c r="Z271" s="1" t="s">
        <v>74</v>
      </c>
      <c r="AA271" s="1" t="s">
        <v>74</v>
      </c>
      <c r="AB271" s="1" t="s">
        <v>74</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2838</v>
      </c>
      <c r="AP271" s="1" t="s">
        <v>2839</v>
      </c>
      <c r="AQ271" s="1" t="s">
        <v>74</v>
      </c>
      <c r="AR271" s="1" t="s">
        <v>74</v>
      </c>
      <c r="AS271" s="1" t="s">
        <v>74</v>
      </c>
      <c r="AT271" s="1" t="s">
        <v>120</v>
      </c>
      <c r="AU271" s="1">
        <v>2019.0</v>
      </c>
      <c r="AV271" s="1">
        <v>124.0</v>
      </c>
      <c r="AW271" s="1">
        <v>1.0</v>
      </c>
      <c r="AX271" s="1" t="s">
        <v>74</v>
      </c>
      <c r="AY271" s="1" t="s">
        <v>74</v>
      </c>
      <c r="AZ271" s="1" t="s">
        <v>74</v>
      </c>
      <c r="BA271" s="1" t="s">
        <v>74</v>
      </c>
      <c r="BB271" s="1">
        <v>303.0</v>
      </c>
      <c r="BC271" s="1">
        <v>305.0</v>
      </c>
      <c r="BD271" s="1" t="s">
        <v>74</v>
      </c>
      <c r="BE271" s="1" t="s">
        <v>2840</v>
      </c>
      <c r="BF271" s="2" t="str">
        <f>HYPERLINK("http://dx.doi.org/10.1093/ahr/rhy486","http://dx.doi.org/10.1093/ahr/rhy486")</f>
        <v>http://dx.doi.org/10.1093/ahr/rhy486</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2841</v>
      </c>
      <c r="BT271" s="1" t="str">
        <f>HYPERLINK("https%3A%2F%2Fwww.webofscience.com%2Fwos%2Fwoscc%2Ffull-record%2FWOS:000462553800101","View Full Record in Web of Science")</f>
        <v>View Full Record in Web of Science</v>
      </c>
    </row>
    <row r="272" ht="12.75" customHeight="1">
      <c r="A272" s="1" t="s">
        <v>72</v>
      </c>
      <c r="B272" s="1" t="s">
        <v>2842</v>
      </c>
      <c r="C272" s="1" t="s">
        <v>74</v>
      </c>
      <c r="D272" s="1" t="s">
        <v>74</v>
      </c>
      <c r="E272" s="1" t="s">
        <v>74</v>
      </c>
      <c r="F272" s="1" t="s">
        <v>2843</v>
      </c>
      <c r="G272" s="1" t="s">
        <v>74</v>
      </c>
      <c r="H272" s="1" t="s">
        <v>74</v>
      </c>
      <c r="I272" s="1" t="s">
        <v>2844</v>
      </c>
      <c r="J272" s="1" t="s">
        <v>1773</v>
      </c>
      <c r="K272" s="1" t="s">
        <v>74</v>
      </c>
      <c r="L272" s="1" t="s">
        <v>74</v>
      </c>
      <c r="M272" s="1" t="s">
        <v>74</v>
      </c>
      <c r="N272" s="1" t="s">
        <v>74</v>
      </c>
      <c r="O272" s="1" t="s">
        <v>74</v>
      </c>
      <c r="P272" s="1" t="s">
        <v>74</v>
      </c>
      <c r="Q272" s="1" t="s">
        <v>74</v>
      </c>
      <c r="R272" s="1" t="s">
        <v>74</v>
      </c>
      <c r="S272" s="1" t="s">
        <v>74</v>
      </c>
      <c r="T272" s="1" t="s">
        <v>74</v>
      </c>
      <c r="U272" s="1" t="s">
        <v>74</v>
      </c>
      <c r="V272" s="1" t="s">
        <v>2845</v>
      </c>
      <c r="W272" s="1" t="s">
        <v>74</v>
      </c>
      <c r="X272" s="1" t="s">
        <v>74</v>
      </c>
      <c r="Y272" s="1" t="s">
        <v>74</v>
      </c>
      <c r="Z272" s="1" t="s">
        <v>74</v>
      </c>
      <c r="AA272" s="1" t="s">
        <v>2846</v>
      </c>
      <c r="AB272" s="1" t="s">
        <v>2847</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1777</v>
      </c>
      <c r="AP272" s="1" t="s">
        <v>74</v>
      </c>
      <c r="AQ272" s="1" t="s">
        <v>74</v>
      </c>
      <c r="AR272" s="1" t="s">
        <v>74</v>
      </c>
      <c r="AS272" s="1" t="s">
        <v>74</v>
      </c>
      <c r="AT272" s="1" t="s">
        <v>924</v>
      </c>
      <c r="AU272" s="1">
        <v>2019.0</v>
      </c>
      <c r="AV272" s="1">
        <v>46.0</v>
      </c>
      <c r="AW272" s="1">
        <v>1.0</v>
      </c>
      <c r="AX272" s="1" t="s">
        <v>74</v>
      </c>
      <c r="AY272" s="1" t="s">
        <v>74</v>
      </c>
      <c r="AZ272" s="1" t="s">
        <v>74</v>
      </c>
      <c r="BA272" s="1" t="s">
        <v>74</v>
      </c>
      <c r="BB272" s="1">
        <v>30.0</v>
      </c>
      <c r="BC272" s="1">
        <v>39.0</v>
      </c>
      <c r="BD272" s="1" t="s">
        <v>74</v>
      </c>
      <c r="BE272" s="1" t="s">
        <v>2848</v>
      </c>
      <c r="BF272" s="2" t="str">
        <f>HYPERLINK("http://dx.doi.org/10.7764/rcia.v46i1.1955","http://dx.doi.org/10.7764/rcia.v46i1.1955")</f>
        <v>http://dx.doi.org/10.7764/rcia.v46i1.1955</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2849</v>
      </c>
      <c r="BT272" s="1" t="str">
        <f>HYPERLINK("https%3A%2F%2Fwww.webofscience.com%2Fwos%2Fwoscc%2Ffull-record%2FWOS:000469244500004","View Full Record in Web of Science")</f>
        <v>View Full Record in Web of Science</v>
      </c>
    </row>
    <row r="273" ht="12.75" customHeight="1">
      <c r="A273" s="1" t="s">
        <v>72</v>
      </c>
      <c r="B273" s="1" t="s">
        <v>1408</v>
      </c>
      <c r="C273" s="1" t="s">
        <v>74</v>
      </c>
      <c r="D273" s="1" t="s">
        <v>74</v>
      </c>
      <c r="E273" s="1" t="s">
        <v>74</v>
      </c>
      <c r="F273" s="1" t="s">
        <v>1409</v>
      </c>
      <c r="G273" s="1" t="s">
        <v>74</v>
      </c>
      <c r="H273" s="1" t="s">
        <v>74</v>
      </c>
      <c r="I273" s="1" t="s">
        <v>2850</v>
      </c>
      <c r="J273" s="1" t="s">
        <v>1411</v>
      </c>
      <c r="K273" s="1" t="s">
        <v>74</v>
      </c>
      <c r="L273" s="1" t="s">
        <v>74</v>
      </c>
      <c r="M273" s="1" t="s">
        <v>74</v>
      </c>
      <c r="N273" s="1" t="s">
        <v>74</v>
      </c>
      <c r="O273" s="1" t="s">
        <v>74</v>
      </c>
      <c r="P273" s="1" t="s">
        <v>74</v>
      </c>
      <c r="Q273" s="1" t="s">
        <v>74</v>
      </c>
      <c r="R273" s="1" t="s">
        <v>74</v>
      </c>
      <c r="S273" s="1" t="s">
        <v>74</v>
      </c>
      <c r="T273" s="1" t="s">
        <v>74</v>
      </c>
      <c r="U273" s="1" t="s">
        <v>74</v>
      </c>
      <c r="V273" s="1" t="s">
        <v>1412</v>
      </c>
      <c r="W273" s="1" t="s">
        <v>74</v>
      </c>
      <c r="X273" s="1" t="s">
        <v>74</v>
      </c>
      <c r="Y273" s="1" t="s">
        <v>74</v>
      </c>
      <c r="Z273" s="1" t="s">
        <v>74</v>
      </c>
      <c r="AA273" s="1" t="s">
        <v>2851</v>
      </c>
      <c r="AB273" s="1" t="s">
        <v>2852</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1415</v>
      </c>
      <c r="AP273" s="1" t="s">
        <v>74</v>
      </c>
      <c r="AQ273" s="1" t="s">
        <v>74</v>
      </c>
      <c r="AR273" s="1" t="s">
        <v>74</v>
      </c>
      <c r="AS273" s="1" t="s">
        <v>74</v>
      </c>
      <c r="AT273" s="1" t="s">
        <v>74</v>
      </c>
      <c r="AU273" s="1">
        <v>2018.0</v>
      </c>
      <c r="AV273" s="1">
        <v>23.0</v>
      </c>
      <c r="AW273" s="1">
        <v>4.0</v>
      </c>
      <c r="AX273" s="1" t="s">
        <v>74</v>
      </c>
      <c r="AY273" s="1" t="s">
        <v>74</v>
      </c>
      <c r="AZ273" s="1" t="s">
        <v>74</v>
      </c>
      <c r="BA273" s="1" t="s">
        <v>74</v>
      </c>
      <c r="BB273" s="1" t="s">
        <v>74</v>
      </c>
      <c r="BC273" s="1" t="s">
        <v>74</v>
      </c>
      <c r="BD273" s="1" t="s">
        <v>2853</v>
      </c>
      <c r="BE273" s="1" t="s">
        <v>2854</v>
      </c>
      <c r="BF273" s="2" t="str">
        <f>HYPERLINK("http://dx.doi.org/10.1590/S1517-707620180004.0562","http://dx.doi.org/10.1590/S1517-707620180004.0562")</f>
        <v>http://dx.doi.org/10.1590/S1517-707620180004.0562</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2855</v>
      </c>
      <c r="BT273" s="1" t="str">
        <f>HYPERLINK("https%3A%2F%2Fwww.webofscience.com%2Fwos%2Fwoscc%2Ffull-record%2FWOS:000452418700019","View Full Record in Web of Science")</f>
        <v>View Full Record in Web of Science</v>
      </c>
    </row>
    <row r="274" ht="12.75" customHeight="1">
      <c r="A274" s="1" t="s">
        <v>72</v>
      </c>
      <c r="B274" s="1" t="s">
        <v>2856</v>
      </c>
      <c r="C274" s="1" t="s">
        <v>74</v>
      </c>
      <c r="D274" s="1" t="s">
        <v>74</v>
      </c>
      <c r="E274" s="1" t="s">
        <v>74</v>
      </c>
      <c r="F274" s="1" t="s">
        <v>2857</v>
      </c>
      <c r="G274" s="1" t="s">
        <v>74</v>
      </c>
      <c r="H274" s="1" t="s">
        <v>74</v>
      </c>
      <c r="I274" s="1" t="s">
        <v>2858</v>
      </c>
      <c r="J274" s="1" t="s">
        <v>2859</v>
      </c>
      <c r="K274" s="1" t="s">
        <v>74</v>
      </c>
      <c r="L274" s="1" t="s">
        <v>74</v>
      </c>
      <c r="M274" s="1" t="s">
        <v>74</v>
      </c>
      <c r="N274" s="1" t="s">
        <v>74</v>
      </c>
      <c r="O274" s="1" t="s">
        <v>74</v>
      </c>
      <c r="P274" s="1" t="s">
        <v>74</v>
      </c>
      <c r="Q274" s="1" t="s">
        <v>74</v>
      </c>
      <c r="R274" s="1" t="s">
        <v>74</v>
      </c>
      <c r="S274" s="1" t="s">
        <v>74</v>
      </c>
      <c r="T274" s="1" t="s">
        <v>74</v>
      </c>
      <c r="U274" s="1" t="s">
        <v>74</v>
      </c>
      <c r="V274" s="1" t="s">
        <v>2860</v>
      </c>
      <c r="W274" s="1" t="s">
        <v>74</v>
      </c>
      <c r="X274" s="1" t="s">
        <v>74</v>
      </c>
      <c r="Y274" s="1" t="s">
        <v>74</v>
      </c>
      <c r="Z274" s="1" t="s">
        <v>74</v>
      </c>
      <c r="AA274" s="1" t="s">
        <v>2861</v>
      </c>
      <c r="AB274" s="1" t="s">
        <v>2862</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2863</v>
      </c>
      <c r="AP274" s="1" t="s">
        <v>2864</v>
      </c>
      <c r="AQ274" s="1" t="s">
        <v>74</v>
      </c>
      <c r="AR274" s="1" t="s">
        <v>74</v>
      </c>
      <c r="AS274" s="1" t="s">
        <v>74</v>
      </c>
      <c r="AT274" s="1" t="s">
        <v>232</v>
      </c>
      <c r="AU274" s="1">
        <v>2017.0</v>
      </c>
      <c r="AV274" s="1">
        <v>46.0</v>
      </c>
      <c r="AW274" s="1">
        <v>5.0</v>
      </c>
      <c r="AX274" s="1" t="s">
        <v>74</v>
      </c>
      <c r="AY274" s="1" t="s">
        <v>74</v>
      </c>
      <c r="AZ274" s="1" t="s">
        <v>74</v>
      </c>
      <c r="BA274" s="1" t="s">
        <v>74</v>
      </c>
      <c r="BB274" s="1">
        <v>1080.0</v>
      </c>
      <c r="BC274" s="1">
        <v>1089.0</v>
      </c>
      <c r="BD274" s="1" t="s">
        <v>74</v>
      </c>
      <c r="BE274" s="1" t="s">
        <v>2865</v>
      </c>
      <c r="BF274" s="2" t="str">
        <f>HYPERLINK("http://dx.doi.org/10.1093/ee/nvx126","http://dx.doi.org/10.1093/ee/nvx126")</f>
        <v>http://dx.doi.org/10.1093/ee/nvx126</v>
      </c>
      <c r="BG274" s="1" t="s">
        <v>74</v>
      </c>
      <c r="BH274" s="1" t="s">
        <v>74</v>
      </c>
      <c r="BI274" s="1" t="s">
        <v>74</v>
      </c>
      <c r="BJ274" s="1" t="s">
        <v>74</v>
      </c>
      <c r="BK274" s="1" t="s">
        <v>74</v>
      </c>
      <c r="BL274" s="1" t="s">
        <v>74</v>
      </c>
      <c r="BM274" s="1" t="s">
        <v>74</v>
      </c>
      <c r="BN274" s="1">
        <v>2.8981645E7</v>
      </c>
      <c r="BO274" s="1" t="s">
        <v>74</v>
      </c>
      <c r="BP274" s="1" t="s">
        <v>74</v>
      </c>
      <c r="BQ274" s="1" t="s">
        <v>74</v>
      </c>
      <c r="BR274" s="1" t="s">
        <v>74</v>
      </c>
      <c r="BS274" s="1" t="s">
        <v>2866</v>
      </c>
      <c r="BT274" s="1" t="str">
        <f>HYPERLINK("https%3A%2F%2Fwww.webofscience.com%2Fwos%2Fwoscc%2Ffull-record%2FWOS:000412480400005","View Full Record in Web of Science")</f>
        <v>View Full Record in Web of Science</v>
      </c>
    </row>
    <row r="275" ht="12.75" customHeight="1">
      <c r="A275" s="1" t="s">
        <v>72</v>
      </c>
      <c r="B275" s="1" t="s">
        <v>2867</v>
      </c>
      <c r="C275" s="1" t="s">
        <v>74</v>
      </c>
      <c r="D275" s="1" t="s">
        <v>74</v>
      </c>
      <c r="E275" s="1" t="s">
        <v>74</v>
      </c>
      <c r="F275" s="1" t="s">
        <v>2868</v>
      </c>
      <c r="G275" s="1" t="s">
        <v>74</v>
      </c>
      <c r="H275" s="1" t="s">
        <v>74</v>
      </c>
      <c r="I275" s="1" t="s">
        <v>2869</v>
      </c>
      <c r="J275" s="1" t="s">
        <v>2870</v>
      </c>
      <c r="K275" s="1" t="s">
        <v>74</v>
      </c>
      <c r="L275" s="1" t="s">
        <v>74</v>
      </c>
      <c r="M275" s="1" t="s">
        <v>74</v>
      </c>
      <c r="N275" s="1" t="s">
        <v>74</v>
      </c>
      <c r="O275" s="1" t="s">
        <v>74</v>
      </c>
      <c r="P275" s="1" t="s">
        <v>74</v>
      </c>
      <c r="Q275" s="1" t="s">
        <v>74</v>
      </c>
      <c r="R275" s="1" t="s">
        <v>74</v>
      </c>
      <c r="S275" s="1" t="s">
        <v>74</v>
      </c>
      <c r="T275" s="1" t="s">
        <v>74</v>
      </c>
      <c r="U275" s="1" t="s">
        <v>74</v>
      </c>
      <c r="V275" s="1" t="s">
        <v>2871</v>
      </c>
      <c r="W275" s="1" t="s">
        <v>74</v>
      </c>
      <c r="X275" s="1" t="s">
        <v>74</v>
      </c>
      <c r="Y275" s="1" t="s">
        <v>74</v>
      </c>
      <c r="Z275" s="1" t="s">
        <v>74</v>
      </c>
      <c r="AA275" s="1" t="s">
        <v>2872</v>
      </c>
      <c r="AB275" s="1" t="s">
        <v>2873</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2874</v>
      </c>
      <c r="AP275" s="1" t="s">
        <v>2875</v>
      </c>
      <c r="AQ275" s="1" t="s">
        <v>74</v>
      </c>
      <c r="AR275" s="1" t="s">
        <v>74</v>
      </c>
      <c r="AS275" s="1" t="s">
        <v>74</v>
      </c>
      <c r="AT275" s="1" t="s">
        <v>596</v>
      </c>
      <c r="AU275" s="1">
        <v>2015.0</v>
      </c>
      <c r="AV275" s="1">
        <v>64.0</v>
      </c>
      <c r="AW275" s="1">
        <v>1.0</v>
      </c>
      <c r="AX275" s="1" t="s">
        <v>74</v>
      </c>
      <c r="AY275" s="1" t="s">
        <v>74</v>
      </c>
      <c r="AZ275" s="1" t="s">
        <v>74</v>
      </c>
      <c r="BA275" s="1" t="s">
        <v>74</v>
      </c>
      <c r="BB275" s="1">
        <v>131.0</v>
      </c>
      <c r="BC275" s="1">
        <v>139.0</v>
      </c>
      <c r="BD275" s="1" t="s">
        <v>74</v>
      </c>
      <c r="BE275" s="1" t="s">
        <v>2876</v>
      </c>
      <c r="BF275" s="2" t="str">
        <f>HYPERLINK("http://dx.doi.org/10.1016/j.lwt.2015.05.047","http://dx.doi.org/10.1016/j.lwt.2015.05.047")</f>
        <v>http://dx.doi.org/10.1016/j.lwt.2015.05.047</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2877</v>
      </c>
      <c r="BT275" s="1" t="str">
        <f>HYPERLINK("https%3A%2F%2Fwww.webofscience.com%2Fwos%2Fwoscc%2Ffull-record%2FWOS:000358392000020","View Full Record in Web of Science")</f>
        <v>View Full Record in Web of Science</v>
      </c>
    </row>
    <row r="276" ht="12.75" customHeight="1">
      <c r="A276" s="1" t="s">
        <v>72</v>
      </c>
      <c r="B276" s="1" t="s">
        <v>2878</v>
      </c>
      <c r="C276" s="1" t="s">
        <v>74</v>
      </c>
      <c r="D276" s="1" t="s">
        <v>74</v>
      </c>
      <c r="E276" s="1" t="s">
        <v>74</v>
      </c>
      <c r="F276" s="1" t="s">
        <v>2879</v>
      </c>
      <c r="G276" s="1" t="s">
        <v>74</v>
      </c>
      <c r="H276" s="1" t="s">
        <v>74</v>
      </c>
      <c r="I276" s="1" t="s">
        <v>2880</v>
      </c>
      <c r="J276" s="1" t="s">
        <v>2279</v>
      </c>
      <c r="K276" s="1" t="s">
        <v>74</v>
      </c>
      <c r="L276" s="1" t="s">
        <v>74</v>
      </c>
      <c r="M276" s="1" t="s">
        <v>74</v>
      </c>
      <c r="N276" s="1" t="s">
        <v>74</v>
      </c>
      <c r="O276" s="1" t="s">
        <v>74</v>
      </c>
      <c r="P276" s="1" t="s">
        <v>74</v>
      </c>
      <c r="Q276" s="1" t="s">
        <v>74</v>
      </c>
      <c r="R276" s="1" t="s">
        <v>74</v>
      </c>
      <c r="S276" s="1" t="s">
        <v>74</v>
      </c>
      <c r="T276" s="1" t="s">
        <v>74</v>
      </c>
      <c r="U276" s="1" t="s">
        <v>74</v>
      </c>
      <c r="V276" s="1" t="s">
        <v>2881</v>
      </c>
      <c r="W276" s="1" t="s">
        <v>74</v>
      </c>
      <c r="X276" s="1" t="s">
        <v>74</v>
      </c>
      <c r="Y276" s="1" t="s">
        <v>74</v>
      </c>
      <c r="Z276" s="1" t="s">
        <v>74</v>
      </c>
      <c r="AA276" s="1" t="s">
        <v>2882</v>
      </c>
      <c r="AB276" s="1" t="s">
        <v>2883</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2283</v>
      </c>
      <c r="AP276" s="1" t="s">
        <v>2284</v>
      </c>
      <c r="AQ276" s="1" t="s">
        <v>74</v>
      </c>
      <c r="AR276" s="1" t="s">
        <v>74</v>
      </c>
      <c r="AS276" s="1" t="s">
        <v>74</v>
      </c>
      <c r="AT276" s="1" t="s">
        <v>2085</v>
      </c>
      <c r="AU276" s="1">
        <v>2015.0</v>
      </c>
      <c r="AV276" s="1">
        <v>175.0</v>
      </c>
      <c r="AW276" s="1" t="s">
        <v>74</v>
      </c>
      <c r="AX276" s="1" t="s">
        <v>74</v>
      </c>
      <c r="AY276" s="1" t="s">
        <v>74</v>
      </c>
      <c r="AZ276" s="1" t="s">
        <v>74</v>
      </c>
      <c r="BA276" s="1" t="s">
        <v>74</v>
      </c>
      <c r="BB276" s="1">
        <v>478.0</v>
      </c>
      <c r="BC276" s="1">
        <v>484.0</v>
      </c>
      <c r="BD276" s="1" t="s">
        <v>74</v>
      </c>
      <c r="BE276" s="1" t="s">
        <v>2884</v>
      </c>
      <c r="BF276" s="2" t="str">
        <f>HYPERLINK("http://dx.doi.org/10.1016/j.foodchem.2014.12.008","http://dx.doi.org/10.1016/j.foodchem.2014.12.008")</f>
        <v>http://dx.doi.org/10.1016/j.foodchem.2014.12.008</v>
      </c>
      <c r="BG276" s="1" t="s">
        <v>74</v>
      </c>
      <c r="BH276" s="1" t="s">
        <v>74</v>
      </c>
      <c r="BI276" s="1" t="s">
        <v>74</v>
      </c>
      <c r="BJ276" s="1" t="s">
        <v>74</v>
      </c>
      <c r="BK276" s="1" t="s">
        <v>74</v>
      </c>
      <c r="BL276" s="1" t="s">
        <v>74</v>
      </c>
      <c r="BM276" s="1" t="s">
        <v>74</v>
      </c>
      <c r="BN276" s="1">
        <v>2.5577109E7</v>
      </c>
      <c r="BO276" s="1" t="s">
        <v>74</v>
      </c>
      <c r="BP276" s="1" t="s">
        <v>74</v>
      </c>
      <c r="BQ276" s="1" t="s">
        <v>74</v>
      </c>
      <c r="BR276" s="1" t="s">
        <v>74</v>
      </c>
      <c r="BS276" s="1" t="s">
        <v>2885</v>
      </c>
      <c r="BT276" s="1" t="str">
        <f>HYPERLINK("https%3A%2F%2Fwww.webofscience.com%2Fwos%2Fwoscc%2Ffull-record%2FWOS:000348878500067","View Full Record in Web of Science")</f>
        <v>View Full Record in Web of Science</v>
      </c>
    </row>
    <row r="277" ht="12.75" customHeight="1">
      <c r="A277" s="1" t="s">
        <v>72</v>
      </c>
      <c r="B277" s="1" t="s">
        <v>2886</v>
      </c>
      <c r="C277" s="1" t="s">
        <v>74</v>
      </c>
      <c r="D277" s="1" t="s">
        <v>74</v>
      </c>
      <c r="E277" s="1" t="s">
        <v>74</v>
      </c>
      <c r="F277" s="1" t="s">
        <v>2887</v>
      </c>
      <c r="G277" s="1" t="s">
        <v>74</v>
      </c>
      <c r="H277" s="1" t="s">
        <v>74</v>
      </c>
      <c r="I277" s="1" t="s">
        <v>2888</v>
      </c>
      <c r="J277" s="1" t="s">
        <v>2889</v>
      </c>
      <c r="K277" s="1" t="s">
        <v>74</v>
      </c>
      <c r="L277" s="1" t="s">
        <v>74</v>
      </c>
      <c r="M277" s="1" t="s">
        <v>74</v>
      </c>
      <c r="N277" s="1" t="s">
        <v>74</v>
      </c>
      <c r="O277" s="1" t="s">
        <v>74</v>
      </c>
      <c r="P277" s="1" t="s">
        <v>74</v>
      </c>
      <c r="Q277" s="1" t="s">
        <v>74</v>
      </c>
      <c r="R277" s="1" t="s">
        <v>74</v>
      </c>
      <c r="S277" s="1" t="s">
        <v>74</v>
      </c>
      <c r="T277" s="1" t="s">
        <v>74</v>
      </c>
      <c r="U277" s="1" t="s">
        <v>74</v>
      </c>
      <c r="V277" s="1" t="s">
        <v>2890</v>
      </c>
      <c r="W277" s="1" t="s">
        <v>74</v>
      </c>
      <c r="X277" s="1" t="s">
        <v>74</v>
      </c>
      <c r="Y277" s="1" t="s">
        <v>74</v>
      </c>
      <c r="Z277" s="1" t="s">
        <v>74</v>
      </c>
      <c r="AA277" s="1" t="s">
        <v>2891</v>
      </c>
      <c r="AB277" s="1" t="s">
        <v>2892</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2893</v>
      </c>
      <c r="AP277" s="1" t="s">
        <v>2894</v>
      </c>
      <c r="AQ277" s="1" t="s">
        <v>74</v>
      </c>
      <c r="AR277" s="1" t="s">
        <v>74</v>
      </c>
      <c r="AS277" s="1" t="s">
        <v>74</v>
      </c>
      <c r="AT277" s="1" t="s">
        <v>107</v>
      </c>
      <c r="AU277" s="1">
        <v>2015.0</v>
      </c>
      <c r="AV277" s="1">
        <v>188.0</v>
      </c>
      <c r="AW277" s="1" t="s">
        <v>74</v>
      </c>
      <c r="AX277" s="1" t="s">
        <v>74</v>
      </c>
      <c r="AY277" s="1" t="s">
        <v>74</v>
      </c>
      <c r="AZ277" s="1" t="s">
        <v>74</v>
      </c>
      <c r="BA277" s="1" t="s">
        <v>74</v>
      </c>
      <c r="BB277" s="1">
        <v>54.0</v>
      </c>
      <c r="BC277" s="1">
        <v>60.0</v>
      </c>
      <c r="BD277" s="1" t="s">
        <v>74</v>
      </c>
      <c r="BE277" s="1" t="s">
        <v>2895</v>
      </c>
      <c r="BF277" s="2" t="str">
        <f>HYPERLINK("http://dx.doi.org/10.1016/j.chemphyslip.2015.05.001","http://dx.doi.org/10.1016/j.chemphyslip.2015.05.001")</f>
        <v>http://dx.doi.org/10.1016/j.chemphyslip.2015.05.001</v>
      </c>
      <c r="BG277" s="1" t="s">
        <v>74</v>
      </c>
      <c r="BH277" s="1" t="s">
        <v>74</v>
      </c>
      <c r="BI277" s="1" t="s">
        <v>74</v>
      </c>
      <c r="BJ277" s="1" t="s">
        <v>74</v>
      </c>
      <c r="BK277" s="1" t="s">
        <v>74</v>
      </c>
      <c r="BL277" s="1" t="s">
        <v>74</v>
      </c>
      <c r="BM277" s="1" t="s">
        <v>74</v>
      </c>
      <c r="BN277" s="1">
        <v>2.5956303E7</v>
      </c>
      <c r="BO277" s="1" t="s">
        <v>74</v>
      </c>
      <c r="BP277" s="1" t="s">
        <v>74</v>
      </c>
      <c r="BQ277" s="1" t="s">
        <v>74</v>
      </c>
      <c r="BR277" s="1" t="s">
        <v>74</v>
      </c>
      <c r="BS277" s="1" t="s">
        <v>2896</v>
      </c>
      <c r="BT277" s="1" t="str">
        <f>HYPERLINK("https%3A%2F%2Fwww.webofscience.com%2Fwos%2Fwoscc%2Ffull-record%2FWOS:000356743700006","View Full Record in Web of Science")</f>
        <v>View Full Record in Web of Science</v>
      </c>
    </row>
    <row r="278" ht="12.75" customHeight="1">
      <c r="A278" s="1" t="s">
        <v>72</v>
      </c>
      <c r="B278" s="1" t="s">
        <v>2897</v>
      </c>
      <c r="C278" s="1" t="s">
        <v>74</v>
      </c>
      <c r="D278" s="1" t="s">
        <v>74</v>
      </c>
      <c r="E278" s="1" t="s">
        <v>74</v>
      </c>
      <c r="F278" s="1" t="s">
        <v>2898</v>
      </c>
      <c r="G278" s="1" t="s">
        <v>74</v>
      </c>
      <c r="H278" s="1" t="s">
        <v>74</v>
      </c>
      <c r="I278" s="1" t="s">
        <v>2899</v>
      </c>
      <c r="J278" s="1" t="s">
        <v>2900</v>
      </c>
      <c r="K278" s="1" t="s">
        <v>74</v>
      </c>
      <c r="L278" s="1" t="s">
        <v>74</v>
      </c>
      <c r="M278" s="1" t="s">
        <v>74</v>
      </c>
      <c r="N278" s="1" t="s">
        <v>74</v>
      </c>
      <c r="O278" s="1" t="s">
        <v>74</v>
      </c>
      <c r="P278" s="1" t="s">
        <v>74</v>
      </c>
      <c r="Q278" s="1" t="s">
        <v>74</v>
      </c>
      <c r="R278" s="1" t="s">
        <v>74</v>
      </c>
      <c r="S278" s="1" t="s">
        <v>74</v>
      </c>
      <c r="T278" s="1" t="s">
        <v>74</v>
      </c>
      <c r="U278" s="1" t="s">
        <v>74</v>
      </c>
      <c r="V278" s="1" t="s">
        <v>2901</v>
      </c>
      <c r="W278" s="1" t="s">
        <v>74</v>
      </c>
      <c r="X278" s="1" t="s">
        <v>74</v>
      </c>
      <c r="Y278" s="1" t="s">
        <v>74</v>
      </c>
      <c r="Z278" s="1" t="s">
        <v>74</v>
      </c>
      <c r="AA278" s="1" t="s">
        <v>2902</v>
      </c>
      <c r="AB278" s="1" t="s">
        <v>2903</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2904</v>
      </c>
      <c r="AP278" s="1" t="s">
        <v>2905</v>
      </c>
      <c r="AQ278" s="1" t="s">
        <v>74</v>
      </c>
      <c r="AR278" s="1" t="s">
        <v>74</v>
      </c>
      <c r="AS278" s="1" t="s">
        <v>74</v>
      </c>
      <c r="AT278" s="1" t="s">
        <v>83</v>
      </c>
      <c r="AU278" s="1">
        <v>2015.0</v>
      </c>
      <c r="AV278" s="1">
        <v>55.0</v>
      </c>
      <c r="AW278" s="1">
        <v>2.0</v>
      </c>
      <c r="AX278" s="1" t="s">
        <v>74</v>
      </c>
      <c r="AY278" s="1" t="s">
        <v>74</v>
      </c>
      <c r="AZ278" s="1" t="s">
        <v>74</v>
      </c>
      <c r="BA278" s="1" t="s">
        <v>74</v>
      </c>
      <c r="BB278" s="1">
        <v>219.0</v>
      </c>
      <c r="BC278" s="1">
        <v>222.0</v>
      </c>
      <c r="BD278" s="1" t="s">
        <v>74</v>
      </c>
      <c r="BE278" s="1" t="s">
        <v>2906</v>
      </c>
      <c r="BF278" s="2" t="str">
        <f>HYPERLINK("http://dx.doi.org/10.1134/S0016793215010107","http://dx.doi.org/10.1134/S0016793215010107")</f>
        <v>http://dx.doi.org/10.1134/S0016793215010107</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2907</v>
      </c>
      <c r="BT278" s="1" t="str">
        <f>HYPERLINK("https%3A%2F%2Fwww.webofscience.com%2Fwos%2Fwoscc%2Ffull-record%2FWOS:000352651700010","View Full Record in Web of Science")</f>
        <v>View Full Record in Web of Science</v>
      </c>
    </row>
    <row r="279" ht="12.75" customHeight="1">
      <c r="A279" s="1" t="s">
        <v>72</v>
      </c>
      <c r="B279" s="1" t="s">
        <v>2908</v>
      </c>
      <c r="C279" s="1" t="s">
        <v>74</v>
      </c>
      <c r="D279" s="1" t="s">
        <v>74</v>
      </c>
      <c r="E279" s="1" t="s">
        <v>74</v>
      </c>
      <c r="F279" s="1" t="s">
        <v>2909</v>
      </c>
      <c r="G279" s="1" t="s">
        <v>74</v>
      </c>
      <c r="H279" s="1" t="s">
        <v>74</v>
      </c>
      <c r="I279" s="1" t="s">
        <v>2910</v>
      </c>
      <c r="J279" s="1" t="s">
        <v>2911</v>
      </c>
      <c r="K279" s="1" t="s">
        <v>74</v>
      </c>
      <c r="L279" s="1" t="s">
        <v>74</v>
      </c>
      <c r="M279" s="1" t="s">
        <v>74</v>
      </c>
      <c r="N279" s="1" t="s">
        <v>74</v>
      </c>
      <c r="O279" s="1" t="s">
        <v>74</v>
      </c>
      <c r="P279" s="1" t="s">
        <v>74</v>
      </c>
      <c r="Q279" s="1" t="s">
        <v>74</v>
      </c>
      <c r="R279" s="1" t="s">
        <v>74</v>
      </c>
      <c r="S279" s="1" t="s">
        <v>74</v>
      </c>
      <c r="T279" s="1" t="s">
        <v>74</v>
      </c>
      <c r="U279" s="1" t="s">
        <v>74</v>
      </c>
      <c r="V279" s="1" t="s">
        <v>2912</v>
      </c>
      <c r="W279" s="1" t="s">
        <v>74</v>
      </c>
      <c r="X279" s="1" t="s">
        <v>74</v>
      </c>
      <c r="Y279" s="1" t="s">
        <v>74</v>
      </c>
      <c r="Z279" s="1" t="s">
        <v>74</v>
      </c>
      <c r="AA279" s="1" t="s">
        <v>74</v>
      </c>
      <c r="AB279" s="1" t="s">
        <v>656</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2913</v>
      </c>
      <c r="AP279" s="1" t="s">
        <v>2914</v>
      </c>
      <c r="AQ279" s="1" t="s">
        <v>74</v>
      </c>
      <c r="AR279" s="1" t="s">
        <v>74</v>
      </c>
      <c r="AS279" s="1" t="s">
        <v>74</v>
      </c>
      <c r="AT279" s="1" t="s">
        <v>74</v>
      </c>
      <c r="AU279" s="1">
        <v>2015.0</v>
      </c>
      <c r="AV279" s="1">
        <v>2015.0</v>
      </c>
      <c r="AW279" s="1" t="s">
        <v>74</v>
      </c>
      <c r="AX279" s="1" t="s">
        <v>74</v>
      </c>
      <c r="AY279" s="1" t="s">
        <v>74</v>
      </c>
      <c r="AZ279" s="1" t="s">
        <v>74</v>
      </c>
      <c r="BA279" s="1" t="s">
        <v>74</v>
      </c>
      <c r="BB279" s="1" t="s">
        <v>74</v>
      </c>
      <c r="BC279" s="1" t="s">
        <v>74</v>
      </c>
      <c r="BD279" s="1">
        <v>173193.0</v>
      </c>
      <c r="BE279" s="1" t="s">
        <v>2915</v>
      </c>
      <c r="BF279" s="2" t="str">
        <f>HYPERLINK("http://dx.doi.org/10.1155/2015/173193","http://dx.doi.org/10.1155/2015/173193")</f>
        <v>http://dx.doi.org/10.1155/2015/173193</v>
      </c>
      <c r="BG279" s="1" t="s">
        <v>74</v>
      </c>
      <c r="BH279" s="1" t="s">
        <v>74</v>
      </c>
      <c r="BI279" s="1" t="s">
        <v>74</v>
      </c>
      <c r="BJ279" s="1" t="s">
        <v>74</v>
      </c>
      <c r="BK279" s="1" t="s">
        <v>74</v>
      </c>
      <c r="BL279" s="1" t="s">
        <v>74</v>
      </c>
      <c r="BM279" s="1" t="s">
        <v>74</v>
      </c>
      <c r="BN279" s="1" t="s">
        <v>74</v>
      </c>
      <c r="BO279" s="1" t="s">
        <v>74</v>
      </c>
      <c r="BP279" s="1" t="s">
        <v>74</v>
      </c>
      <c r="BQ279" s="1" t="s">
        <v>74</v>
      </c>
      <c r="BR279" s="1" t="s">
        <v>74</v>
      </c>
      <c r="BS279" s="1" t="s">
        <v>2916</v>
      </c>
      <c r="BT279" s="1" t="str">
        <f>HYPERLINK("https%3A%2F%2Fwww.webofscience.com%2Fwos%2Fwoscc%2Ffull-record%2FWOS:000366427700001","View Full Record in Web of Science")</f>
        <v>View Full Record in Web of Science</v>
      </c>
    </row>
    <row r="280" ht="12.75" customHeight="1">
      <c r="A280" s="1" t="s">
        <v>72</v>
      </c>
      <c r="B280" s="1" t="s">
        <v>2917</v>
      </c>
      <c r="C280" s="1" t="s">
        <v>74</v>
      </c>
      <c r="D280" s="1" t="s">
        <v>74</v>
      </c>
      <c r="E280" s="1" t="s">
        <v>74</v>
      </c>
      <c r="F280" s="1" t="s">
        <v>2918</v>
      </c>
      <c r="G280" s="1" t="s">
        <v>74</v>
      </c>
      <c r="H280" s="1" t="s">
        <v>74</v>
      </c>
      <c r="I280" s="1" t="s">
        <v>2919</v>
      </c>
      <c r="J280" s="1" t="s">
        <v>2920</v>
      </c>
      <c r="K280" s="1" t="s">
        <v>74</v>
      </c>
      <c r="L280" s="1" t="s">
        <v>74</v>
      </c>
      <c r="M280" s="1" t="s">
        <v>74</v>
      </c>
      <c r="N280" s="1" t="s">
        <v>74</v>
      </c>
      <c r="O280" s="1" t="s">
        <v>74</v>
      </c>
      <c r="P280" s="1" t="s">
        <v>74</v>
      </c>
      <c r="Q280" s="1" t="s">
        <v>74</v>
      </c>
      <c r="R280" s="1" t="s">
        <v>74</v>
      </c>
      <c r="S280" s="1" t="s">
        <v>74</v>
      </c>
      <c r="T280" s="1" t="s">
        <v>74</v>
      </c>
      <c r="U280" s="1" t="s">
        <v>74</v>
      </c>
      <c r="V280" s="1" t="s">
        <v>2921</v>
      </c>
      <c r="W280" s="1" t="s">
        <v>74</v>
      </c>
      <c r="X280" s="1" t="s">
        <v>74</v>
      </c>
      <c r="Y280" s="1" t="s">
        <v>74</v>
      </c>
      <c r="Z280" s="1" t="s">
        <v>74</v>
      </c>
      <c r="AA280" s="1" t="s">
        <v>2922</v>
      </c>
      <c r="AB280" s="1" t="s">
        <v>74</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2923</v>
      </c>
      <c r="AP280" s="1" t="s">
        <v>2924</v>
      </c>
      <c r="AQ280" s="1" t="s">
        <v>74</v>
      </c>
      <c r="AR280" s="1" t="s">
        <v>74</v>
      </c>
      <c r="AS280" s="1" t="s">
        <v>74</v>
      </c>
      <c r="AT280" s="1" t="s">
        <v>74</v>
      </c>
      <c r="AU280" s="1">
        <v>2015.0</v>
      </c>
      <c r="AV280" s="1">
        <v>68.0</v>
      </c>
      <c r="AW280" s="1">
        <v>14.0</v>
      </c>
      <c r="AX280" s="1" t="s">
        <v>74</v>
      </c>
      <c r="AY280" s="1" t="s">
        <v>74</v>
      </c>
      <c r="AZ280" s="1" t="s">
        <v>74</v>
      </c>
      <c r="BA280" s="1" t="s">
        <v>74</v>
      </c>
      <c r="BB280" s="1">
        <v>2423.0</v>
      </c>
      <c r="BC280" s="1">
        <v>2433.0</v>
      </c>
      <c r="BD280" s="1" t="s">
        <v>74</v>
      </c>
      <c r="BE280" s="1" t="s">
        <v>2925</v>
      </c>
      <c r="BF280" s="2" t="str">
        <f>HYPERLINK("http://dx.doi.org/10.1080/00958972.2015.1047357","http://dx.doi.org/10.1080/00958972.2015.1047357")</f>
        <v>http://dx.doi.org/10.1080/00958972.2015.1047357</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2926</v>
      </c>
      <c r="BT280" s="1" t="str">
        <f>HYPERLINK("https%3A%2F%2Fwww.webofscience.com%2Fwos%2Fwoscc%2Ffull-record%2FWOS:000357867600004","View Full Record in Web of Science")</f>
        <v>View Full Record in Web of Science</v>
      </c>
    </row>
    <row r="281" ht="12.75" customHeight="1">
      <c r="A281" s="1" t="s">
        <v>72</v>
      </c>
      <c r="B281" s="1" t="s">
        <v>2927</v>
      </c>
      <c r="C281" s="1" t="s">
        <v>74</v>
      </c>
      <c r="D281" s="1" t="s">
        <v>74</v>
      </c>
      <c r="E281" s="1" t="s">
        <v>74</v>
      </c>
      <c r="F281" s="1" t="s">
        <v>2928</v>
      </c>
      <c r="G281" s="1" t="s">
        <v>74</v>
      </c>
      <c r="H281" s="1" t="s">
        <v>74</v>
      </c>
      <c r="I281" s="1" t="s">
        <v>2929</v>
      </c>
      <c r="J281" s="1" t="s">
        <v>2930</v>
      </c>
      <c r="K281" s="1" t="s">
        <v>74</v>
      </c>
      <c r="L281" s="1" t="s">
        <v>74</v>
      </c>
      <c r="M281" s="1" t="s">
        <v>74</v>
      </c>
      <c r="N281" s="1" t="s">
        <v>74</v>
      </c>
      <c r="O281" s="1" t="s">
        <v>74</v>
      </c>
      <c r="P281" s="1" t="s">
        <v>74</v>
      </c>
      <c r="Q281" s="1" t="s">
        <v>74</v>
      </c>
      <c r="R281" s="1" t="s">
        <v>74</v>
      </c>
      <c r="S281" s="1" t="s">
        <v>74</v>
      </c>
      <c r="T281" s="1" t="s">
        <v>74</v>
      </c>
      <c r="U281" s="1" t="s">
        <v>74</v>
      </c>
      <c r="V281" s="1" t="s">
        <v>2931</v>
      </c>
      <c r="W281" s="1" t="s">
        <v>74</v>
      </c>
      <c r="X281" s="1" t="s">
        <v>74</v>
      </c>
      <c r="Y281" s="1" t="s">
        <v>74</v>
      </c>
      <c r="Z281" s="1" t="s">
        <v>74</v>
      </c>
      <c r="AA281" s="1" t="s">
        <v>2932</v>
      </c>
      <c r="AB281" s="1" t="s">
        <v>2933</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2934</v>
      </c>
      <c r="AP281" s="1" t="s">
        <v>2935</v>
      </c>
      <c r="AQ281" s="1" t="s">
        <v>74</v>
      </c>
      <c r="AR281" s="1" t="s">
        <v>74</v>
      </c>
      <c r="AS281" s="1" t="s">
        <v>74</v>
      </c>
      <c r="AT281" s="1" t="s">
        <v>107</v>
      </c>
      <c r="AU281" s="1">
        <v>2013.0</v>
      </c>
      <c r="AV281" s="1">
        <v>222.0</v>
      </c>
      <c r="AW281" s="1">
        <v>5.0</v>
      </c>
      <c r="AX281" s="1" t="s">
        <v>74</v>
      </c>
      <c r="AY281" s="1" t="s">
        <v>74</v>
      </c>
      <c r="AZ281" s="1" t="s">
        <v>74</v>
      </c>
      <c r="BA281" s="1" t="s">
        <v>74</v>
      </c>
      <c r="BB281" s="1">
        <v>487.0</v>
      </c>
      <c r="BC281" s="1">
        <v>494.0</v>
      </c>
      <c r="BD281" s="1" t="s">
        <v>74</v>
      </c>
      <c r="BE281" s="1" t="s">
        <v>2936</v>
      </c>
      <c r="BF281" s="2" t="str">
        <f>HYPERLINK("http://dx.doi.org/10.1111/joa.12042","http://dx.doi.org/10.1111/joa.12042")</f>
        <v>http://dx.doi.org/10.1111/joa.12042</v>
      </c>
      <c r="BG281" s="1" t="s">
        <v>74</v>
      </c>
      <c r="BH281" s="1" t="s">
        <v>74</v>
      </c>
      <c r="BI281" s="1" t="s">
        <v>74</v>
      </c>
      <c r="BJ281" s="1" t="s">
        <v>74</v>
      </c>
      <c r="BK281" s="1" t="s">
        <v>74</v>
      </c>
      <c r="BL281" s="1" t="s">
        <v>74</v>
      </c>
      <c r="BM281" s="1" t="s">
        <v>74</v>
      </c>
      <c r="BN281" s="1">
        <v>2.3520979E7</v>
      </c>
      <c r="BO281" s="1" t="s">
        <v>74</v>
      </c>
      <c r="BP281" s="1" t="s">
        <v>74</v>
      </c>
      <c r="BQ281" s="1" t="s">
        <v>74</v>
      </c>
      <c r="BR281" s="1" t="s">
        <v>74</v>
      </c>
      <c r="BS281" s="1" t="s">
        <v>2937</v>
      </c>
      <c r="BT281" s="1" t="str">
        <f>HYPERLINK("https%3A%2F%2Fwww.webofscience.com%2Fwos%2Fwoscc%2Ffull-record%2FWOS:000317905900001","View Full Record in Web of Science")</f>
        <v>View Full Record in Web of Science</v>
      </c>
    </row>
    <row r="282" ht="12.75" customHeight="1">
      <c r="A282" s="1" t="s">
        <v>72</v>
      </c>
      <c r="B282" s="1" t="s">
        <v>2938</v>
      </c>
      <c r="C282" s="1" t="s">
        <v>74</v>
      </c>
      <c r="D282" s="1" t="s">
        <v>74</v>
      </c>
      <c r="E282" s="1" t="s">
        <v>74</v>
      </c>
      <c r="F282" s="1" t="s">
        <v>2939</v>
      </c>
      <c r="G282" s="1" t="s">
        <v>74</v>
      </c>
      <c r="H282" s="1" t="s">
        <v>74</v>
      </c>
      <c r="I282" s="1" t="s">
        <v>2940</v>
      </c>
      <c r="J282" s="1" t="s">
        <v>2941</v>
      </c>
      <c r="K282" s="1" t="s">
        <v>74</v>
      </c>
      <c r="L282" s="1" t="s">
        <v>74</v>
      </c>
      <c r="M282" s="1" t="s">
        <v>74</v>
      </c>
      <c r="N282" s="1" t="s">
        <v>74</v>
      </c>
      <c r="O282" s="1" t="s">
        <v>2942</v>
      </c>
      <c r="P282" s="1" t="s">
        <v>2943</v>
      </c>
      <c r="Q282" s="1" t="s">
        <v>2944</v>
      </c>
      <c r="R282" s="1" t="s">
        <v>2945</v>
      </c>
      <c r="S282" s="1" t="s">
        <v>74</v>
      </c>
      <c r="T282" s="1" t="s">
        <v>74</v>
      </c>
      <c r="U282" s="1" t="s">
        <v>74</v>
      </c>
      <c r="V282" s="1" t="s">
        <v>74</v>
      </c>
      <c r="W282" s="1" t="s">
        <v>74</v>
      </c>
      <c r="X282" s="1" t="s">
        <v>74</v>
      </c>
      <c r="Y282" s="1" t="s">
        <v>74</v>
      </c>
      <c r="Z282" s="1" t="s">
        <v>74</v>
      </c>
      <c r="AA282" s="1" t="s">
        <v>2946</v>
      </c>
      <c r="AB282" s="1" t="s">
        <v>74</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2947</v>
      </c>
      <c r="AP282" s="1" t="s">
        <v>74</v>
      </c>
      <c r="AQ282" s="1" t="s">
        <v>74</v>
      </c>
      <c r="AR282" s="1" t="s">
        <v>74</v>
      </c>
      <c r="AS282" s="1" t="s">
        <v>74</v>
      </c>
      <c r="AT282" s="1" t="s">
        <v>461</v>
      </c>
      <c r="AU282" s="1">
        <v>2012.0</v>
      </c>
      <c r="AV282" s="1">
        <v>21.0</v>
      </c>
      <c r="AW282" s="1" t="s">
        <v>74</v>
      </c>
      <c r="AX282" s="1" t="s">
        <v>74</v>
      </c>
      <c r="AY282" s="1">
        <v>1.0</v>
      </c>
      <c r="AZ282" s="1" t="s">
        <v>297</v>
      </c>
      <c r="BA282" s="1" t="s">
        <v>74</v>
      </c>
      <c r="BB282" s="1">
        <v>295.0</v>
      </c>
      <c r="BC282" s="1">
        <v>295.0</v>
      </c>
      <c r="BD282" s="1" t="s">
        <v>74</v>
      </c>
      <c r="BE282" s="1" t="s">
        <v>74</v>
      </c>
      <c r="BF282" s="1" t="s">
        <v>74</v>
      </c>
      <c r="BG282" s="1" t="s">
        <v>74</v>
      </c>
      <c r="BH282" s="1" t="s">
        <v>74</v>
      </c>
      <c r="BI282" s="1" t="s">
        <v>74</v>
      </c>
      <c r="BJ282" s="1" t="s">
        <v>74</v>
      </c>
      <c r="BK282" s="1" t="s">
        <v>74</v>
      </c>
      <c r="BL282" s="1" t="s">
        <v>74</v>
      </c>
      <c r="BM282" s="1" t="s">
        <v>74</v>
      </c>
      <c r="BN282" s="1" t="s">
        <v>74</v>
      </c>
      <c r="BO282" s="1" t="s">
        <v>74</v>
      </c>
      <c r="BP282" s="1" t="s">
        <v>74</v>
      </c>
      <c r="BQ282" s="1" t="s">
        <v>74</v>
      </c>
      <c r="BR282" s="1" t="s">
        <v>74</v>
      </c>
      <c r="BS282" s="1" t="s">
        <v>2948</v>
      </c>
      <c r="BT282" s="1" t="str">
        <f>HYPERLINK("https%3A%2F%2Fwww.webofscience.com%2Fwos%2Fwoscc%2Ffull-record%2FWOS:000307963201272","View Full Record in Web of Science")</f>
        <v>View Full Record in Web of Science</v>
      </c>
    </row>
    <row r="283" ht="12.75" customHeight="1">
      <c r="A283" s="1" t="s">
        <v>72</v>
      </c>
      <c r="B283" s="1" t="s">
        <v>2949</v>
      </c>
      <c r="C283" s="1" t="s">
        <v>74</v>
      </c>
      <c r="D283" s="1" t="s">
        <v>74</v>
      </c>
      <c r="E283" s="1" t="s">
        <v>74</v>
      </c>
      <c r="F283" s="1" t="s">
        <v>2950</v>
      </c>
      <c r="G283" s="1" t="s">
        <v>74</v>
      </c>
      <c r="H283" s="1" t="s">
        <v>74</v>
      </c>
      <c r="I283" s="1" t="s">
        <v>2951</v>
      </c>
      <c r="J283" s="1" t="s">
        <v>1062</v>
      </c>
      <c r="K283" s="1" t="s">
        <v>74</v>
      </c>
      <c r="L283" s="1" t="s">
        <v>74</v>
      </c>
      <c r="M283" s="1" t="s">
        <v>74</v>
      </c>
      <c r="N283" s="1" t="s">
        <v>74</v>
      </c>
      <c r="O283" s="1" t="s">
        <v>74</v>
      </c>
      <c r="P283" s="1" t="s">
        <v>74</v>
      </c>
      <c r="Q283" s="1" t="s">
        <v>74</v>
      </c>
      <c r="R283" s="1" t="s">
        <v>74</v>
      </c>
      <c r="S283" s="1" t="s">
        <v>74</v>
      </c>
      <c r="T283" s="1" t="s">
        <v>74</v>
      </c>
      <c r="U283" s="1" t="s">
        <v>74</v>
      </c>
      <c r="V283" s="1" t="s">
        <v>2952</v>
      </c>
      <c r="W283" s="1" t="s">
        <v>74</v>
      </c>
      <c r="X283" s="1" t="s">
        <v>74</v>
      </c>
      <c r="Y283" s="1" t="s">
        <v>74</v>
      </c>
      <c r="Z283" s="1" t="s">
        <v>74</v>
      </c>
      <c r="AA283" s="1" t="s">
        <v>2953</v>
      </c>
      <c r="AB283" s="1" t="s">
        <v>1933</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1066</v>
      </c>
      <c r="AP283" s="1" t="s">
        <v>1067</v>
      </c>
      <c r="AQ283" s="1" t="s">
        <v>74</v>
      </c>
      <c r="AR283" s="1" t="s">
        <v>74</v>
      </c>
      <c r="AS283" s="1" t="s">
        <v>74</v>
      </c>
      <c r="AT283" s="1" t="s">
        <v>187</v>
      </c>
      <c r="AU283" s="1">
        <v>2012.0</v>
      </c>
      <c r="AV283" s="1">
        <v>94.0</v>
      </c>
      <c r="AW283" s="1">
        <v>5.0</v>
      </c>
      <c r="AX283" s="1" t="s">
        <v>74</v>
      </c>
      <c r="AY283" s="1" t="s">
        <v>74</v>
      </c>
      <c r="AZ283" s="1" t="s">
        <v>74</v>
      </c>
      <c r="BA283" s="1" t="s">
        <v>74</v>
      </c>
      <c r="BB283" s="1">
        <v>1861.0</v>
      </c>
      <c r="BC283" s="1">
        <v>1870.0</v>
      </c>
      <c r="BD283" s="1" t="s">
        <v>74</v>
      </c>
      <c r="BE283" s="1" t="s">
        <v>2954</v>
      </c>
      <c r="BF283" s="2" t="str">
        <f>HYPERLINK("http://dx.doi.org/10.1016/j.compstruct.2011.11.001","http://dx.doi.org/10.1016/j.compstruct.2011.11.001")</f>
        <v>http://dx.doi.org/10.1016/j.compstruct.2011.11.001</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2955</v>
      </c>
      <c r="BT283" s="1" t="str">
        <f>HYPERLINK("https%3A%2F%2Fwww.webofscience.com%2Fwos%2Fwoscc%2Ffull-record%2FWOS:000302980400037","View Full Record in Web of Science")</f>
        <v>View Full Record in Web of Science</v>
      </c>
    </row>
    <row r="284" ht="12.75" customHeight="1">
      <c r="A284" s="1" t="s">
        <v>72</v>
      </c>
      <c r="B284" s="1" t="s">
        <v>2956</v>
      </c>
      <c r="C284" s="1" t="s">
        <v>74</v>
      </c>
      <c r="D284" s="1" t="s">
        <v>74</v>
      </c>
      <c r="E284" s="1" t="s">
        <v>74</v>
      </c>
      <c r="F284" s="1" t="s">
        <v>2957</v>
      </c>
      <c r="G284" s="1" t="s">
        <v>74</v>
      </c>
      <c r="H284" s="1" t="s">
        <v>74</v>
      </c>
      <c r="I284" s="1" t="s">
        <v>2958</v>
      </c>
      <c r="J284" s="1" t="s">
        <v>2959</v>
      </c>
      <c r="K284" s="1" t="s">
        <v>74</v>
      </c>
      <c r="L284" s="1" t="s">
        <v>74</v>
      </c>
      <c r="M284" s="1" t="s">
        <v>74</v>
      </c>
      <c r="N284" s="1" t="s">
        <v>74</v>
      </c>
      <c r="O284" s="1" t="s">
        <v>74</v>
      </c>
      <c r="P284" s="1" t="s">
        <v>74</v>
      </c>
      <c r="Q284" s="1" t="s">
        <v>74</v>
      </c>
      <c r="R284" s="1" t="s">
        <v>74</v>
      </c>
      <c r="S284" s="1" t="s">
        <v>74</v>
      </c>
      <c r="T284" s="1" t="s">
        <v>74</v>
      </c>
      <c r="U284" s="1" t="s">
        <v>74</v>
      </c>
      <c r="V284" s="1" t="s">
        <v>2960</v>
      </c>
      <c r="W284" s="1" t="s">
        <v>74</v>
      </c>
      <c r="X284" s="1" t="s">
        <v>74</v>
      </c>
      <c r="Y284" s="1" t="s">
        <v>74</v>
      </c>
      <c r="Z284" s="1" t="s">
        <v>74</v>
      </c>
      <c r="AA284" s="1" t="s">
        <v>2961</v>
      </c>
      <c r="AB284" s="1" t="s">
        <v>2962</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2963</v>
      </c>
      <c r="AP284" s="1" t="s">
        <v>2964</v>
      </c>
      <c r="AQ284" s="1" t="s">
        <v>74</v>
      </c>
      <c r="AR284" s="1" t="s">
        <v>74</v>
      </c>
      <c r="AS284" s="1" t="s">
        <v>74</v>
      </c>
      <c r="AT284" s="1" t="s">
        <v>647</v>
      </c>
      <c r="AU284" s="1">
        <v>2011.0</v>
      </c>
      <c r="AV284" s="1">
        <v>62.0</v>
      </c>
      <c r="AW284" s="1">
        <v>3.0</v>
      </c>
      <c r="AX284" s="1" t="s">
        <v>74</v>
      </c>
      <c r="AY284" s="1" t="s">
        <v>74</v>
      </c>
      <c r="AZ284" s="1" t="s">
        <v>297</v>
      </c>
      <c r="BA284" s="1" t="s">
        <v>74</v>
      </c>
      <c r="BB284" s="1">
        <v>1576.0</v>
      </c>
      <c r="BC284" s="1">
        <v>1590.0</v>
      </c>
      <c r="BD284" s="1" t="s">
        <v>74</v>
      </c>
      <c r="BE284" s="1" t="s">
        <v>2965</v>
      </c>
      <c r="BF284" s="2" t="str">
        <f>HYPERLINK("http://dx.doi.org/10.1016/j.camwa.2011.03.027","http://dx.doi.org/10.1016/j.camwa.2011.03.027")</f>
        <v>http://dx.doi.org/10.1016/j.camwa.2011.03.027</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2966</v>
      </c>
      <c r="BT284" s="1" t="str">
        <f>HYPERLINK("https%3A%2F%2Fwww.webofscience.com%2Fwos%2Fwoscc%2Ffull-record%2FWOS:000294083500074","View Full Record in Web of Science")</f>
        <v>View Full Record in Web of Science</v>
      </c>
    </row>
    <row r="285" ht="12.75" customHeight="1">
      <c r="A285" s="1" t="s">
        <v>72</v>
      </c>
      <c r="B285" s="1" t="s">
        <v>2967</v>
      </c>
      <c r="C285" s="1" t="s">
        <v>74</v>
      </c>
      <c r="D285" s="1" t="s">
        <v>74</v>
      </c>
      <c r="E285" s="1" t="s">
        <v>74</v>
      </c>
      <c r="F285" s="1" t="s">
        <v>2968</v>
      </c>
      <c r="G285" s="1" t="s">
        <v>74</v>
      </c>
      <c r="H285" s="1" t="s">
        <v>74</v>
      </c>
      <c r="I285" s="1" t="s">
        <v>2969</v>
      </c>
      <c r="J285" s="1" t="s">
        <v>2970</v>
      </c>
      <c r="K285" s="1" t="s">
        <v>74</v>
      </c>
      <c r="L285" s="1" t="s">
        <v>74</v>
      </c>
      <c r="M285" s="1" t="s">
        <v>74</v>
      </c>
      <c r="N285" s="1" t="s">
        <v>74</v>
      </c>
      <c r="O285" s="1" t="s">
        <v>74</v>
      </c>
      <c r="P285" s="1" t="s">
        <v>74</v>
      </c>
      <c r="Q285" s="1" t="s">
        <v>74</v>
      </c>
      <c r="R285" s="1" t="s">
        <v>74</v>
      </c>
      <c r="S285" s="1" t="s">
        <v>74</v>
      </c>
      <c r="T285" s="1" t="s">
        <v>74</v>
      </c>
      <c r="U285" s="1" t="s">
        <v>74</v>
      </c>
      <c r="V285" s="1" t="s">
        <v>2971</v>
      </c>
      <c r="W285" s="1" t="s">
        <v>74</v>
      </c>
      <c r="X285" s="1" t="s">
        <v>74</v>
      </c>
      <c r="Y285" s="1" t="s">
        <v>74</v>
      </c>
      <c r="Z285" s="1" t="s">
        <v>74</v>
      </c>
      <c r="AA285" s="1" t="s">
        <v>2972</v>
      </c>
      <c r="AB285" s="1" t="s">
        <v>2973</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2974</v>
      </c>
      <c r="AP285" s="1" t="s">
        <v>74</v>
      </c>
      <c r="AQ285" s="1" t="s">
        <v>74</v>
      </c>
      <c r="AR285" s="1" t="s">
        <v>74</v>
      </c>
      <c r="AS285" s="1" t="s">
        <v>74</v>
      </c>
      <c r="AT285" s="1" t="s">
        <v>2975</v>
      </c>
      <c r="AU285" s="1">
        <v>2011.0</v>
      </c>
      <c r="AV285" s="1">
        <v>25.0</v>
      </c>
      <c r="AW285" s="1">
        <v>2.0</v>
      </c>
      <c r="AX285" s="1" t="s">
        <v>74</v>
      </c>
      <c r="AY285" s="1" t="s">
        <v>74</v>
      </c>
      <c r="AZ285" s="1" t="s">
        <v>74</v>
      </c>
      <c r="BA285" s="1" t="s">
        <v>74</v>
      </c>
      <c r="BB285" s="1">
        <v>370.0</v>
      </c>
      <c r="BC285" s="1">
        <v>378.0</v>
      </c>
      <c r="BD285" s="1" t="s">
        <v>74</v>
      </c>
      <c r="BE285" s="1" t="s">
        <v>2976</v>
      </c>
      <c r="BF285" s="2" t="str">
        <f>HYPERLINK("http://dx.doi.org/10.1002/rcm.4868","http://dx.doi.org/10.1002/rcm.4868")</f>
        <v>http://dx.doi.org/10.1002/rcm.4868</v>
      </c>
      <c r="BG285" s="1" t="s">
        <v>74</v>
      </c>
      <c r="BH285" s="1" t="s">
        <v>74</v>
      </c>
      <c r="BI285" s="1" t="s">
        <v>74</v>
      </c>
      <c r="BJ285" s="1" t="s">
        <v>74</v>
      </c>
      <c r="BK285" s="1" t="s">
        <v>74</v>
      </c>
      <c r="BL285" s="1" t="s">
        <v>74</v>
      </c>
      <c r="BM285" s="1" t="s">
        <v>74</v>
      </c>
      <c r="BN285" s="1">
        <v>2.1192032E7</v>
      </c>
      <c r="BO285" s="1" t="s">
        <v>74</v>
      </c>
      <c r="BP285" s="1" t="s">
        <v>74</v>
      </c>
      <c r="BQ285" s="1" t="s">
        <v>74</v>
      </c>
      <c r="BR285" s="1" t="s">
        <v>74</v>
      </c>
      <c r="BS285" s="1" t="s">
        <v>2977</v>
      </c>
      <c r="BT285" s="1" t="str">
        <f>HYPERLINK("https%3A%2F%2Fwww.webofscience.com%2Fwos%2Fwoscc%2Ffull-record%2FWOS:000285848800013","View Full Record in Web of Science")</f>
        <v>View Full Record in Web of Science</v>
      </c>
    </row>
    <row r="286" ht="12.75" customHeight="1">
      <c r="A286" s="1" t="s">
        <v>72</v>
      </c>
      <c r="B286" s="1" t="s">
        <v>2978</v>
      </c>
      <c r="C286" s="1" t="s">
        <v>74</v>
      </c>
      <c r="D286" s="1" t="s">
        <v>74</v>
      </c>
      <c r="E286" s="1" t="s">
        <v>74</v>
      </c>
      <c r="F286" s="1" t="s">
        <v>2979</v>
      </c>
      <c r="G286" s="1" t="s">
        <v>74</v>
      </c>
      <c r="H286" s="1" t="s">
        <v>74</v>
      </c>
      <c r="I286" s="1" t="s">
        <v>2980</v>
      </c>
      <c r="J286" s="1" t="s">
        <v>1557</v>
      </c>
      <c r="K286" s="1" t="s">
        <v>74</v>
      </c>
      <c r="L286" s="1" t="s">
        <v>74</v>
      </c>
      <c r="M286" s="1" t="s">
        <v>74</v>
      </c>
      <c r="N286" s="1" t="s">
        <v>74</v>
      </c>
      <c r="O286" s="1" t="s">
        <v>74</v>
      </c>
      <c r="P286" s="1" t="s">
        <v>74</v>
      </c>
      <c r="Q286" s="1" t="s">
        <v>74</v>
      </c>
      <c r="R286" s="1" t="s">
        <v>74</v>
      </c>
      <c r="S286" s="1" t="s">
        <v>74</v>
      </c>
      <c r="T286" s="1" t="s">
        <v>74</v>
      </c>
      <c r="U286" s="1" t="s">
        <v>74</v>
      </c>
      <c r="V286" s="1" t="s">
        <v>2981</v>
      </c>
      <c r="W286" s="1" t="s">
        <v>74</v>
      </c>
      <c r="X286" s="1" t="s">
        <v>74</v>
      </c>
      <c r="Y286" s="1" t="s">
        <v>74</v>
      </c>
      <c r="Z286" s="1" t="s">
        <v>74</v>
      </c>
      <c r="AA286" s="1" t="s">
        <v>2982</v>
      </c>
      <c r="AB286" s="1" t="s">
        <v>2983</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1561</v>
      </c>
      <c r="AP286" s="1" t="s">
        <v>74</v>
      </c>
      <c r="AQ286" s="1" t="s">
        <v>74</v>
      </c>
      <c r="AR286" s="1" t="s">
        <v>74</v>
      </c>
      <c r="AS286" s="1" t="s">
        <v>74</v>
      </c>
      <c r="AT286" s="1" t="s">
        <v>596</v>
      </c>
      <c r="AU286" s="1">
        <v>2010.0</v>
      </c>
      <c r="AV286" s="1">
        <v>312.0</v>
      </c>
      <c r="AW286" s="1">
        <v>2.0</v>
      </c>
      <c r="AX286" s="1" t="s">
        <v>74</v>
      </c>
      <c r="AY286" s="1" t="s">
        <v>74</v>
      </c>
      <c r="AZ286" s="1" t="s">
        <v>74</v>
      </c>
      <c r="BA286" s="1" t="s">
        <v>74</v>
      </c>
      <c r="BB286" s="1">
        <v>119.0</v>
      </c>
      <c r="BC286" s="1">
        <v>125.0</v>
      </c>
      <c r="BD286" s="1" t="s">
        <v>74</v>
      </c>
      <c r="BE286" s="1" t="s">
        <v>2984</v>
      </c>
      <c r="BF286" s="2" t="str">
        <f>HYPERLINK("http://dx.doi.org/10.1111/j.1574-6968.2010.02106.x","http://dx.doi.org/10.1111/j.1574-6968.2010.02106.x")</f>
        <v>http://dx.doi.org/10.1111/j.1574-6968.2010.02106.x</v>
      </c>
      <c r="BG286" s="1" t="s">
        <v>74</v>
      </c>
      <c r="BH286" s="1" t="s">
        <v>74</v>
      </c>
      <c r="BI286" s="1" t="s">
        <v>74</v>
      </c>
      <c r="BJ286" s="1" t="s">
        <v>74</v>
      </c>
      <c r="BK286" s="1" t="s">
        <v>74</v>
      </c>
      <c r="BL286" s="1" t="s">
        <v>74</v>
      </c>
      <c r="BM286" s="1" t="s">
        <v>74</v>
      </c>
      <c r="BN286" s="1">
        <v>2.0979348E7</v>
      </c>
      <c r="BO286" s="1" t="s">
        <v>74</v>
      </c>
      <c r="BP286" s="1" t="s">
        <v>74</v>
      </c>
      <c r="BQ286" s="1" t="s">
        <v>74</v>
      </c>
      <c r="BR286" s="1" t="s">
        <v>74</v>
      </c>
      <c r="BS286" s="1" t="s">
        <v>2985</v>
      </c>
      <c r="BT286" s="1" t="str">
        <f>HYPERLINK("https%3A%2F%2Fwww.webofscience.com%2Fwos%2Fwoscc%2Ffull-record%2FWOS:000283158700003","View Full Record in Web of Science")</f>
        <v>View Full Record in Web of Science</v>
      </c>
    </row>
    <row r="287" ht="12.75" customHeight="1">
      <c r="A287" s="1" t="s">
        <v>72</v>
      </c>
      <c r="B287" s="1" t="s">
        <v>2986</v>
      </c>
      <c r="C287" s="1" t="s">
        <v>74</v>
      </c>
      <c r="D287" s="1" t="s">
        <v>74</v>
      </c>
      <c r="E287" s="1" t="s">
        <v>74</v>
      </c>
      <c r="F287" s="1" t="s">
        <v>2987</v>
      </c>
      <c r="G287" s="1" t="s">
        <v>74</v>
      </c>
      <c r="H287" s="1" t="s">
        <v>74</v>
      </c>
      <c r="I287" s="1" t="s">
        <v>2988</v>
      </c>
      <c r="J287" s="1" t="s">
        <v>326</v>
      </c>
      <c r="K287" s="1" t="s">
        <v>74</v>
      </c>
      <c r="L287" s="1" t="s">
        <v>74</v>
      </c>
      <c r="M287" s="1" t="s">
        <v>74</v>
      </c>
      <c r="N287" s="1" t="s">
        <v>74</v>
      </c>
      <c r="O287" s="1" t="s">
        <v>74</v>
      </c>
      <c r="P287" s="1" t="s">
        <v>74</v>
      </c>
      <c r="Q287" s="1" t="s">
        <v>74</v>
      </c>
      <c r="R287" s="1" t="s">
        <v>74</v>
      </c>
      <c r="S287" s="1" t="s">
        <v>74</v>
      </c>
      <c r="T287" s="1" t="s">
        <v>74</v>
      </c>
      <c r="U287" s="1" t="s">
        <v>74</v>
      </c>
      <c r="V287" s="1" t="s">
        <v>2989</v>
      </c>
      <c r="W287" s="1" t="s">
        <v>74</v>
      </c>
      <c r="X287" s="1" t="s">
        <v>74</v>
      </c>
      <c r="Y287" s="1" t="s">
        <v>74</v>
      </c>
      <c r="Z287" s="1" t="s">
        <v>74</v>
      </c>
      <c r="AA287" s="1" t="s">
        <v>2990</v>
      </c>
      <c r="AB287" s="1" t="s">
        <v>2991</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330</v>
      </c>
      <c r="AP287" s="1" t="s">
        <v>331</v>
      </c>
      <c r="AQ287" s="1" t="s">
        <v>74</v>
      </c>
      <c r="AR287" s="1" t="s">
        <v>74</v>
      </c>
      <c r="AS287" s="1" t="s">
        <v>74</v>
      </c>
      <c r="AT287" s="1" t="s">
        <v>1467</v>
      </c>
      <c r="AU287" s="1">
        <v>2009.0</v>
      </c>
      <c r="AV287" s="1">
        <v>54.0</v>
      </c>
      <c r="AW287" s="1">
        <v>26.0</v>
      </c>
      <c r="AX287" s="1" t="s">
        <v>74</v>
      </c>
      <c r="AY287" s="1" t="s">
        <v>74</v>
      </c>
      <c r="AZ287" s="1" t="s">
        <v>74</v>
      </c>
      <c r="BA287" s="1" t="s">
        <v>74</v>
      </c>
      <c r="BB287" s="1">
        <v>6417.0</v>
      </c>
      <c r="BC287" s="1">
        <v>6425.0</v>
      </c>
      <c r="BD287" s="1" t="s">
        <v>74</v>
      </c>
      <c r="BE287" s="1" t="s">
        <v>2992</v>
      </c>
      <c r="BF287" s="2" t="str">
        <f>HYPERLINK("http://dx.doi.org/10.1016/j.electacta.2009.06.017","http://dx.doi.org/10.1016/j.electacta.2009.06.017")</f>
        <v>http://dx.doi.org/10.1016/j.electacta.2009.06.017</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2993</v>
      </c>
      <c r="BT287" s="1" t="str">
        <f>HYPERLINK("https%3A%2F%2Fwww.webofscience.com%2Fwos%2Fwoscc%2Ffull-record%2FWOS:000270646600042","View Full Record in Web of Science")</f>
        <v>View Full Record in Web of Science</v>
      </c>
    </row>
    <row r="288" ht="12.75" customHeight="1">
      <c r="A288" s="1" t="s">
        <v>72</v>
      </c>
      <c r="B288" s="1" t="s">
        <v>2994</v>
      </c>
      <c r="C288" s="1" t="s">
        <v>74</v>
      </c>
      <c r="D288" s="1" t="s">
        <v>74</v>
      </c>
      <c r="E288" s="1" t="s">
        <v>74</v>
      </c>
      <c r="F288" s="1" t="s">
        <v>2995</v>
      </c>
      <c r="G288" s="1" t="s">
        <v>74</v>
      </c>
      <c r="H288" s="1" t="s">
        <v>74</v>
      </c>
      <c r="I288" s="1" t="s">
        <v>2996</v>
      </c>
      <c r="J288" s="1" t="s">
        <v>1527</v>
      </c>
      <c r="K288" s="1" t="s">
        <v>74</v>
      </c>
      <c r="L288" s="1" t="s">
        <v>74</v>
      </c>
      <c r="M288" s="1" t="s">
        <v>74</v>
      </c>
      <c r="N288" s="1" t="s">
        <v>74</v>
      </c>
      <c r="O288" s="1" t="s">
        <v>74</v>
      </c>
      <c r="P288" s="1" t="s">
        <v>74</v>
      </c>
      <c r="Q288" s="1" t="s">
        <v>74</v>
      </c>
      <c r="R288" s="1" t="s">
        <v>74</v>
      </c>
      <c r="S288" s="1" t="s">
        <v>74</v>
      </c>
      <c r="T288" s="1" t="s">
        <v>74</v>
      </c>
      <c r="U288" s="1" t="s">
        <v>74</v>
      </c>
      <c r="V288" s="1" t="s">
        <v>2997</v>
      </c>
      <c r="W288" s="1" t="s">
        <v>74</v>
      </c>
      <c r="X288" s="1" t="s">
        <v>74</v>
      </c>
      <c r="Y288" s="1" t="s">
        <v>74</v>
      </c>
      <c r="Z288" s="1" t="s">
        <v>74</v>
      </c>
      <c r="AA288" s="1" t="s">
        <v>2998</v>
      </c>
      <c r="AB288" s="1" t="s">
        <v>2999</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1530</v>
      </c>
      <c r="AP288" s="1" t="s">
        <v>1531</v>
      </c>
      <c r="AQ288" s="1" t="s">
        <v>74</v>
      </c>
      <c r="AR288" s="1" t="s">
        <v>74</v>
      </c>
      <c r="AS288" s="1" t="s">
        <v>74</v>
      </c>
      <c r="AT288" s="1" t="s">
        <v>2285</v>
      </c>
      <c r="AU288" s="1">
        <v>2009.0</v>
      </c>
      <c r="AV288" s="1">
        <v>70.0</v>
      </c>
      <c r="AW288" s="1">
        <v>7.0</v>
      </c>
      <c r="AX288" s="1" t="s">
        <v>74</v>
      </c>
      <c r="AY288" s="1" t="s">
        <v>74</v>
      </c>
      <c r="AZ288" s="1" t="s">
        <v>74</v>
      </c>
      <c r="BA288" s="1" t="s">
        <v>74</v>
      </c>
      <c r="BB288" s="1">
        <v>2736.0</v>
      </c>
      <c r="BC288" s="1">
        <v>2751.0</v>
      </c>
      <c r="BD288" s="1" t="s">
        <v>74</v>
      </c>
      <c r="BE288" s="1" t="s">
        <v>3000</v>
      </c>
      <c r="BF288" s="2" t="str">
        <f>HYPERLINK("http://dx.doi.org/10.1016/j.na.2008.03.062","http://dx.doi.org/10.1016/j.na.2008.03.062")</f>
        <v>http://dx.doi.org/10.1016/j.na.2008.03.062</v>
      </c>
      <c r="BG288" s="1" t="s">
        <v>74</v>
      </c>
      <c r="BH288" s="1" t="s">
        <v>74</v>
      </c>
      <c r="BI288" s="1" t="s">
        <v>74</v>
      </c>
      <c r="BJ288" s="1" t="s">
        <v>74</v>
      </c>
      <c r="BK288" s="1" t="s">
        <v>74</v>
      </c>
      <c r="BL288" s="1" t="s">
        <v>74</v>
      </c>
      <c r="BM288" s="1" t="s">
        <v>74</v>
      </c>
      <c r="BN288" s="1" t="s">
        <v>74</v>
      </c>
      <c r="BO288" s="1" t="s">
        <v>74</v>
      </c>
      <c r="BP288" s="1" t="s">
        <v>74</v>
      </c>
      <c r="BQ288" s="1" t="s">
        <v>74</v>
      </c>
      <c r="BR288" s="1" t="s">
        <v>74</v>
      </c>
      <c r="BS288" s="1" t="s">
        <v>3001</v>
      </c>
      <c r="BT288" s="1" t="str">
        <f>HYPERLINK("https%3A%2F%2Fwww.webofscience.com%2Fwos%2Fwoscc%2Ffull-record%2FWOS:000264253700028","View Full Record in Web of Science")</f>
        <v>View Full Record in Web of Science</v>
      </c>
    </row>
    <row r="289" ht="12.75" customHeight="1">
      <c r="A289" s="1" t="s">
        <v>72</v>
      </c>
      <c r="B289" s="1" t="s">
        <v>3002</v>
      </c>
      <c r="C289" s="1" t="s">
        <v>74</v>
      </c>
      <c r="D289" s="1" t="s">
        <v>74</v>
      </c>
      <c r="E289" s="1" t="s">
        <v>74</v>
      </c>
      <c r="F289" s="1" t="s">
        <v>3003</v>
      </c>
      <c r="G289" s="1" t="s">
        <v>74</v>
      </c>
      <c r="H289" s="1" t="s">
        <v>74</v>
      </c>
      <c r="I289" s="1" t="s">
        <v>3004</v>
      </c>
      <c r="J289" s="1" t="s">
        <v>3005</v>
      </c>
      <c r="K289" s="1" t="s">
        <v>74</v>
      </c>
      <c r="L289" s="1" t="s">
        <v>74</v>
      </c>
      <c r="M289" s="1" t="s">
        <v>74</v>
      </c>
      <c r="N289" s="1" t="s">
        <v>74</v>
      </c>
      <c r="O289" s="1" t="s">
        <v>74</v>
      </c>
      <c r="P289" s="1" t="s">
        <v>74</v>
      </c>
      <c r="Q289" s="1" t="s">
        <v>74</v>
      </c>
      <c r="R289" s="1" t="s">
        <v>74</v>
      </c>
      <c r="S289" s="1" t="s">
        <v>74</v>
      </c>
      <c r="T289" s="1" t="s">
        <v>74</v>
      </c>
      <c r="U289" s="1" t="s">
        <v>74</v>
      </c>
      <c r="V289" s="1" t="s">
        <v>3006</v>
      </c>
      <c r="W289" s="1" t="s">
        <v>74</v>
      </c>
      <c r="X289" s="1" t="s">
        <v>74</v>
      </c>
      <c r="Y289" s="1" t="s">
        <v>74</v>
      </c>
      <c r="Z289" s="1" t="s">
        <v>74</v>
      </c>
      <c r="AA289" s="1" t="s">
        <v>3007</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3008</v>
      </c>
      <c r="AP289" s="1" t="s">
        <v>3009</v>
      </c>
      <c r="AQ289" s="1" t="s">
        <v>74</v>
      </c>
      <c r="AR289" s="1" t="s">
        <v>74</v>
      </c>
      <c r="AS289" s="1" t="s">
        <v>74</v>
      </c>
      <c r="AT289" s="1" t="s">
        <v>3010</v>
      </c>
      <c r="AU289" s="1">
        <v>2008.0</v>
      </c>
      <c r="AV289" s="1">
        <v>375.0</v>
      </c>
      <c r="AW289" s="1">
        <v>1.0</v>
      </c>
      <c r="AX289" s="1" t="s">
        <v>74</v>
      </c>
      <c r="AY289" s="1" t="s">
        <v>74</v>
      </c>
      <c r="AZ289" s="1" t="s">
        <v>74</v>
      </c>
      <c r="BA289" s="1" t="s">
        <v>74</v>
      </c>
      <c r="BB289" s="1">
        <v>91.0</v>
      </c>
      <c r="BC289" s="1">
        <v>94.0</v>
      </c>
      <c r="BD289" s="1" t="s">
        <v>74</v>
      </c>
      <c r="BE289" s="1" t="s">
        <v>3011</v>
      </c>
      <c r="BF289" s="2" t="str">
        <f>HYPERLINK("http://dx.doi.org/10.1016/j.bbrc.2008.07.119","http://dx.doi.org/10.1016/j.bbrc.2008.07.119")</f>
        <v>http://dx.doi.org/10.1016/j.bbrc.2008.07.119</v>
      </c>
      <c r="BG289" s="1" t="s">
        <v>74</v>
      </c>
      <c r="BH289" s="1" t="s">
        <v>74</v>
      </c>
      <c r="BI289" s="1" t="s">
        <v>74</v>
      </c>
      <c r="BJ289" s="1" t="s">
        <v>74</v>
      </c>
      <c r="BK289" s="1" t="s">
        <v>74</v>
      </c>
      <c r="BL289" s="1" t="s">
        <v>74</v>
      </c>
      <c r="BM289" s="1" t="s">
        <v>74</v>
      </c>
      <c r="BN289" s="1">
        <v>1.8675788E7</v>
      </c>
      <c r="BO289" s="1" t="s">
        <v>74</v>
      </c>
      <c r="BP289" s="1" t="s">
        <v>74</v>
      </c>
      <c r="BQ289" s="1" t="s">
        <v>74</v>
      </c>
      <c r="BR289" s="1" t="s">
        <v>74</v>
      </c>
      <c r="BS289" s="1" t="s">
        <v>3012</v>
      </c>
      <c r="BT289" s="1" t="str">
        <f>HYPERLINK("https%3A%2F%2Fwww.webofscience.com%2Fwos%2Fwoscc%2Ffull-record%2FWOS:000259253800018","View Full Record in Web of Science")</f>
        <v>View Full Record in Web of Science</v>
      </c>
    </row>
    <row r="290" ht="12.75" customHeight="1">
      <c r="A290" s="1" t="s">
        <v>72</v>
      </c>
      <c r="B290" s="1" t="s">
        <v>3013</v>
      </c>
      <c r="C290" s="1" t="s">
        <v>74</v>
      </c>
      <c r="D290" s="1" t="s">
        <v>74</v>
      </c>
      <c r="E290" s="1" t="s">
        <v>74</v>
      </c>
      <c r="F290" s="1" t="s">
        <v>3014</v>
      </c>
      <c r="G290" s="1" t="s">
        <v>74</v>
      </c>
      <c r="H290" s="1" t="s">
        <v>74</v>
      </c>
      <c r="I290" s="1" t="s">
        <v>3015</v>
      </c>
      <c r="J290" s="1" t="s">
        <v>3016</v>
      </c>
      <c r="K290" s="1" t="s">
        <v>74</v>
      </c>
      <c r="L290" s="1" t="s">
        <v>74</v>
      </c>
      <c r="M290" s="1" t="s">
        <v>74</v>
      </c>
      <c r="N290" s="1" t="s">
        <v>74</v>
      </c>
      <c r="O290" s="1" t="s">
        <v>74</v>
      </c>
      <c r="P290" s="1" t="s">
        <v>74</v>
      </c>
      <c r="Q290" s="1" t="s">
        <v>74</v>
      </c>
      <c r="R290" s="1" t="s">
        <v>74</v>
      </c>
      <c r="S290" s="1" t="s">
        <v>74</v>
      </c>
      <c r="T290" s="1" t="s">
        <v>74</v>
      </c>
      <c r="U290" s="1" t="s">
        <v>74</v>
      </c>
      <c r="V290" s="1" t="s">
        <v>3017</v>
      </c>
      <c r="W290" s="1" t="s">
        <v>74</v>
      </c>
      <c r="X290" s="1" t="s">
        <v>74</v>
      </c>
      <c r="Y290" s="1" t="s">
        <v>74</v>
      </c>
      <c r="Z290" s="1" t="s">
        <v>74</v>
      </c>
      <c r="AA290" s="1" t="s">
        <v>3018</v>
      </c>
      <c r="AB290" s="1" t="s">
        <v>74</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3019</v>
      </c>
      <c r="AP290" s="1" t="s">
        <v>74</v>
      </c>
      <c r="AQ290" s="1" t="s">
        <v>74</v>
      </c>
      <c r="AR290" s="1" t="s">
        <v>74</v>
      </c>
      <c r="AS290" s="1" t="s">
        <v>74</v>
      </c>
      <c r="AT290" s="1" t="s">
        <v>3020</v>
      </c>
      <c r="AU290" s="1">
        <v>2007.0</v>
      </c>
      <c r="AV290" s="1">
        <v>464.0</v>
      </c>
      <c r="AW290" s="1" t="s">
        <v>428</v>
      </c>
      <c r="AX290" s="1" t="s">
        <v>74</v>
      </c>
      <c r="AY290" s="1" t="s">
        <v>74</v>
      </c>
      <c r="AZ290" s="1" t="s">
        <v>74</v>
      </c>
      <c r="BA290" s="1" t="s">
        <v>74</v>
      </c>
      <c r="BB290" s="1">
        <v>288.0</v>
      </c>
      <c r="BC290" s="1">
        <v>294.0</v>
      </c>
      <c r="BD290" s="1" t="s">
        <v>74</v>
      </c>
      <c r="BE290" s="1" t="s">
        <v>3021</v>
      </c>
      <c r="BF290" s="2" t="str">
        <f>HYPERLINK("http://dx.doi.org/10.1016/j.msea.2007.02.017","http://dx.doi.org/10.1016/j.msea.2007.02.017")</f>
        <v>http://dx.doi.org/10.1016/j.msea.2007.02.017</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3022</v>
      </c>
      <c r="BT290" s="1" t="str">
        <f>HYPERLINK("https%3A%2F%2Fwww.webofscience.com%2Fwos%2Fwoscc%2Ffull-record%2FWOS:000247323100040","View Full Record in Web of Science")</f>
        <v>View Full Record in Web of Science</v>
      </c>
    </row>
    <row r="291" ht="12.75" customHeight="1">
      <c r="A291" s="1" t="s">
        <v>72</v>
      </c>
      <c r="B291" s="1" t="s">
        <v>3023</v>
      </c>
      <c r="C291" s="1" t="s">
        <v>74</v>
      </c>
      <c r="D291" s="1" t="s">
        <v>74</v>
      </c>
      <c r="E291" s="1" t="s">
        <v>74</v>
      </c>
      <c r="F291" s="1" t="s">
        <v>3024</v>
      </c>
      <c r="G291" s="1" t="s">
        <v>74</v>
      </c>
      <c r="H291" s="1" t="s">
        <v>74</v>
      </c>
      <c r="I291" s="1" t="s">
        <v>3025</v>
      </c>
      <c r="J291" s="1" t="s">
        <v>3026</v>
      </c>
      <c r="K291" s="1" t="s">
        <v>74</v>
      </c>
      <c r="L291" s="1" t="s">
        <v>74</v>
      </c>
      <c r="M291" s="1" t="s">
        <v>74</v>
      </c>
      <c r="N291" s="1" t="s">
        <v>74</v>
      </c>
      <c r="O291" s="1" t="s">
        <v>74</v>
      </c>
      <c r="P291" s="1" t="s">
        <v>74</v>
      </c>
      <c r="Q291" s="1" t="s">
        <v>74</v>
      </c>
      <c r="R291" s="1" t="s">
        <v>74</v>
      </c>
      <c r="S291" s="1" t="s">
        <v>74</v>
      </c>
      <c r="T291" s="1" t="s">
        <v>74</v>
      </c>
      <c r="U291" s="1" t="s">
        <v>74</v>
      </c>
      <c r="V291" s="1" t="s">
        <v>3027</v>
      </c>
      <c r="W291" s="1" t="s">
        <v>74</v>
      </c>
      <c r="X291" s="1" t="s">
        <v>74</v>
      </c>
      <c r="Y291" s="1" t="s">
        <v>74</v>
      </c>
      <c r="Z291" s="1" t="s">
        <v>74</v>
      </c>
      <c r="AA291" s="1" t="s">
        <v>3028</v>
      </c>
      <c r="AB291" s="1" t="s">
        <v>3029</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3030</v>
      </c>
      <c r="AP291" s="1" t="s">
        <v>74</v>
      </c>
      <c r="AQ291" s="1" t="s">
        <v>74</v>
      </c>
      <c r="AR291" s="1" t="s">
        <v>74</v>
      </c>
      <c r="AS291" s="1" t="s">
        <v>74</v>
      </c>
      <c r="AT291" s="1" t="s">
        <v>554</v>
      </c>
      <c r="AU291" s="1">
        <v>2007.0</v>
      </c>
      <c r="AV291" s="1">
        <v>41.0</v>
      </c>
      <c r="AW291" s="1">
        <v>2.0</v>
      </c>
      <c r="AX291" s="1" t="s">
        <v>74</v>
      </c>
      <c r="AY291" s="1" t="s">
        <v>74</v>
      </c>
      <c r="AZ291" s="1" t="s">
        <v>74</v>
      </c>
      <c r="BA291" s="1" t="s">
        <v>74</v>
      </c>
      <c r="BB291" s="1">
        <v>246.0</v>
      </c>
      <c r="BC291" s="1">
        <v>256.0</v>
      </c>
      <c r="BD291" s="1" t="s">
        <v>74</v>
      </c>
      <c r="BE291" s="1" t="s">
        <v>3031</v>
      </c>
      <c r="BF291" s="2" t="str">
        <f>HYPERLINK("http://dx.doi.org/10.1016/j.supflu.2006.10.004","http://dx.doi.org/10.1016/j.supflu.2006.10.004")</f>
        <v>http://dx.doi.org/10.1016/j.supflu.2006.10.004</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3032</v>
      </c>
      <c r="BT291" s="1" t="str">
        <f>HYPERLINK("https%3A%2F%2Fwww.webofscience.com%2Fwos%2Fwoscc%2Ffull-record%2FWOS:000246468600008","View Full Record in Web of Science")</f>
        <v>View Full Record in Web of Science</v>
      </c>
    </row>
    <row r="292" ht="12.75" customHeight="1">
      <c r="A292" s="1" t="s">
        <v>72</v>
      </c>
      <c r="B292" s="1" t="s">
        <v>3033</v>
      </c>
      <c r="C292" s="1" t="s">
        <v>74</v>
      </c>
      <c r="D292" s="1" t="s">
        <v>74</v>
      </c>
      <c r="E292" s="1" t="s">
        <v>74</v>
      </c>
      <c r="F292" s="1" t="s">
        <v>3034</v>
      </c>
      <c r="G292" s="1" t="s">
        <v>74</v>
      </c>
      <c r="H292" s="1" t="s">
        <v>74</v>
      </c>
      <c r="I292" s="1" t="s">
        <v>3035</v>
      </c>
      <c r="J292" s="1" t="s">
        <v>1376</v>
      </c>
      <c r="K292" s="1" t="s">
        <v>74</v>
      </c>
      <c r="L292" s="1" t="s">
        <v>74</v>
      </c>
      <c r="M292" s="1" t="s">
        <v>74</v>
      </c>
      <c r="N292" s="1" t="s">
        <v>74</v>
      </c>
      <c r="O292" s="1" t="s">
        <v>74</v>
      </c>
      <c r="P292" s="1" t="s">
        <v>74</v>
      </c>
      <c r="Q292" s="1" t="s">
        <v>74</v>
      </c>
      <c r="R292" s="1" t="s">
        <v>74</v>
      </c>
      <c r="S292" s="1" t="s">
        <v>74</v>
      </c>
      <c r="T292" s="1" t="s">
        <v>74</v>
      </c>
      <c r="U292" s="1" t="s">
        <v>74</v>
      </c>
      <c r="V292" s="1" t="s">
        <v>3036</v>
      </c>
      <c r="W292" s="1" t="s">
        <v>74</v>
      </c>
      <c r="X292" s="1" t="s">
        <v>74</v>
      </c>
      <c r="Y292" s="1" t="s">
        <v>74</v>
      </c>
      <c r="Z292" s="1" t="s">
        <v>74</v>
      </c>
      <c r="AA292" s="1" t="s">
        <v>3037</v>
      </c>
      <c r="AB292" s="1" t="s">
        <v>3038</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1380</v>
      </c>
      <c r="AP292" s="1" t="s">
        <v>1381</v>
      </c>
      <c r="AQ292" s="1" t="s">
        <v>74</v>
      </c>
      <c r="AR292" s="1" t="s">
        <v>74</v>
      </c>
      <c r="AS292" s="1" t="s">
        <v>74</v>
      </c>
      <c r="AT292" s="1" t="s">
        <v>3039</v>
      </c>
      <c r="AU292" s="1">
        <v>2007.0</v>
      </c>
      <c r="AV292" s="1">
        <v>111.0</v>
      </c>
      <c r="AW292" s="1">
        <v>14.0</v>
      </c>
      <c r="AX292" s="1" t="s">
        <v>74</v>
      </c>
      <c r="AY292" s="1" t="s">
        <v>74</v>
      </c>
      <c r="AZ292" s="1" t="s">
        <v>74</v>
      </c>
      <c r="BA292" s="1" t="s">
        <v>74</v>
      </c>
      <c r="BB292" s="1">
        <v>2706.0</v>
      </c>
      <c r="BC292" s="1">
        <v>2714.0</v>
      </c>
      <c r="BD292" s="1" t="s">
        <v>74</v>
      </c>
      <c r="BE292" s="1" t="s">
        <v>3040</v>
      </c>
      <c r="BF292" s="2" t="str">
        <f>HYPERLINK("http://dx.doi.org/10.1021/jp0653961","http://dx.doi.org/10.1021/jp0653961")</f>
        <v>http://dx.doi.org/10.1021/jp0653961</v>
      </c>
      <c r="BG292" s="1" t="s">
        <v>74</v>
      </c>
      <c r="BH292" s="1" t="s">
        <v>74</v>
      </c>
      <c r="BI292" s="1" t="s">
        <v>74</v>
      </c>
      <c r="BJ292" s="1" t="s">
        <v>74</v>
      </c>
      <c r="BK292" s="1" t="s">
        <v>74</v>
      </c>
      <c r="BL292" s="1" t="s">
        <v>74</v>
      </c>
      <c r="BM292" s="1" t="s">
        <v>74</v>
      </c>
      <c r="BN292" s="1">
        <v>1.738837E7</v>
      </c>
      <c r="BO292" s="1" t="s">
        <v>74</v>
      </c>
      <c r="BP292" s="1" t="s">
        <v>74</v>
      </c>
      <c r="BQ292" s="1" t="s">
        <v>74</v>
      </c>
      <c r="BR292" s="1" t="s">
        <v>74</v>
      </c>
      <c r="BS292" s="1" t="s">
        <v>3041</v>
      </c>
      <c r="BT292" s="1" t="str">
        <f>HYPERLINK("https%3A%2F%2Fwww.webofscience.com%2Fwos%2Fwoscc%2Ffull-record%2FWOS:000245438600008","View Full Record in Web of Science")</f>
        <v>View Full Record in Web of Science</v>
      </c>
    </row>
    <row r="293" ht="12.75" customHeight="1">
      <c r="A293" s="1" t="s">
        <v>72</v>
      </c>
      <c r="B293" s="1" t="s">
        <v>3042</v>
      </c>
      <c r="C293" s="1" t="s">
        <v>74</v>
      </c>
      <c r="D293" s="1" t="s">
        <v>74</v>
      </c>
      <c r="E293" s="1" t="s">
        <v>74</v>
      </c>
      <c r="F293" s="1" t="s">
        <v>3042</v>
      </c>
      <c r="G293" s="1" t="s">
        <v>74</v>
      </c>
      <c r="H293" s="1" t="s">
        <v>74</v>
      </c>
      <c r="I293" s="1" t="s">
        <v>3043</v>
      </c>
      <c r="J293" s="1" t="s">
        <v>400</v>
      </c>
      <c r="K293" s="1" t="s">
        <v>74</v>
      </c>
      <c r="L293" s="1" t="s">
        <v>74</v>
      </c>
      <c r="M293" s="1" t="s">
        <v>74</v>
      </c>
      <c r="N293" s="1" t="s">
        <v>74</v>
      </c>
      <c r="O293" s="1" t="s">
        <v>74</v>
      </c>
      <c r="P293" s="1" t="s">
        <v>74</v>
      </c>
      <c r="Q293" s="1" t="s">
        <v>74</v>
      </c>
      <c r="R293" s="1" t="s">
        <v>74</v>
      </c>
      <c r="S293" s="1" t="s">
        <v>74</v>
      </c>
      <c r="T293" s="1" t="s">
        <v>74</v>
      </c>
      <c r="U293" s="1" t="s">
        <v>74</v>
      </c>
      <c r="V293" s="1" t="s">
        <v>3044</v>
      </c>
      <c r="W293" s="1" t="s">
        <v>74</v>
      </c>
      <c r="X293" s="1" t="s">
        <v>74</v>
      </c>
      <c r="Y293" s="1" t="s">
        <v>74</v>
      </c>
      <c r="Z293" s="1" t="s">
        <v>74</v>
      </c>
      <c r="AA293" s="1" t="s">
        <v>3045</v>
      </c>
      <c r="AB293" s="1" t="s">
        <v>3046</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404</v>
      </c>
      <c r="AP293" s="1" t="s">
        <v>405</v>
      </c>
      <c r="AQ293" s="1" t="s">
        <v>74</v>
      </c>
      <c r="AR293" s="1" t="s">
        <v>74</v>
      </c>
      <c r="AS293" s="1" t="s">
        <v>74</v>
      </c>
      <c r="AT293" s="1" t="s">
        <v>406</v>
      </c>
      <c r="AU293" s="1">
        <v>2006.0</v>
      </c>
      <c r="AV293" s="1">
        <v>82.0</v>
      </c>
      <c r="AW293" s="1">
        <v>1.0</v>
      </c>
      <c r="AX293" s="1" t="s">
        <v>74</v>
      </c>
      <c r="AY293" s="1" t="s">
        <v>74</v>
      </c>
      <c r="AZ293" s="1" t="s">
        <v>74</v>
      </c>
      <c r="BA293" s="1" t="s">
        <v>74</v>
      </c>
      <c r="BB293" s="1">
        <v>254.0</v>
      </c>
      <c r="BC293" s="1">
        <v>261.0</v>
      </c>
      <c r="BD293" s="1" t="s">
        <v>74</v>
      </c>
      <c r="BE293" s="1" t="s">
        <v>3047</v>
      </c>
      <c r="BF293" s="2" t="str">
        <f>HYPERLINK("http://dx.doi.org/10.1562/2005-04-11-RA-488","http://dx.doi.org/10.1562/2005-04-11-RA-488")</f>
        <v>http://dx.doi.org/10.1562/2005-04-11-RA-488</v>
      </c>
      <c r="BG293" s="1" t="s">
        <v>74</v>
      </c>
      <c r="BH293" s="1" t="s">
        <v>74</v>
      </c>
      <c r="BI293" s="1" t="s">
        <v>74</v>
      </c>
      <c r="BJ293" s="1" t="s">
        <v>74</v>
      </c>
      <c r="BK293" s="1" t="s">
        <v>74</v>
      </c>
      <c r="BL293" s="1" t="s">
        <v>74</v>
      </c>
      <c r="BM293" s="1" t="s">
        <v>74</v>
      </c>
      <c r="BN293" s="1">
        <v>1.6107187E7</v>
      </c>
      <c r="BO293" s="1" t="s">
        <v>74</v>
      </c>
      <c r="BP293" s="1" t="s">
        <v>74</v>
      </c>
      <c r="BQ293" s="1" t="s">
        <v>74</v>
      </c>
      <c r="BR293" s="1" t="s">
        <v>74</v>
      </c>
      <c r="BS293" s="1" t="s">
        <v>3048</v>
      </c>
      <c r="BT293" s="1" t="str">
        <f>HYPERLINK("https%3A%2F%2Fwww.webofscience.com%2Fwos%2Fwoscc%2Ffull-record%2FWOS:000235752800037","View Full Record in Web of Science")</f>
        <v>View Full Record in Web of Science</v>
      </c>
    </row>
    <row r="294" ht="12.75" customHeight="1">
      <c r="A294" s="1" t="s">
        <v>72</v>
      </c>
      <c r="B294" s="1" t="s">
        <v>3049</v>
      </c>
      <c r="C294" s="1" t="s">
        <v>74</v>
      </c>
      <c r="D294" s="1" t="s">
        <v>74</v>
      </c>
      <c r="E294" s="1" t="s">
        <v>74</v>
      </c>
      <c r="F294" s="1" t="s">
        <v>3049</v>
      </c>
      <c r="G294" s="1" t="s">
        <v>74</v>
      </c>
      <c r="H294" s="1" t="s">
        <v>74</v>
      </c>
      <c r="I294" s="1" t="s">
        <v>3050</v>
      </c>
      <c r="J294" s="1" t="s">
        <v>3051</v>
      </c>
      <c r="K294" s="1" t="s">
        <v>74</v>
      </c>
      <c r="L294" s="1" t="s">
        <v>74</v>
      </c>
      <c r="M294" s="1" t="s">
        <v>74</v>
      </c>
      <c r="N294" s="1" t="s">
        <v>74</v>
      </c>
      <c r="O294" s="1" t="s">
        <v>74</v>
      </c>
      <c r="P294" s="1" t="s">
        <v>74</v>
      </c>
      <c r="Q294" s="1" t="s">
        <v>74</v>
      </c>
      <c r="R294" s="1" t="s">
        <v>74</v>
      </c>
      <c r="S294" s="1" t="s">
        <v>74</v>
      </c>
      <c r="T294" s="1" t="s">
        <v>74</v>
      </c>
      <c r="U294" s="1" t="s">
        <v>74</v>
      </c>
      <c r="V294" s="1" t="s">
        <v>3052</v>
      </c>
      <c r="W294" s="1" t="s">
        <v>74</v>
      </c>
      <c r="X294" s="1" t="s">
        <v>74</v>
      </c>
      <c r="Y294" s="1" t="s">
        <v>74</v>
      </c>
      <c r="Z294" s="1" t="s">
        <v>74</v>
      </c>
      <c r="AA294" s="1" t="s">
        <v>3053</v>
      </c>
      <c r="AB294" s="1" t="s">
        <v>3054</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3055</v>
      </c>
      <c r="AP294" s="1" t="s">
        <v>3056</v>
      </c>
      <c r="AQ294" s="1" t="s">
        <v>74</v>
      </c>
      <c r="AR294" s="1" t="s">
        <v>74</v>
      </c>
      <c r="AS294" s="1" t="s">
        <v>74</v>
      </c>
      <c r="AT294" s="1" t="s">
        <v>496</v>
      </c>
      <c r="AU294" s="1">
        <v>2005.0</v>
      </c>
      <c r="AV294" s="1">
        <v>60.0</v>
      </c>
      <c r="AW294" s="1">
        <v>1.0</v>
      </c>
      <c r="AX294" s="1" t="s">
        <v>74</v>
      </c>
      <c r="AY294" s="1" t="s">
        <v>74</v>
      </c>
      <c r="AZ294" s="1" t="s">
        <v>74</v>
      </c>
      <c r="BA294" s="1" t="s">
        <v>74</v>
      </c>
      <c r="BB294" s="1">
        <v>98.0</v>
      </c>
      <c r="BC294" s="1">
        <v>103.0</v>
      </c>
      <c r="BD294" s="1" t="s">
        <v>74</v>
      </c>
      <c r="BE294" s="1" t="s">
        <v>3057</v>
      </c>
      <c r="BF294" s="2" t="str">
        <f>HYPERLINK("http://dx.doi.org/10.1111/j.1398-9995.2005.00682.x","http://dx.doi.org/10.1111/j.1398-9995.2005.00682.x")</f>
        <v>http://dx.doi.org/10.1111/j.1398-9995.2005.00682.x</v>
      </c>
      <c r="BG294" s="1" t="s">
        <v>74</v>
      </c>
      <c r="BH294" s="1" t="s">
        <v>74</v>
      </c>
      <c r="BI294" s="1" t="s">
        <v>74</v>
      </c>
      <c r="BJ294" s="1" t="s">
        <v>74</v>
      </c>
      <c r="BK294" s="1" t="s">
        <v>74</v>
      </c>
      <c r="BL294" s="1" t="s">
        <v>74</v>
      </c>
      <c r="BM294" s="1" t="s">
        <v>74</v>
      </c>
      <c r="BN294" s="1">
        <v>1.5575938E7</v>
      </c>
      <c r="BO294" s="1" t="s">
        <v>74</v>
      </c>
      <c r="BP294" s="1" t="s">
        <v>74</v>
      </c>
      <c r="BQ294" s="1" t="s">
        <v>74</v>
      </c>
      <c r="BR294" s="1" t="s">
        <v>74</v>
      </c>
      <c r="BS294" s="1" t="s">
        <v>3058</v>
      </c>
      <c r="BT294" s="1" t="str">
        <f>HYPERLINK("https%3A%2F%2Fwww.webofscience.com%2Fwos%2Fwoscc%2Ffull-record%2FWOS:000225535900016","View Full Record in Web of Science")</f>
        <v>View Full Record in Web of Science</v>
      </c>
    </row>
    <row r="295" ht="12.75" customHeight="1">
      <c r="A295" s="1" t="s">
        <v>72</v>
      </c>
      <c r="B295" s="1" t="s">
        <v>3059</v>
      </c>
      <c r="C295" s="1" t="s">
        <v>74</v>
      </c>
      <c r="D295" s="1" t="s">
        <v>74</v>
      </c>
      <c r="E295" s="1" t="s">
        <v>74</v>
      </c>
      <c r="F295" s="1" t="s">
        <v>3059</v>
      </c>
      <c r="G295" s="1" t="s">
        <v>74</v>
      </c>
      <c r="H295" s="1" t="s">
        <v>74</v>
      </c>
      <c r="I295" s="1" t="s">
        <v>3060</v>
      </c>
      <c r="J295" s="1" t="s">
        <v>3061</v>
      </c>
      <c r="K295" s="1" t="s">
        <v>74</v>
      </c>
      <c r="L295" s="1" t="s">
        <v>74</v>
      </c>
      <c r="M295" s="1" t="s">
        <v>74</v>
      </c>
      <c r="N295" s="1" t="s">
        <v>74</v>
      </c>
      <c r="O295" s="1" t="s">
        <v>74</v>
      </c>
      <c r="P295" s="1" t="s">
        <v>74</v>
      </c>
      <c r="Q295" s="1" t="s">
        <v>74</v>
      </c>
      <c r="R295" s="1" t="s">
        <v>74</v>
      </c>
      <c r="S295" s="1" t="s">
        <v>74</v>
      </c>
      <c r="T295" s="1" t="s">
        <v>74</v>
      </c>
      <c r="U295" s="1" t="s">
        <v>74</v>
      </c>
      <c r="V295" s="1" t="s">
        <v>3062</v>
      </c>
      <c r="W295" s="1" t="s">
        <v>74</v>
      </c>
      <c r="X295" s="1" t="s">
        <v>74</v>
      </c>
      <c r="Y295" s="1" t="s">
        <v>74</v>
      </c>
      <c r="Z295" s="1" t="s">
        <v>74</v>
      </c>
      <c r="AA295" s="1" t="s">
        <v>3063</v>
      </c>
      <c r="AB295" s="1" t="s">
        <v>3064</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3065</v>
      </c>
      <c r="AP295" s="1" t="s">
        <v>3066</v>
      </c>
      <c r="AQ295" s="1" t="s">
        <v>74</v>
      </c>
      <c r="AR295" s="1" t="s">
        <v>74</v>
      </c>
      <c r="AS295" s="1" t="s">
        <v>74</v>
      </c>
      <c r="AT295" s="1" t="s">
        <v>83</v>
      </c>
      <c r="AU295" s="1">
        <v>2004.0</v>
      </c>
      <c r="AV295" s="1" t="s">
        <v>74</v>
      </c>
      <c r="AW295" s="1">
        <v>3.0</v>
      </c>
      <c r="AX295" s="1" t="s">
        <v>74</v>
      </c>
      <c r="AY295" s="1" t="s">
        <v>74</v>
      </c>
      <c r="AZ295" s="1" t="s">
        <v>74</v>
      </c>
      <c r="BA295" s="1" t="s">
        <v>74</v>
      </c>
      <c r="BB295" s="1">
        <v>196.0</v>
      </c>
      <c r="BC295" s="1">
        <v>197.0</v>
      </c>
      <c r="BD295" s="1" t="s">
        <v>74</v>
      </c>
      <c r="BE295" s="1" t="s">
        <v>74</v>
      </c>
      <c r="BF295" s="1" t="s">
        <v>74</v>
      </c>
      <c r="BG295" s="1" t="s">
        <v>74</v>
      </c>
      <c r="BH295" s="1" t="s">
        <v>74</v>
      </c>
      <c r="BI295" s="1" t="s">
        <v>74</v>
      </c>
      <c r="BJ295" s="1" t="s">
        <v>74</v>
      </c>
      <c r="BK295" s="1" t="s">
        <v>74</v>
      </c>
      <c r="BL295" s="1" t="s">
        <v>74</v>
      </c>
      <c r="BM295" s="1" t="s">
        <v>74</v>
      </c>
      <c r="BN295" s="1" t="s">
        <v>74</v>
      </c>
      <c r="BO295" s="1" t="s">
        <v>74</v>
      </c>
      <c r="BP295" s="1" t="s">
        <v>74</v>
      </c>
      <c r="BQ295" s="1" t="s">
        <v>74</v>
      </c>
      <c r="BR295" s="1" t="s">
        <v>74</v>
      </c>
      <c r="BS295" s="1" t="s">
        <v>3067</v>
      </c>
      <c r="BT295" s="1" t="str">
        <f>HYPERLINK("https%3A%2F%2Fwww.webofscience.com%2Fwos%2Fwoscc%2Ffull-record%2FWOS:000221766800011","View Full Record in Web of Science")</f>
        <v>View Full Record in Web of Science</v>
      </c>
    </row>
    <row r="296" ht="12.75" customHeight="1">
      <c r="A296" s="1" t="s">
        <v>72</v>
      </c>
      <c r="B296" s="1" t="s">
        <v>3068</v>
      </c>
      <c r="C296" s="1" t="s">
        <v>74</v>
      </c>
      <c r="D296" s="1" t="s">
        <v>74</v>
      </c>
      <c r="E296" s="1" t="s">
        <v>74</v>
      </c>
      <c r="F296" s="1" t="s">
        <v>3068</v>
      </c>
      <c r="G296" s="1" t="s">
        <v>74</v>
      </c>
      <c r="H296" s="1" t="s">
        <v>74</v>
      </c>
      <c r="I296" s="1" t="s">
        <v>3069</v>
      </c>
      <c r="J296" s="1" t="s">
        <v>1145</v>
      </c>
      <c r="K296" s="1" t="s">
        <v>74</v>
      </c>
      <c r="L296" s="1" t="s">
        <v>74</v>
      </c>
      <c r="M296" s="1" t="s">
        <v>74</v>
      </c>
      <c r="N296" s="1" t="s">
        <v>74</v>
      </c>
      <c r="O296" s="1" t="s">
        <v>74</v>
      </c>
      <c r="P296" s="1" t="s">
        <v>74</v>
      </c>
      <c r="Q296" s="1" t="s">
        <v>74</v>
      </c>
      <c r="R296" s="1" t="s">
        <v>74</v>
      </c>
      <c r="S296" s="1" t="s">
        <v>74</v>
      </c>
      <c r="T296" s="1" t="s">
        <v>74</v>
      </c>
      <c r="U296" s="1" t="s">
        <v>74</v>
      </c>
      <c r="V296" s="1" t="s">
        <v>3070</v>
      </c>
      <c r="W296" s="1" t="s">
        <v>74</v>
      </c>
      <c r="X296" s="1" t="s">
        <v>74</v>
      </c>
      <c r="Y296" s="1" t="s">
        <v>74</v>
      </c>
      <c r="Z296" s="1" t="s">
        <v>74</v>
      </c>
      <c r="AA296" s="1" t="s">
        <v>74</v>
      </c>
      <c r="AB296" s="1" t="s">
        <v>3071</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3072</v>
      </c>
      <c r="AP296" s="1" t="s">
        <v>74</v>
      </c>
      <c r="AQ296" s="1" t="s">
        <v>74</v>
      </c>
      <c r="AR296" s="1" t="s">
        <v>74</v>
      </c>
      <c r="AS296" s="1" t="s">
        <v>74</v>
      </c>
      <c r="AT296" s="1" t="s">
        <v>554</v>
      </c>
      <c r="AU296" s="1">
        <v>2003.0</v>
      </c>
      <c r="AV296" s="1">
        <v>48.0</v>
      </c>
      <c r="AW296" s="1">
        <v>2.0</v>
      </c>
      <c r="AX296" s="1" t="s">
        <v>74</v>
      </c>
      <c r="AY296" s="1" t="s">
        <v>74</v>
      </c>
      <c r="AZ296" s="1" t="s">
        <v>74</v>
      </c>
      <c r="BA296" s="1" t="s">
        <v>74</v>
      </c>
      <c r="BB296" s="1">
        <v>57.0</v>
      </c>
      <c r="BC296" s="1">
        <v>60.0</v>
      </c>
      <c r="BD296" s="1" t="s">
        <v>74</v>
      </c>
      <c r="BE296" s="1" t="s">
        <v>74</v>
      </c>
      <c r="BF296" s="1" t="s">
        <v>74</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3073</v>
      </c>
      <c r="BT296" s="1" t="str">
        <f>HYPERLINK("https%3A%2F%2Fwww.webofscience.com%2Fwos%2Fwoscc%2Ffull-record%2FWOS:000183467400010","View Full Record in Web of Science")</f>
        <v>View Full Record in Web of Science</v>
      </c>
    </row>
    <row r="297" ht="12.75" customHeight="1">
      <c r="A297" s="1" t="s">
        <v>72</v>
      </c>
      <c r="B297" s="1" t="s">
        <v>3074</v>
      </c>
      <c r="C297" s="1" t="s">
        <v>74</v>
      </c>
      <c r="D297" s="1" t="s">
        <v>74</v>
      </c>
      <c r="E297" s="1" t="s">
        <v>74</v>
      </c>
      <c r="F297" s="1" t="s">
        <v>3074</v>
      </c>
      <c r="G297" s="1" t="s">
        <v>74</v>
      </c>
      <c r="H297" s="1" t="s">
        <v>74</v>
      </c>
      <c r="I297" s="1" t="s">
        <v>3075</v>
      </c>
      <c r="J297" s="1" t="s">
        <v>3076</v>
      </c>
      <c r="K297" s="1" t="s">
        <v>74</v>
      </c>
      <c r="L297" s="1" t="s">
        <v>74</v>
      </c>
      <c r="M297" s="1" t="s">
        <v>74</v>
      </c>
      <c r="N297" s="1" t="s">
        <v>74</v>
      </c>
      <c r="O297" s="1" t="s">
        <v>3077</v>
      </c>
      <c r="P297" s="1" t="s">
        <v>3078</v>
      </c>
      <c r="Q297" s="1" t="s">
        <v>3079</v>
      </c>
      <c r="R297" s="1" t="s">
        <v>74</v>
      </c>
      <c r="S297" s="1" t="s">
        <v>74</v>
      </c>
      <c r="T297" s="1" t="s">
        <v>74</v>
      </c>
      <c r="U297" s="1" t="s">
        <v>74</v>
      </c>
      <c r="V297" s="1" t="s">
        <v>3080</v>
      </c>
      <c r="W297" s="1" t="s">
        <v>74</v>
      </c>
      <c r="X297" s="1" t="s">
        <v>74</v>
      </c>
      <c r="Y297" s="1" t="s">
        <v>74</v>
      </c>
      <c r="Z297" s="1" t="s">
        <v>74</v>
      </c>
      <c r="AA297" s="1" t="s">
        <v>3081</v>
      </c>
      <c r="AB297" s="1" t="s">
        <v>3082</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3083</v>
      </c>
      <c r="AP297" s="1" t="s">
        <v>74</v>
      </c>
      <c r="AQ297" s="1" t="s">
        <v>74</v>
      </c>
      <c r="AR297" s="1" t="s">
        <v>74</v>
      </c>
      <c r="AS297" s="1" t="s">
        <v>74</v>
      </c>
      <c r="AT297" s="1" t="s">
        <v>95</v>
      </c>
      <c r="AU297" s="1">
        <v>2002.0</v>
      </c>
      <c r="AV297" s="1">
        <v>48.0</v>
      </c>
      <c r="AW297" s="1" t="s">
        <v>74</v>
      </c>
      <c r="AX297" s="1" t="s">
        <v>74</v>
      </c>
      <c r="AY297" s="1">
        <v>3.0</v>
      </c>
      <c r="AZ297" s="1" t="s">
        <v>74</v>
      </c>
      <c r="BA297" s="1" t="s">
        <v>74</v>
      </c>
      <c r="BB297" s="1">
        <v>26.0</v>
      </c>
      <c r="BC297" s="1">
        <v>28.0</v>
      </c>
      <c r="BD297" s="1" t="s">
        <v>74</v>
      </c>
      <c r="BE297" s="1" t="s">
        <v>74</v>
      </c>
      <c r="BF297" s="1" t="s">
        <v>74</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3084</v>
      </c>
      <c r="BT297" s="1" t="str">
        <f>HYPERLINK("https%3A%2F%2Fwww.webofscience.com%2Fwos%2Fwoscc%2Ffull-record%2FWOS:000180065500009","View Full Record in Web of Science")</f>
        <v>View Full Record in Web of Science</v>
      </c>
    </row>
    <row r="298" ht="12.75" customHeight="1">
      <c r="A298" s="1" t="s">
        <v>72</v>
      </c>
      <c r="B298" s="1" t="s">
        <v>3085</v>
      </c>
      <c r="C298" s="1" t="s">
        <v>74</v>
      </c>
      <c r="D298" s="1" t="s">
        <v>74</v>
      </c>
      <c r="E298" s="1" t="s">
        <v>74</v>
      </c>
      <c r="F298" s="1" t="s">
        <v>3085</v>
      </c>
      <c r="G298" s="1" t="s">
        <v>74</v>
      </c>
      <c r="H298" s="1" t="s">
        <v>74</v>
      </c>
      <c r="I298" s="1" t="s">
        <v>3086</v>
      </c>
      <c r="J298" s="1" t="s">
        <v>2595</v>
      </c>
      <c r="K298" s="1" t="s">
        <v>74</v>
      </c>
      <c r="L298" s="1" t="s">
        <v>74</v>
      </c>
      <c r="M298" s="1" t="s">
        <v>74</v>
      </c>
      <c r="N298" s="1" t="s">
        <v>74</v>
      </c>
      <c r="O298" s="1" t="s">
        <v>74</v>
      </c>
      <c r="P298" s="1" t="s">
        <v>74</v>
      </c>
      <c r="Q298" s="1" t="s">
        <v>74</v>
      </c>
      <c r="R298" s="1" t="s">
        <v>74</v>
      </c>
      <c r="S298" s="1" t="s">
        <v>74</v>
      </c>
      <c r="T298" s="1" t="s">
        <v>74</v>
      </c>
      <c r="U298" s="1" t="s">
        <v>74</v>
      </c>
      <c r="V298" s="1" t="s">
        <v>74</v>
      </c>
      <c r="W298" s="1" t="s">
        <v>74</v>
      </c>
      <c r="X298" s="1" t="s">
        <v>74</v>
      </c>
      <c r="Y298" s="1" t="s">
        <v>74</v>
      </c>
      <c r="Z298" s="1" t="s">
        <v>74</v>
      </c>
      <c r="AA298" s="1" t="s">
        <v>2596</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2597</v>
      </c>
      <c r="AP298" s="1" t="s">
        <v>74</v>
      </c>
      <c r="AQ298" s="1" t="s">
        <v>74</v>
      </c>
      <c r="AR298" s="1" t="s">
        <v>74</v>
      </c>
      <c r="AS298" s="1" t="s">
        <v>74</v>
      </c>
      <c r="AT298" s="1" t="s">
        <v>95</v>
      </c>
      <c r="AU298" s="1">
        <v>1998.0</v>
      </c>
      <c r="AV298" s="1">
        <v>45.0</v>
      </c>
      <c r="AW298" s="1">
        <v>4.0</v>
      </c>
      <c r="AX298" s="1" t="s">
        <v>74</v>
      </c>
      <c r="AY298" s="1" t="s">
        <v>74</v>
      </c>
      <c r="AZ298" s="1" t="s">
        <v>74</v>
      </c>
      <c r="BA298" s="1" t="s">
        <v>74</v>
      </c>
      <c r="BB298" s="1">
        <v>499.0</v>
      </c>
      <c r="BC298" s="1">
        <v>512.0</v>
      </c>
      <c r="BD298" s="1" t="s">
        <v>74</v>
      </c>
      <c r="BE298" s="1" t="s">
        <v>3087</v>
      </c>
      <c r="BF298" s="2" t="str">
        <f>HYPERLINK("http://dx.doi.org/10.1177/003776898045004001","http://dx.doi.org/10.1177/003776898045004001")</f>
        <v>http://dx.doi.org/10.1177/003776898045004001</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3088</v>
      </c>
      <c r="BT298" s="1" t="str">
        <f>HYPERLINK("https%3A%2F%2Fwww.webofscience.com%2Fwos%2Fwoscc%2Ffull-record%2FWOS:000077857800001","View Full Record in Web of Science")</f>
        <v>View Full Record in Web of Science</v>
      </c>
    </row>
    <row r="299" ht="12.75" customHeight="1">
      <c r="A299" s="1" t="s">
        <v>72</v>
      </c>
      <c r="B299" s="1" t="s">
        <v>3089</v>
      </c>
      <c r="C299" s="1" t="s">
        <v>74</v>
      </c>
      <c r="D299" s="1" t="s">
        <v>74</v>
      </c>
      <c r="E299" s="1" t="s">
        <v>74</v>
      </c>
      <c r="F299" s="1" t="s">
        <v>3089</v>
      </c>
      <c r="G299" s="1" t="s">
        <v>74</v>
      </c>
      <c r="H299" s="1" t="s">
        <v>74</v>
      </c>
      <c r="I299" s="1" t="s">
        <v>3090</v>
      </c>
      <c r="J299" s="1" t="s">
        <v>3091</v>
      </c>
      <c r="K299" s="1" t="s">
        <v>74</v>
      </c>
      <c r="L299" s="1" t="s">
        <v>74</v>
      </c>
      <c r="M299" s="1" t="s">
        <v>74</v>
      </c>
      <c r="N299" s="1" t="s">
        <v>74</v>
      </c>
      <c r="O299" s="1" t="s">
        <v>74</v>
      </c>
      <c r="P299" s="1" t="s">
        <v>74</v>
      </c>
      <c r="Q299" s="1" t="s">
        <v>74</v>
      </c>
      <c r="R299" s="1" t="s">
        <v>74</v>
      </c>
      <c r="S299" s="1" t="s">
        <v>74</v>
      </c>
      <c r="T299" s="1" t="s">
        <v>74</v>
      </c>
      <c r="U299" s="1" t="s">
        <v>74</v>
      </c>
      <c r="V299" s="1" t="s">
        <v>3092</v>
      </c>
      <c r="W299" s="1" t="s">
        <v>74</v>
      </c>
      <c r="X299" s="1" t="s">
        <v>74</v>
      </c>
      <c r="Y299" s="1" t="s">
        <v>74</v>
      </c>
      <c r="Z299" s="1" t="s">
        <v>74</v>
      </c>
      <c r="AA299" s="1" t="s">
        <v>3093</v>
      </c>
      <c r="AB299" s="1" t="s">
        <v>3094</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3095</v>
      </c>
      <c r="AP299" s="1" t="s">
        <v>74</v>
      </c>
      <c r="AQ299" s="1" t="s">
        <v>74</v>
      </c>
      <c r="AR299" s="1" t="s">
        <v>74</v>
      </c>
      <c r="AS299" s="1" t="s">
        <v>74</v>
      </c>
      <c r="AT299" s="1" t="s">
        <v>164</v>
      </c>
      <c r="AU299" s="1">
        <v>1996.0</v>
      </c>
      <c r="AV299" s="1">
        <v>6.0</v>
      </c>
      <c r="AW299" s="1">
        <v>7.0</v>
      </c>
      <c r="AX299" s="1" t="s">
        <v>74</v>
      </c>
      <c r="AY299" s="1" t="s">
        <v>74</v>
      </c>
      <c r="AZ299" s="1" t="s">
        <v>74</v>
      </c>
      <c r="BA299" s="1" t="s">
        <v>74</v>
      </c>
      <c r="BB299" s="1">
        <v>1099.0</v>
      </c>
      <c r="BC299" s="1">
        <v>1110.0</v>
      </c>
      <c r="BD299" s="1" t="s">
        <v>74</v>
      </c>
      <c r="BE299" s="1" t="s">
        <v>3096</v>
      </c>
      <c r="BF299" s="2" t="str">
        <f>HYPERLINK("http://dx.doi.org/10.1051/jp2:1996118","http://dx.doi.org/10.1051/jp2:1996118")</f>
        <v>http://dx.doi.org/10.1051/jp2:1996118</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3097</v>
      </c>
      <c r="BT299" s="1" t="str">
        <f>HYPERLINK("https%3A%2F%2Fwww.webofscience.com%2Fwos%2Fwoscc%2Ffull-record%2FWOS:A1996UV08000011","View Full Record in Web of Science")</f>
        <v>View Full Record in Web of Science</v>
      </c>
    </row>
    <row r="300" ht="12.75" customHeight="1">
      <c r="A300" s="1" t="s">
        <v>72</v>
      </c>
      <c r="B300" s="1" t="s">
        <v>3098</v>
      </c>
      <c r="C300" s="1" t="s">
        <v>74</v>
      </c>
      <c r="D300" s="1" t="s">
        <v>74</v>
      </c>
      <c r="E300" s="1" t="s">
        <v>74</v>
      </c>
      <c r="F300" s="1" t="s">
        <v>3099</v>
      </c>
      <c r="G300" s="1" t="s">
        <v>74</v>
      </c>
      <c r="H300" s="1" t="s">
        <v>74</v>
      </c>
      <c r="I300" s="1" t="s">
        <v>3100</v>
      </c>
      <c r="J300" s="1" t="s">
        <v>3101</v>
      </c>
      <c r="K300" s="1" t="s">
        <v>74</v>
      </c>
      <c r="L300" s="1" t="s">
        <v>74</v>
      </c>
      <c r="M300" s="1" t="s">
        <v>74</v>
      </c>
      <c r="N300" s="1" t="s">
        <v>74</v>
      </c>
      <c r="O300" s="1" t="s">
        <v>74</v>
      </c>
      <c r="P300" s="1" t="s">
        <v>74</v>
      </c>
      <c r="Q300" s="1" t="s">
        <v>74</v>
      </c>
      <c r="R300" s="1" t="s">
        <v>74</v>
      </c>
      <c r="S300" s="1" t="s">
        <v>74</v>
      </c>
      <c r="T300" s="1" t="s">
        <v>74</v>
      </c>
      <c r="U300" s="1" t="s">
        <v>74</v>
      </c>
      <c r="V300" s="1" t="s">
        <v>3102</v>
      </c>
      <c r="W300" s="1" t="s">
        <v>74</v>
      </c>
      <c r="X300" s="1" t="s">
        <v>74</v>
      </c>
      <c r="Y300" s="1" t="s">
        <v>74</v>
      </c>
      <c r="Z300" s="1" t="s">
        <v>74</v>
      </c>
      <c r="AA300" s="1" t="s">
        <v>3103</v>
      </c>
      <c r="AB300" s="1" t="s">
        <v>3104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74</v>
      </c>
      <c r="AP300" s="1" t="s">
        <v>3105</v>
      </c>
      <c r="AQ300" s="1" t="s">
        <v>74</v>
      </c>
      <c r="AR300" s="1" t="s">
        <v>74</v>
      </c>
      <c r="AS300" s="1" t="s">
        <v>74</v>
      </c>
      <c r="AT300" s="1" t="s">
        <v>120</v>
      </c>
      <c r="AU300" s="1">
        <v>2025.0</v>
      </c>
      <c r="AV300" s="1">
        <v>11.0</v>
      </c>
      <c r="AW300" s="1">
        <v>2.0</v>
      </c>
      <c r="AX300" s="1" t="s">
        <v>74</v>
      </c>
      <c r="AY300" s="1" t="s">
        <v>74</v>
      </c>
      <c r="AZ300" s="1" t="s">
        <v>74</v>
      </c>
      <c r="BA300" s="1" t="s">
        <v>74</v>
      </c>
      <c r="BB300" s="1" t="s">
        <v>74</v>
      </c>
      <c r="BC300" s="1" t="s">
        <v>74</v>
      </c>
      <c r="BD300" s="1">
        <v>88.0</v>
      </c>
      <c r="BE300" s="1" t="s">
        <v>3106</v>
      </c>
      <c r="BF300" s="2" t="str">
        <f>HYPERLINK("http://dx.doi.org/10.3390/fermentation11020088","http://dx.doi.org/10.3390/fermentation11020088")</f>
        <v>http://dx.doi.org/10.3390/fermentation11020088</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3107</v>
      </c>
      <c r="BT300" s="1" t="str">
        <f>HYPERLINK("https%3A%2F%2Fwww.webofscience.com%2Fwos%2Fwoscc%2Ffull-record%2FWOS:001431156600001","View Full Record in Web of Science")</f>
        <v>View Full Record in Web of Science</v>
      </c>
    </row>
    <row r="301" ht="12.75" customHeight="1">
      <c r="A301" s="1" t="s">
        <v>72</v>
      </c>
      <c r="B301" s="1" t="s">
        <v>3108</v>
      </c>
      <c r="C301" s="1" t="s">
        <v>74</v>
      </c>
      <c r="D301" s="1" t="s">
        <v>74</v>
      </c>
      <c r="E301" s="1" t="s">
        <v>74</v>
      </c>
      <c r="F301" s="1" t="s">
        <v>3109</v>
      </c>
      <c r="G301" s="1" t="s">
        <v>74</v>
      </c>
      <c r="H301" s="1" t="s">
        <v>74</v>
      </c>
      <c r="I301" s="1" t="s">
        <v>3110</v>
      </c>
      <c r="J301" s="1" t="s">
        <v>3111</v>
      </c>
      <c r="K301" s="1" t="s">
        <v>74</v>
      </c>
      <c r="L301" s="1" t="s">
        <v>74</v>
      </c>
      <c r="M301" s="1" t="s">
        <v>74</v>
      </c>
      <c r="N301" s="1" t="s">
        <v>74</v>
      </c>
      <c r="O301" s="1" t="s">
        <v>74</v>
      </c>
      <c r="P301" s="1" t="s">
        <v>74</v>
      </c>
      <c r="Q301" s="1" t="s">
        <v>74</v>
      </c>
      <c r="R301" s="1" t="s">
        <v>74</v>
      </c>
      <c r="S301" s="1" t="s">
        <v>74</v>
      </c>
      <c r="T301" s="1" t="s">
        <v>74</v>
      </c>
      <c r="U301" s="1" t="s">
        <v>74</v>
      </c>
      <c r="V301" s="1" t="s">
        <v>3112</v>
      </c>
      <c r="W301" s="1" t="s">
        <v>74</v>
      </c>
      <c r="X301" s="1" t="s">
        <v>74</v>
      </c>
      <c r="Y301" s="1" t="s">
        <v>74</v>
      </c>
      <c r="Z301" s="1" t="s">
        <v>74</v>
      </c>
      <c r="AA301" s="1" t="s">
        <v>3113</v>
      </c>
      <c r="AB301" s="1" t="s">
        <v>3114</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74</v>
      </c>
      <c r="AP301" s="1" t="s">
        <v>3115</v>
      </c>
      <c r="AQ301" s="1" t="s">
        <v>74</v>
      </c>
      <c r="AR301" s="1" t="s">
        <v>74</v>
      </c>
      <c r="AS301" s="1" t="s">
        <v>74</v>
      </c>
      <c r="AT301" s="1" t="s">
        <v>120</v>
      </c>
      <c r="AU301" s="1">
        <v>2024.0</v>
      </c>
      <c r="AV301" s="1">
        <v>7.0</v>
      </c>
      <c r="AW301" s="1">
        <v>2.0</v>
      </c>
      <c r="AX301" s="1" t="s">
        <v>74</v>
      </c>
      <c r="AY301" s="1" t="s">
        <v>74</v>
      </c>
      <c r="AZ301" s="1" t="s">
        <v>74</v>
      </c>
      <c r="BA301" s="1" t="s">
        <v>74</v>
      </c>
      <c r="BB301" s="1" t="s">
        <v>74</v>
      </c>
      <c r="BC301" s="1" t="s">
        <v>74</v>
      </c>
      <c r="BD301" s="1" t="s">
        <v>3116</v>
      </c>
      <c r="BE301" s="1" t="s">
        <v>3117</v>
      </c>
      <c r="BF301" s="2" t="str">
        <f>HYPERLINK("http://dx.doi.org/10.1002/hsr2.1890","http://dx.doi.org/10.1002/hsr2.1890")</f>
        <v>http://dx.doi.org/10.1002/hsr2.1890</v>
      </c>
      <c r="BG301" s="1" t="s">
        <v>74</v>
      </c>
      <c r="BH301" s="1" t="s">
        <v>74</v>
      </c>
      <c r="BI301" s="1" t="s">
        <v>74</v>
      </c>
      <c r="BJ301" s="1" t="s">
        <v>74</v>
      </c>
      <c r="BK301" s="1" t="s">
        <v>74</v>
      </c>
      <c r="BL301" s="1" t="s">
        <v>74</v>
      </c>
      <c r="BM301" s="1" t="s">
        <v>74</v>
      </c>
      <c r="BN301" s="1">
        <v>3.8384977E7</v>
      </c>
      <c r="BO301" s="1" t="s">
        <v>74</v>
      </c>
      <c r="BP301" s="1" t="s">
        <v>74</v>
      </c>
      <c r="BQ301" s="1" t="s">
        <v>74</v>
      </c>
      <c r="BR301" s="1" t="s">
        <v>74</v>
      </c>
      <c r="BS301" s="1" t="s">
        <v>3118</v>
      </c>
      <c r="BT301" s="1" t="str">
        <f>HYPERLINK("https%3A%2F%2Fwww.webofscience.com%2Fwos%2Fwoscc%2Ffull-record%2FWOS:001167326800001","View Full Record in Web of Science")</f>
        <v>View Full Record in Web of Science</v>
      </c>
    </row>
    <row r="302" ht="12.75" customHeight="1">
      <c r="A302" s="1" t="s">
        <v>72</v>
      </c>
      <c r="B302" s="1" t="s">
        <v>2142</v>
      </c>
      <c r="C302" s="1" t="s">
        <v>74</v>
      </c>
      <c r="D302" s="1" t="s">
        <v>74</v>
      </c>
      <c r="E302" s="1" t="s">
        <v>74</v>
      </c>
      <c r="F302" s="1" t="s">
        <v>3119</v>
      </c>
      <c r="G302" s="1" t="s">
        <v>74</v>
      </c>
      <c r="H302" s="1" t="s">
        <v>74</v>
      </c>
      <c r="I302" s="1" t="s">
        <v>3120</v>
      </c>
      <c r="J302" s="1" t="s">
        <v>502</v>
      </c>
      <c r="K302" s="1" t="s">
        <v>74</v>
      </c>
      <c r="L302" s="1" t="s">
        <v>74</v>
      </c>
      <c r="M302" s="1" t="s">
        <v>74</v>
      </c>
      <c r="N302" s="1" t="s">
        <v>74</v>
      </c>
      <c r="O302" s="1" t="s">
        <v>74</v>
      </c>
      <c r="P302" s="1" t="s">
        <v>74</v>
      </c>
      <c r="Q302" s="1" t="s">
        <v>74</v>
      </c>
      <c r="R302" s="1" t="s">
        <v>74</v>
      </c>
      <c r="S302" s="1" t="s">
        <v>74</v>
      </c>
      <c r="T302" s="1" t="s">
        <v>74</v>
      </c>
      <c r="U302" s="1" t="s">
        <v>74</v>
      </c>
      <c r="V302" s="1" t="s">
        <v>74</v>
      </c>
      <c r="W302" s="1" t="s">
        <v>74</v>
      </c>
      <c r="X302" s="1" t="s">
        <v>74</v>
      </c>
      <c r="Y302" s="1" t="s">
        <v>74</v>
      </c>
      <c r="Z302" s="1" t="s">
        <v>74</v>
      </c>
      <c r="AA302" s="1" t="s">
        <v>74</v>
      </c>
      <c r="AB302" s="1" t="s">
        <v>74</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503</v>
      </c>
      <c r="AP302" s="1" t="s">
        <v>504</v>
      </c>
      <c r="AQ302" s="1" t="s">
        <v>74</v>
      </c>
      <c r="AR302" s="1" t="s">
        <v>74</v>
      </c>
      <c r="AS302" s="1" t="s">
        <v>74</v>
      </c>
      <c r="AT302" s="1" t="s">
        <v>496</v>
      </c>
      <c r="AU302" s="1">
        <v>2024.0</v>
      </c>
      <c r="AV302" s="1">
        <v>81.0</v>
      </c>
      <c r="AW302" s="1">
        <v>1.0</v>
      </c>
      <c r="AX302" s="1" t="s">
        <v>74</v>
      </c>
      <c r="AY302" s="1" t="s">
        <v>74</v>
      </c>
      <c r="AZ302" s="1" t="s">
        <v>74</v>
      </c>
      <c r="BA302" s="1" t="s">
        <v>74</v>
      </c>
      <c r="BB302" s="1">
        <v>204.0</v>
      </c>
      <c r="BC302" s="1">
        <v>205.0</v>
      </c>
      <c r="BD302" s="1" t="s">
        <v>74</v>
      </c>
      <c r="BE302" s="1" t="s">
        <v>3121</v>
      </c>
      <c r="BF302" s="2" t="str">
        <f>HYPERLINK("http://dx.doi.org/10.1017/tam.2023.117","http://dx.doi.org/10.1017/tam.2023.117")</f>
        <v>http://dx.doi.org/10.1017/tam.2023.117</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3122</v>
      </c>
      <c r="BT302" s="1" t="str">
        <f>HYPERLINK("https%3A%2F%2Fwww.webofscience.com%2Fwos%2Fwoscc%2Ffull-record%2FWOS:001194085300020","View Full Record in Web of Science")</f>
        <v>View Full Record in Web of Science</v>
      </c>
    </row>
    <row r="303" ht="12.75" customHeight="1">
      <c r="A303" s="1" t="s">
        <v>72</v>
      </c>
      <c r="B303" s="1" t="s">
        <v>3123</v>
      </c>
      <c r="C303" s="1" t="s">
        <v>74</v>
      </c>
      <c r="D303" s="1" t="s">
        <v>74</v>
      </c>
      <c r="E303" s="1" t="s">
        <v>74</v>
      </c>
      <c r="F303" s="1" t="s">
        <v>3124</v>
      </c>
      <c r="G303" s="1" t="s">
        <v>74</v>
      </c>
      <c r="H303" s="1" t="s">
        <v>74</v>
      </c>
      <c r="I303" s="1" t="s">
        <v>3125</v>
      </c>
      <c r="J303" s="1" t="s">
        <v>2091</v>
      </c>
      <c r="K303" s="1" t="s">
        <v>74</v>
      </c>
      <c r="L303" s="1" t="s">
        <v>74</v>
      </c>
      <c r="M303" s="1" t="s">
        <v>74</v>
      </c>
      <c r="N303" s="1" t="s">
        <v>74</v>
      </c>
      <c r="O303" s="1" t="s">
        <v>74</v>
      </c>
      <c r="P303" s="1" t="s">
        <v>74</v>
      </c>
      <c r="Q303" s="1" t="s">
        <v>74</v>
      </c>
      <c r="R303" s="1" t="s">
        <v>74</v>
      </c>
      <c r="S303" s="1" t="s">
        <v>74</v>
      </c>
      <c r="T303" s="1" t="s">
        <v>74</v>
      </c>
      <c r="U303" s="1" t="s">
        <v>74</v>
      </c>
      <c r="V303" s="1" t="s">
        <v>3126</v>
      </c>
      <c r="W303" s="1" t="s">
        <v>74</v>
      </c>
      <c r="X303" s="1" t="s">
        <v>74</v>
      </c>
      <c r="Y303" s="1" t="s">
        <v>74</v>
      </c>
      <c r="Z303" s="1" t="s">
        <v>74</v>
      </c>
      <c r="AA303" s="1" t="s">
        <v>3127</v>
      </c>
      <c r="AB303" s="1" t="s">
        <v>3128</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2095</v>
      </c>
      <c r="AP303" s="1" t="s">
        <v>2096</v>
      </c>
      <c r="AQ303" s="1" t="s">
        <v>74</v>
      </c>
      <c r="AR303" s="1" t="s">
        <v>74</v>
      </c>
      <c r="AS303" s="1" t="s">
        <v>74</v>
      </c>
      <c r="AT303" s="1" t="s">
        <v>3129</v>
      </c>
      <c r="AU303" s="1">
        <v>2024.0</v>
      </c>
      <c r="AV303" s="1">
        <v>36.0</v>
      </c>
      <c r="AW303" s="1">
        <v>4.0</v>
      </c>
      <c r="AX303" s="1" t="s">
        <v>74</v>
      </c>
      <c r="AY303" s="1" t="s">
        <v>74</v>
      </c>
      <c r="AZ303" s="1" t="s">
        <v>74</v>
      </c>
      <c r="BA303" s="1" t="s">
        <v>74</v>
      </c>
      <c r="BB303" s="1">
        <v>675.0</v>
      </c>
      <c r="BC303" s="1">
        <v>692.0</v>
      </c>
      <c r="BD303" s="1" t="s">
        <v>74</v>
      </c>
      <c r="BE303" s="1" t="s">
        <v>3130</v>
      </c>
      <c r="BF303" s="2" t="str">
        <f>HYPERLINK("http://dx.doi.org/10.1080/08959420.2023.2284576","http://dx.doi.org/10.1080/08959420.2023.2284576")</f>
        <v>http://dx.doi.org/10.1080/08959420.2023.2284576</v>
      </c>
      <c r="BG303" s="1" t="s">
        <v>74</v>
      </c>
      <c r="BH303" s="1" t="s">
        <v>1259</v>
      </c>
      <c r="BI303" s="1" t="s">
        <v>74</v>
      </c>
      <c r="BJ303" s="1" t="s">
        <v>74</v>
      </c>
      <c r="BK303" s="1" t="s">
        <v>74</v>
      </c>
      <c r="BL303" s="1" t="s">
        <v>74</v>
      </c>
      <c r="BM303" s="1" t="s">
        <v>74</v>
      </c>
      <c r="BN303" s="1">
        <v>3.7991901E7</v>
      </c>
      <c r="BO303" s="1" t="s">
        <v>74</v>
      </c>
      <c r="BP303" s="1" t="s">
        <v>74</v>
      </c>
      <c r="BQ303" s="1" t="s">
        <v>74</v>
      </c>
      <c r="BR303" s="1" t="s">
        <v>74</v>
      </c>
      <c r="BS303" s="1" t="s">
        <v>3131</v>
      </c>
      <c r="BT303" s="1" t="str">
        <f>HYPERLINK("https%3A%2F%2Fwww.webofscience.com%2Fwos%2Fwoscc%2Ffull-record%2FWOS:001119162200001","View Full Record in Web of Science")</f>
        <v>View Full Record in Web of Science</v>
      </c>
    </row>
    <row r="304" ht="12.75" customHeight="1">
      <c r="A304" s="1" t="s">
        <v>72</v>
      </c>
      <c r="B304" s="1" t="s">
        <v>3132</v>
      </c>
      <c r="C304" s="1" t="s">
        <v>74</v>
      </c>
      <c r="D304" s="1" t="s">
        <v>74</v>
      </c>
      <c r="E304" s="1" t="s">
        <v>74</v>
      </c>
      <c r="F304" s="1" t="s">
        <v>3133</v>
      </c>
      <c r="G304" s="1" t="s">
        <v>74</v>
      </c>
      <c r="H304" s="1" t="s">
        <v>74</v>
      </c>
      <c r="I304" s="1" t="s">
        <v>3134</v>
      </c>
      <c r="J304" s="1" t="s">
        <v>3135</v>
      </c>
      <c r="K304" s="1" t="s">
        <v>74</v>
      </c>
      <c r="L304" s="1" t="s">
        <v>74</v>
      </c>
      <c r="M304" s="1" t="s">
        <v>74</v>
      </c>
      <c r="N304" s="1" t="s">
        <v>74</v>
      </c>
      <c r="O304" s="1" t="s">
        <v>74</v>
      </c>
      <c r="P304" s="1" t="s">
        <v>74</v>
      </c>
      <c r="Q304" s="1" t="s">
        <v>74</v>
      </c>
      <c r="R304" s="1" t="s">
        <v>74</v>
      </c>
      <c r="S304" s="1" t="s">
        <v>74</v>
      </c>
      <c r="T304" s="1" t="s">
        <v>74</v>
      </c>
      <c r="U304" s="1" t="s">
        <v>74</v>
      </c>
      <c r="V304" s="1" t="s">
        <v>3136</v>
      </c>
      <c r="W304" s="1" t="s">
        <v>74</v>
      </c>
      <c r="X304" s="1" t="s">
        <v>74</v>
      </c>
      <c r="Y304" s="1" t="s">
        <v>74</v>
      </c>
      <c r="Z304" s="1" t="s">
        <v>74</v>
      </c>
      <c r="AA304" s="1" t="s">
        <v>3137</v>
      </c>
      <c r="AB304" s="1" t="s">
        <v>3138</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74</v>
      </c>
      <c r="AP304" s="1" t="s">
        <v>3139</v>
      </c>
      <c r="AQ304" s="1" t="s">
        <v>74</v>
      </c>
      <c r="AR304" s="1" t="s">
        <v>74</v>
      </c>
      <c r="AS304" s="1" t="s">
        <v>74</v>
      </c>
      <c r="AT304" s="1" t="s">
        <v>461</v>
      </c>
      <c r="AU304" s="1">
        <v>2023.0</v>
      </c>
      <c r="AV304" s="1">
        <v>15.0</v>
      </c>
      <c r="AW304" s="1">
        <v>9.0</v>
      </c>
      <c r="AX304" s="1" t="s">
        <v>74</v>
      </c>
      <c r="AY304" s="1" t="s">
        <v>74</v>
      </c>
      <c r="AZ304" s="1" t="s">
        <v>74</v>
      </c>
      <c r="BA304" s="1" t="s">
        <v>74</v>
      </c>
      <c r="BB304" s="1" t="s">
        <v>74</v>
      </c>
      <c r="BC304" s="1" t="s">
        <v>74</v>
      </c>
      <c r="BD304" s="1">
        <v>2196.0</v>
      </c>
      <c r="BE304" s="1" t="s">
        <v>3140</v>
      </c>
      <c r="BF304" s="2" t="str">
        <f>HYPERLINK("http://dx.doi.org/10.3390/pharmaceutics15092196","http://dx.doi.org/10.3390/pharmaceutics15092196")</f>
        <v>http://dx.doi.org/10.3390/pharmaceutics15092196</v>
      </c>
      <c r="BG304" s="1" t="s">
        <v>74</v>
      </c>
      <c r="BH304" s="1" t="s">
        <v>74</v>
      </c>
      <c r="BI304" s="1" t="s">
        <v>74</v>
      </c>
      <c r="BJ304" s="1" t="s">
        <v>74</v>
      </c>
      <c r="BK304" s="1" t="s">
        <v>74</v>
      </c>
      <c r="BL304" s="1" t="s">
        <v>74</v>
      </c>
      <c r="BM304" s="1" t="s">
        <v>74</v>
      </c>
      <c r="BN304" s="1">
        <v>3.7765166E7</v>
      </c>
      <c r="BO304" s="1" t="s">
        <v>74</v>
      </c>
      <c r="BP304" s="1" t="s">
        <v>74</v>
      </c>
      <c r="BQ304" s="1" t="s">
        <v>74</v>
      </c>
      <c r="BR304" s="1" t="s">
        <v>74</v>
      </c>
      <c r="BS304" s="1" t="s">
        <v>3141</v>
      </c>
      <c r="BT304" s="1" t="str">
        <f>HYPERLINK("https%3A%2F%2Fwww.webofscience.com%2Fwos%2Fwoscc%2Ffull-record%2FWOS:001075271700001","View Full Record in Web of Science")</f>
        <v>View Full Record in Web of Science</v>
      </c>
    </row>
    <row r="305" ht="12.75" customHeight="1">
      <c r="A305" s="1" t="s">
        <v>72</v>
      </c>
      <c r="B305" s="1" t="s">
        <v>3142</v>
      </c>
      <c r="C305" s="1" t="s">
        <v>74</v>
      </c>
      <c r="D305" s="1" t="s">
        <v>74</v>
      </c>
      <c r="E305" s="1" t="s">
        <v>74</v>
      </c>
      <c r="F305" s="1" t="s">
        <v>3143</v>
      </c>
      <c r="G305" s="1" t="s">
        <v>74</v>
      </c>
      <c r="H305" s="1" t="s">
        <v>74</v>
      </c>
      <c r="I305" s="1" t="s">
        <v>3144</v>
      </c>
      <c r="J305" s="1" t="s">
        <v>1597</v>
      </c>
      <c r="K305" s="1" t="s">
        <v>74</v>
      </c>
      <c r="L305" s="1" t="s">
        <v>74</v>
      </c>
      <c r="M305" s="1" t="s">
        <v>74</v>
      </c>
      <c r="N305" s="1" t="s">
        <v>74</v>
      </c>
      <c r="O305" s="1" t="s">
        <v>74</v>
      </c>
      <c r="P305" s="1" t="s">
        <v>74</v>
      </c>
      <c r="Q305" s="1" t="s">
        <v>74</v>
      </c>
      <c r="R305" s="1" t="s">
        <v>74</v>
      </c>
      <c r="S305" s="1" t="s">
        <v>74</v>
      </c>
      <c r="T305" s="1" t="s">
        <v>74</v>
      </c>
      <c r="U305" s="1" t="s">
        <v>74</v>
      </c>
      <c r="V305" s="1" t="s">
        <v>3145</v>
      </c>
      <c r="W305" s="1" t="s">
        <v>74</v>
      </c>
      <c r="X305" s="1" t="s">
        <v>74</v>
      </c>
      <c r="Y305" s="1" t="s">
        <v>74</v>
      </c>
      <c r="Z305" s="1" t="s">
        <v>74</v>
      </c>
      <c r="AA305" s="1" t="s">
        <v>74</v>
      </c>
      <c r="AB305" s="1" t="s">
        <v>74</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1601</v>
      </c>
      <c r="AP305" s="1" t="s">
        <v>1602</v>
      </c>
      <c r="AQ305" s="1" t="s">
        <v>74</v>
      </c>
      <c r="AR305" s="1" t="s">
        <v>74</v>
      </c>
      <c r="AS305" s="1" t="s">
        <v>74</v>
      </c>
      <c r="AT305" s="1" t="s">
        <v>152</v>
      </c>
      <c r="AU305" s="1">
        <v>2022.0</v>
      </c>
      <c r="AV305" s="1">
        <v>37.0</v>
      </c>
      <c r="AW305" s="1" t="s">
        <v>3146</v>
      </c>
      <c r="AX305" s="1" t="s">
        <v>74</v>
      </c>
      <c r="AY305" s="1" t="s">
        <v>74</v>
      </c>
      <c r="AZ305" s="1" t="s">
        <v>74</v>
      </c>
      <c r="BA305" s="1" t="s">
        <v>74</v>
      </c>
      <c r="BB305" s="1" t="s">
        <v>74</v>
      </c>
      <c r="BC305" s="1" t="s">
        <v>74</v>
      </c>
      <c r="BD305" s="1" t="s">
        <v>74</v>
      </c>
      <c r="BE305" s="1" t="s">
        <v>3147</v>
      </c>
      <c r="BF305" s="2" t="str">
        <f>HYPERLINK("http://dx.doi.org/10.1142/S0217732322502376","http://dx.doi.org/10.1142/S0217732322502376")</f>
        <v>http://dx.doi.org/10.1142/S0217732322502376</v>
      </c>
      <c r="BG305" s="1" t="s">
        <v>74</v>
      </c>
      <c r="BH305" s="1" t="s">
        <v>1277</v>
      </c>
      <c r="BI305" s="1" t="s">
        <v>74</v>
      </c>
      <c r="BJ305" s="1" t="s">
        <v>74</v>
      </c>
      <c r="BK305" s="1" t="s">
        <v>74</v>
      </c>
      <c r="BL305" s="1" t="s">
        <v>74</v>
      </c>
      <c r="BM305" s="1" t="s">
        <v>74</v>
      </c>
      <c r="BN305" s="1" t="s">
        <v>74</v>
      </c>
      <c r="BO305" s="1" t="s">
        <v>74</v>
      </c>
      <c r="BP305" s="1" t="s">
        <v>74</v>
      </c>
      <c r="BQ305" s="1" t="s">
        <v>74</v>
      </c>
      <c r="BR305" s="1" t="s">
        <v>74</v>
      </c>
      <c r="BS305" s="1" t="s">
        <v>3148</v>
      </c>
      <c r="BT305" s="1" t="str">
        <f>HYPERLINK("https%3A%2F%2Fwww.webofscience.com%2Fwos%2Fwoscc%2Ffull-record%2FWOS:000938319300002","View Full Record in Web of Science")</f>
        <v>View Full Record in Web of Science</v>
      </c>
    </row>
    <row r="306" ht="12.75" customHeight="1">
      <c r="A306" s="1" t="s">
        <v>72</v>
      </c>
      <c r="B306" s="1" t="s">
        <v>3149</v>
      </c>
      <c r="C306" s="1" t="s">
        <v>74</v>
      </c>
      <c r="D306" s="1" t="s">
        <v>74</v>
      </c>
      <c r="E306" s="1" t="s">
        <v>74</v>
      </c>
      <c r="F306" s="1" t="s">
        <v>3150</v>
      </c>
      <c r="G306" s="1" t="s">
        <v>74</v>
      </c>
      <c r="H306" s="1" t="s">
        <v>74</v>
      </c>
      <c r="I306" s="1" t="s">
        <v>3151</v>
      </c>
      <c r="J306" s="1" t="s">
        <v>3152</v>
      </c>
      <c r="K306" s="1" t="s">
        <v>74</v>
      </c>
      <c r="L306" s="1" t="s">
        <v>74</v>
      </c>
      <c r="M306" s="1" t="s">
        <v>74</v>
      </c>
      <c r="N306" s="1" t="s">
        <v>74</v>
      </c>
      <c r="O306" s="1" t="s">
        <v>74</v>
      </c>
      <c r="P306" s="1" t="s">
        <v>74</v>
      </c>
      <c r="Q306" s="1" t="s">
        <v>74</v>
      </c>
      <c r="R306" s="1" t="s">
        <v>74</v>
      </c>
      <c r="S306" s="1" t="s">
        <v>74</v>
      </c>
      <c r="T306" s="1" t="s">
        <v>74</v>
      </c>
      <c r="U306" s="1" t="s">
        <v>74</v>
      </c>
      <c r="V306" s="1" t="s">
        <v>3153</v>
      </c>
      <c r="W306" s="1" t="s">
        <v>74</v>
      </c>
      <c r="X306" s="1" t="s">
        <v>74</v>
      </c>
      <c r="Y306" s="1" t="s">
        <v>74</v>
      </c>
      <c r="Z306" s="1" t="s">
        <v>74</v>
      </c>
      <c r="AA306" s="1" t="s">
        <v>3154</v>
      </c>
      <c r="AB306" s="1" t="s">
        <v>3155</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3156</v>
      </c>
      <c r="AP306" s="1" t="s">
        <v>74</v>
      </c>
      <c r="AQ306" s="1" t="s">
        <v>74</v>
      </c>
      <c r="AR306" s="1" t="s">
        <v>74</v>
      </c>
      <c r="AS306" s="1" t="s">
        <v>74</v>
      </c>
      <c r="AT306" s="1" t="s">
        <v>120</v>
      </c>
      <c r="AU306" s="1">
        <v>2023.0</v>
      </c>
      <c r="AV306" s="1">
        <v>16.0</v>
      </c>
      <c r="AW306" s="1">
        <v>2.0</v>
      </c>
      <c r="AX306" s="1" t="s">
        <v>74</v>
      </c>
      <c r="AY306" s="1" t="s">
        <v>74</v>
      </c>
      <c r="AZ306" s="1" t="s">
        <v>297</v>
      </c>
      <c r="BA306" s="1" t="s">
        <v>74</v>
      </c>
      <c r="BB306" s="1">
        <v>262.0</v>
      </c>
      <c r="BC306" s="1">
        <v>285.0</v>
      </c>
      <c r="BD306" s="1" t="s">
        <v>74</v>
      </c>
      <c r="BE306" s="1" t="s">
        <v>3157</v>
      </c>
      <c r="BF306" s="2" t="str">
        <f>HYPERLINK("http://dx.doi.org/10.1111/1751-7915.14109","http://dx.doi.org/10.1111/1751-7915.14109")</f>
        <v>http://dx.doi.org/10.1111/1751-7915.14109</v>
      </c>
      <c r="BG306" s="1" t="s">
        <v>74</v>
      </c>
      <c r="BH306" s="1" t="s">
        <v>3158</v>
      </c>
      <c r="BI306" s="1" t="s">
        <v>74</v>
      </c>
      <c r="BJ306" s="1" t="s">
        <v>74</v>
      </c>
      <c r="BK306" s="1" t="s">
        <v>74</v>
      </c>
      <c r="BL306" s="1" t="s">
        <v>74</v>
      </c>
      <c r="BM306" s="1" t="s">
        <v>74</v>
      </c>
      <c r="BN306" s="1">
        <v>3.5792877E7</v>
      </c>
      <c r="BO306" s="1" t="s">
        <v>74</v>
      </c>
      <c r="BP306" s="1" t="s">
        <v>74</v>
      </c>
      <c r="BQ306" s="1" t="s">
        <v>74</v>
      </c>
      <c r="BR306" s="1" t="s">
        <v>74</v>
      </c>
      <c r="BS306" s="1" t="s">
        <v>3159</v>
      </c>
      <c r="BT306" s="1" t="str">
        <f>HYPERLINK("https%3A%2F%2Fwww.webofscience.com%2Fwos%2Fwoscc%2Ffull-record%2FWOS:000821151400001","View Full Record in Web of Science")</f>
        <v>View Full Record in Web of Science</v>
      </c>
    </row>
    <row r="307" ht="12.75" customHeight="1">
      <c r="A307" s="1" t="s">
        <v>72</v>
      </c>
      <c r="B307" s="1" t="s">
        <v>3160</v>
      </c>
      <c r="C307" s="1" t="s">
        <v>74</v>
      </c>
      <c r="D307" s="1" t="s">
        <v>74</v>
      </c>
      <c r="E307" s="1" t="s">
        <v>74</v>
      </c>
      <c r="F307" s="1" t="s">
        <v>3161</v>
      </c>
      <c r="G307" s="1" t="s">
        <v>74</v>
      </c>
      <c r="H307" s="1" t="s">
        <v>74</v>
      </c>
      <c r="I307" s="1" t="s">
        <v>3162</v>
      </c>
      <c r="J307" s="1" t="s">
        <v>3163</v>
      </c>
      <c r="K307" s="1" t="s">
        <v>74</v>
      </c>
      <c r="L307" s="1" t="s">
        <v>74</v>
      </c>
      <c r="M307" s="1" t="s">
        <v>74</v>
      </c>
      <c r="N307" s="1" t="s">
        <v>74</v>
      </c>
      <c r="O307" s="1" t="s">
        <v>74</v>
      </c>
      <c r="P307" s="1" t="s">
        <v>74</v>
      </c>
      <c r="Q307" s="1" t="s">
        <v>74</v>
      </c>
      <c r="R307" s="1" t="s">
        <v>74</v>
      </c>
      <c r="S307" s="1" t="s">
        <v>74</v>
      </c>
      <c r="T307" s="1" t="s">
        <v>74</v>
      </c>
      <c r="U307" s="1" t="s">
        <v>74</v>
      </c>
      <c r="V307" s="1" t="s">
        <v>3164</v>
      </c>
      <c r="W307" s="1" t="s">
        <v>74</v>
      </c>
      <c r="X307" s="1" t="s">
        <v>74</v>
      </c>
      <c r="Y307" s="1" t="s">
        <v>74</v>
      </c>
      <c r="Z307" s="1" t="s">
        <v>74</v>
      </c>
      <c r="AA307" s="1" t="s">
        <v>74</v>
      </c>
      <c r="AB307" s="1" t="s">
        <v>74</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3165</v>
      </c>
      <c r="AP307" s="1" t="s">
        <v>3166</v>
      </c>
      <c r="AQ307" s="1" t="s">
        <v>74</v>
      </c>
      <c r="AR307" s="1" t="s">
        <v>74</v>
      </c>
      <c r="AS307" s="1" t="s">
        <v>74</v>
      </c>
      <c r="AT307" s="1" t="s">
        <v>3167</v>
      </c>
      <c r="AU307" s="1">
        <v>2022.0</v>
      </c>
      <c r="AV307" s="1">
        <v>46.0</v>
      </c>
      <c r="AW307" s="1">
        <v>2.0</v>
      </c>
      <c r="AX307" s="1" t="s">
        <v>74</v>
      </c>
      <c r="AY307" s="1" t="s">
        <v>74</v>
      </c>
      <c r="AZ307" s="1" t="s">
        <v>74</v>
      </c>
      <c r="BA307" s="1" t="s">
        <v>74</v>
      </c>
      <c r="BB307" s="1" t="s">
        <v>74</v>
      </c>
      <c r="BC307" s="1" t="s">
        <v>74</v>
      </c>
      <c r="BD307" s="1" t="s">
        <v>74</v>
      </c>
      <c r="BE307" s="1" t="s">
        <v>3168</v>
      </c>
      <c r="BF307" s="2" t="str">
        <f>HYPERLINK("http://dx.doi.org/10.15517/revedu.v46i2.47915","http://dx.doi.org/10.15517/revedu.v46i2.47915")</f>
        <v>http://dx.doi.org/10.15517/revedu.v46i2.47915</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3169</v>
      </c>
      <c r="BT307" s="1" t="str">
        <f>HYPERLINK("https%3A%2F%2Fwww.webofscience.com%2Fwos%2Fwoscc%2Ffull-record%2FWOS:000822501500033","View Full Record in Web of Science")</f>
        <v>View Full Record in Web of Science</v>
      </c>
    </row>
    <row r="308" ht="12.75" customHeight="1">
      <c r="A308" s="1" t="s">
        <v>72</v>
      </c>
      <c r="B308" s="1" t="s">
        <v>3170</v>
      </c>
      <c r="C308" s="1" t="s">
        <v>74</v>
      </c>
      <c r="D308" s="1" t="s">
        <v>74</v>
      </c>
      <c r="E308" s="1" t="s">
        <v>74</v>
      </c>
      <c r="F308" s="1" t="s">
        <v>3171</v>
      </c>
      <c r="G308" s="1" t="s">
        <v>74</v>
      </c>
      <c r="H308" s="1" t="s">
        <v>74</v>
      </c>
      <c r="I308" s="1" t="s">
        <v>3172</v>
      </c>
      <c r="J308" s="1" t="s">
        <v>3173</v>
      </c>
      <c r="K308" s="1" t="s">
        <v>74</v>
      </c>
      <c r="L308" s="1" t="s">
        <v>74</v>
      </c>
      <c r="M308" s="1" t="s">
        <v>74</v>
      </c>
      <c r="N308" s="1" t="s">
        <v>74</v>
      </c>
      <c r="O308" s="1" t="s">
        <v>74</v>
      </c>
      <c r="P308" s="1" t="s">
        <v>74</v>
      </c>
      <c r="Q308" s="1" t="s">
        <v>74</v>
      </c>
      <c r="R308" s="1" t="s">
        <v>74</v>
      </c>
      <c r="S308" s="1" t="s">
        <v>74</v>
      </c>
      <c r="T308" s="1" t="s">
        <v>74</v>
      </c>
      <c r="U308" s="1" t="s">
        <v>74</v>
      </c>
      <c r="V308" s="1" t="s">
        <v>74</v>
      </c>
      <c r="W308" s="1" t="s">
        <v>74</v>
      </c>
      <c r="X308" s="1" t="s">
        <v>74</v>
      </c>
      <c r="Y308" s="1" t="s">
        <v>74</v>
      </c>
      <c r="Z308" s="1" t="s">
        <v>74</v>
      </c>
      <c r="AA308" s="1" t="s">
        <v>3174</v>
      </c>
      <c r="AB308" s="1" t="s">
        <v>74</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3175</v>
      </c>
      <c r="AP308" s="1" t="s">
        <v>74</v>
      </c>
      <c r="AQ308" s="1" t="s">
        <v>74</v>
      </c>
      <c r="AR308" s="1" t="s">
        <v>74</v>
      </c>
      <c r="AS308" s="1" t="s">
        <v>74</v>
      </c>
      <c r="AT308" s="1" t="s">
        <v>647</v>
      </c>
      <c r="AU308" s="1">
        <v>2021.0</v>
      </c>
      <c r="AV308" s="1">
        <v>77.0</v>
      </c>
      <c r="AW308" s="1" t="s">
        <v>74</v>
      </c>
      <c r="AX308" s="1" t="s">
        <v>74</v>
      </c>
      <c r="AY308" s="1" t="s">
        <v>475</v>
      </c>
      <c r="AZ308" s="1" t="s">
        <v>74</v>
      </c>
      <c r="BA308" s="1" t="s">
        <v>3176</v>
      </c>
      <c r="BB308" s="1" t="s">
        <v>3177</v>
      </c>
      <c r="BC308" s="1" t="s">
        <v>3177</v>
      </c>
      <c r="BD308" s="1" t="s">
        <v>74</v>
      </c>
      <c r="BE308" s="1" t="s">
        <v>74</v>
      </c>
      <c r="BF308" s="1" t="s">
        <v>74</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3178</v>
      </c>
      <c r="BT308" s="1" t="str">
        <f>HYPERLINK("https%3A%2F%2Fwww.webofscience.com%2Fwos%2Fwoscc%2Ffull-record%2FWOS:000761714401068","View Full Record in Web of Science")</f>
        <v>View Full Record in Web of Science</v>
      </c>
    </row>
    <row r="309" ht="12.75" customHeight="1">
      <c r="A309" s="1" t="s">
        <v>72</v>
      </c>
      <c r="B309" s="1" t="s">
        <v>3179</v>
      </c>
      <c r="C309" s="1" t="s">
        <v>74</v>
      </c>
      <c r="D309" s="1" t="s">
        <v>74</v>
      </c>
      <c r="E309" s="1" t="s">
        <v>74</v>
      </c>
      <c r="F309" s="1" t="s">
        <v>3180</v>
      </c>
      <c r="G309" s="1" t="s">
        <v>74</v>
      </c>
      <c r="H309" s="1" t="s">
        <v>74</v>
      </c>
      <c r="I309" s="1" t="s">
        <v>3181</v>
      </c>
      <c r="J309" s="1" t="s">
        <v>3182</v>
      </c>
      <c r="K309" s="1" t="s">
        <v>74</v>
      </c>
      <c r="L309" s="1" t="s">
        <v>74</v>
      </c>
      <c r="M309" s="1" t="s">
        <v>74</v>
      </c>
      <c r="N309" s="1" t="s">
        <v>74</v>
      </c>
      <c r="O309" s="1" t="s">
        <v>74</v>
      </c>
      <c r="P309" s="1" t="s">
        <v>74</v>
      </c>
      <c r="Q309" s="1" t="s">
        <v>74</v>
      </c>
      <c r="R309" s="1" t="s">
        <v>74</v>
      </c>
      <c r="S309" s="1" t="s">
        <v>74</v>
      </c>
      <c r="T309" s="1" t="s">
        <v>74</v>
      </c>
      <c r="U309" s="1" t="s">
        <v>74</v>
      </c>
      <c r="V309" s="1" t="s">
        <v>3183</v>
      </c>
      <c r="W309" s="1" t="s">
        <v>74</v>
      </c>
      <c r="X309" s="1" t="s">
        <v>74</v>
      </c>
      <c r="Y309" s="1" t="s">
        <v>74</v>
      </c>
      <c r="Z309" s="1" t="s">
        <v>74</v>
      </c>
      <c r="AA309" s="1" t="s">
        <v>3184</v>
      </c>
      <c r="AB309" s="1" t="s">
        <v>3185</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3186</v>
      </c>
      <c r="AP309" s="1" t="s">
        <v>3187</v>
      </c>
      <c r="AQ309" s="1" t="s">
        <v>74</v>
      </c>
      <c r="AR309" s="1" t="s">
        <v>74</v>
      </c>
      <c r="AS309" s="1" t="s">
        <v>74</v>
      </c>
      <c r="AT309" s="1" t="s">
        <v>232</v>
      </c>
      <c r="AU309" s="1">
        <v>2021.0</v>
      </c>
      <c r="AV309" s="1">
        <v>129.0</v>
      </c>
      <c r="AW309" s="1" t="s">
        <v>74</v>
      </c>
      <c r="AX309" s="1" t="s">
        <v>74</v>
      </c>
      <c r="AY309" s="1" t="s">
        <v>74</v>
      </c>
      <c r="AZ309" s="1" t="s">
        <v>74</v>
      </c>
      <c r="BA309" s="1" t="s">
        <v>74</v>
      </c>
      <c r="BB309" s="1" t="s">
        <v>74</v>
      </c>
      <c r="BC309" s="1" t="s">
        <v>74</v>
      </c>
      <c r="BD309" s="1">
        <v>107878.0</v>
      </c>
      <c r="BE309" s="1" t="s">
        <v>3188</v>
      </c>
      <c r="BF309" s="2" t="str">
        <f>HYPERLINK("http://dx.doi.org/10.1016/j.ecolind.2021.107878","http://dx.doi.org/10.1016/j.ecolind.2021.107878")</f>
        <v>http://dx.doi.org/10.1016/j.ecolind.2021.107878</v>
      </c>
      <c r="BG309" s="1" t="s">
        <v>74</v>
      </c>
      <c r="BH309" s="1" t="s">
        <v>3189</v>
      </c>
      <c r="BI309" s="1" t="s">
        <v>74</v>
      </c>
      <c r="BJ309" s="1" t="s">
        <v>74</v>
      </c>
      <c r="BK309" s="1" t="s">
        <v>74</v>
      </c>
      <c r="BL309" s="1" t="s">
        <v>74</v>
      </c>
      <c r="BM309" s="1" t="s">
        <v>74</v>
      </c>
      <c r="BN309" s="1" t="s">
        <v>74</v>
      </c>
      <c r="BO309" s="1" t="s">
        <v>74</v>
      </c>
      <c r="BP309" s="1" t="s">
        <v>74</v>
      </c>
      <c r="BQ309" s="1" t="s">
        <v>74</v>
      </c>
      <c r="BR309" s="1" t="s">
        <v>74</v>
      </c>
      <c r="BS309" s="1" t="s">
        <v>3190</v>
      </c>
      <c r="BT309" s="1" t="str">
        <f>HYPERLINK("https%3A%2F%2Fwww.webofscience.com%2Fwos%2Fwoscc%2Ffull-record%2FWOS:000681695300005","View Full Record in Web of Science")</f>
        <v>View Full Record in Web of Science</v>
      </c>
    </row>
    <row r="310" ht="12.75" customHeight="1">
      <c r="A310" s="1" t="s">
        <v>72</v>
      </c>
      <c r="B310" s="1" t="s">
        <v>3191</v>
      </c>
      <c r="C310" s="1" t="s">
        <v>74</v>
      </c>
      <c r="D310" s="1" t="s">
        <v>74</v>
      </c>
      <c r="E310" s="1" t="s">
        <v>74</v>
      </c>
      <c r="F310" s="1" t="s">
        <v>3192</v>
      </c>
      <c r="G310" s="1" t="s">
        <v>74</v>
      </c>
      <c r="H310" s="1" t="s">
        <v>74</v>
      </c>
      <c r="I310" s="1" t="s">
        <v>3193</v>
      </c>
      <c r="J310" s="1" t="s">
        <v>3194</v>
      </c>
      <c r="K310" s="1" t="s">
        <v>74</v>
      </c>
      <c r="L310" s="1" t="s">
        <v>74</v>
      </c>
      <c r="M310" s="1" t="s">
        <v>74</v>
      </c>
      <c r="N310" s="1" t="s">
        <v>74</v>
      </c>
      <c r="O310" s="1" t="s">
        <v>74</v>
      </c>
      <c r="P310" s="1" t="s">
        <v>74</v>
      </c>
      <c r="Q310" s="1" t="s">
        <v>74</v>
      </c>
      <c r="R310" s="1" t="s">
        <v>74</v>
      </c>
      <c r="S310" s="1" t="s">
        <v>74</v>
      </c>
      <c r="T310" s="1" t="s">
        <v>74</v>
      </c>
      <c r="U310" s="1" t="s">
        <v>74</v>
      </c>
      <c r="V310" s="1" t="s">
        <v>3195</v>
      </c>
      <c r="W310" s="1" t="s">
        <v>74</v>
      </c>
      <c r="X310" s="1" t="s">
        <v>74</v>
      </c>
      <c r="Y310" s="1" t="s">
        <v>74</v>
      </c>
      <c r="Z310" s="1" t="s">
        <v>74</v>
      </c>
      <c r="AA310" s="1" t="s">
        <v>3196</v>
      </c>
      <c r="AB310" s="1" t="s">
        <v>3197</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3198</v>
      </c>
      <c r="AP310" s="1" t="s">
        <v>74</v>
      </c>
      <c r="AQ310" s="1" t="s">
        <v>74</v>
      </c>
      <c r="AR310" s="1" t="s">
        <v>74</v>
      </c>
      <c r="AS310" s="1" t="s">
        <v>74</v>
      </c>
      <c r="AT310" s="1" t="s">
        <v>2380</v>
      </c>
      <c r="AU310" s="1">
        <v>2021.0</v>
      </c>
      <c r="AV310" s="1">
        <v>13.0</v>
      </c>
      <c r="AW310" s="1">
        <v>3.0</v>
      </c>
      <c r="AX310" s="1" t="s">
        <v>74</v>
      </c>
      <c r="AY310" s="1" t="s">
        <v>74</v>
      </c>
      <c r="AZ310" s="1" t="s">
        <v>74</v>
      </c>
      <c r="BA310" s="1" t="s">
        <v>74</v>
      </c>
      <c r="BB310" s="1">
        <v>236.0</v>
      </c>
      <c r="BC310" s="1">
        <v>240.0</v>
      </c>
      <c r="BD310" s="1" t="s">
        <v>74</v>
      </c>
      <c r="BE310" s="1" t="s">
        <v>3199</v>
      </c>
      <c r="BF310" s="2" t="str">
        <f>HYPERLINK("http://dx.doi.org/10.17807/orbital.v13i3.1560","http://dx.doi.org/10.17807/orbital.v13i3.1560")</f>
        <v>http://dx.doi.org/10.17807/orbital.v13i3.1560</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3200</v>
      </c>
      <c r="BT310" s="1" t="str">
        <f>HYPERLINK("https%3A%2F%2Fwww.webofscience.com%2Fwos%2Fwoscc%2Ffull-record%2FWOS:000670667600009","View Full Record in Web of Science")</f>
        <v>View Full Record in Web of Science</v>
      </c>
    </row>
    <row r="311" ht="12.75" customHeight="1">
      <c r="A311" s="1" t="s">
        <v>72</v>
      </c>
      <c r="B311" s="1" t="s">
        <v>545</v>
      </c>
      <c r="C311" s="1" t="s">
        <v>74</v>
      </c>
      <c r="D311" s="1" t="s">
        <v>74</v>
      </c>
      <c r="E311" s="1" t="s">
        <v>74</v>
      </c>
      <c r="F311" s="1" t="s">
        <v>3201</v>
      </c>
      <c r="G311" s="1" t="s">
        <v>74</v>
      </c>
      <c r="H311" s="1" t="s">
        <v>74</v>
      </c>
      <c r="I311" s="1" t="s">
        <v>3202</v>
      </c>
      <c r="J311" s="1" t="s">
        <v>548</v>
      </c>
      <c r="K311" s="1" t="s">
        <v>74</v>
      </c>
      <c r="L311" s="1" t="s">
        <v>74</v>
      </c>
      <c r="M311" s="1" t="s">
        <v>74</v>
      </c>
      <c r="N311" s="1" t="s">
        <v>74</v>
      </c>
      <c r="O311" s="1" t="s">
        <v>74</v>
      </c>
      <c r="P311" s="1" t="s">
        <v>74</v>
      </c>
      <c r="Q311" s="1" t="s">
        <v>74</v>
      </c>
      <c r="R311" s="1" t="s">
        <v>74</v>
      </c>
      <c r="S311" s="1" t="s">
        <v>74</v>
      </c>
      <c r="T311" s="1" t="s">
        <v>74</v>
      </c>
      <c r="U311" s="1" t="s">
        <v>74</v>
      </c>
      <c r="V311" s="1" t="s">
        <v>3203</v>
      </c>
      <c r="W311" s="1" t="s">
        <v>74</v>
      </c>
      <c r="X311" s="1" t="s">
        <v>74</v>
      </c>
      <c r="Y311" s="1" t="s">
        <v>74</v>
      </c>
      <c r="Z311" s="1" t="s">
        <v>74</v>
      </c>
      <c r="AA311" s="1" t="s">
        <v>550</v>
      </c>
      <c r="AB311" s="1" t="s">
        <v>3204</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552</v>
      </c>
      <c r="AP311" s="1" t="s">
        <v>553</v>
      </c>
      <c r="AQ311" s="1" t="s">
        <v>74</v>
      </c>
      <c r="AR311" s="1" t="s">
        <v>74</v>
      </c>
      <c r="AS311" s="1" t="s">
        <v>74</v>
      </c>
      <c r="AT311" s="1" t="s">
        <v>187</v>
      </c>
      <c r="AU311" s="1">
        <v>2021.0</v>
      </c>
      <c r="AV311" s="1">
        <v>174.0</v>
      </c>
      <c r="AW311" s="1" t="s">
        <v>74</v>
      </c>
      <c r="AX311" s="1" t="s">
        <v>74</v>
      </c>
      <c r="AY311" s="1" t="s">
        <v>74</v>
      </c>
      <c r="AZ311" s="1" t="s">
        <v>74</v>
      </c>
      <c r="BA311" s="1" t="s">
        <v>74</v>
      </c>
      <c r="BB311" s="1" t="s">
        <v>74</v>
      </c>
      <c r="BC311" s="1" t="s">
        <v>74</v>
      </c>
      <c r="BD311" s="1">
        <v>108992.0</v>
      </c>
      <c r="BE311" s="1" t="s">
        <v>3205</v>
      </c>
      <c r="BF311" s="2" t="str">
        <f>HYPERLINK("http://dx.doi.org/10.1016/j.measurement.2021.108992","http://dx.doi.org/10.1016/j.measurement.2021.108992")</f>
        <v>http://dx.doi.org/10.1016/j.measurement.2021.108992</v>
      </c>
      <c r="BG311" s="1" t="s">
        <v>74</v>
      </c>
      <c r="BH311" s="1" t="s">
        <v>3206</v>
      </c>
      <c r="BI311" s="1" t="s">
        <v>74</v>
      </c>
      <c r="BJ311" s="1" t="s">
        <v>74</v>
      </c>
      <c r="BK311" s="1" t="s">
        <v>74</v>
      </c>
      <c r="BL311" s="1" t="s">
        <v>74</v>
      </c>
      <c r="BM311" s="1" t="s">
        <v>74</v>
      </c>
      <c r="BN311" s="1" t="s">
        <v>74</v>
      </c>
      <c r="BO311" s="1" t="s">
        <v>74</v>
      </c>
      <c r="BP311" s="1" t="s">
        <v>74</v>
      </c>
      <c r="BQ311" s="1" t="s">
        <v>74</v>
      </c>
      <c r="BR311" s="1" t="s">
        <v>74</v>
      </c>
      <c r="BS311" s="1" t="s">
        <v>3207</v>
      </c>
      <c r="BT311" s="1" t="str">
        <f>HYPERLINK("https%3A%2F%2Fwww.webofscience.com%2Fwos%2Fwoscc%2Ffull-record%2FWOS:000634796100004","View Full Record in Web of Science")</f>
        <v>View Full Record in Web of Science</v>
      </c>
    </row>
    <row r="312" ht="12.75" customHeight="1">
      <c r="A312" s="1" t="s">
        <v>72</v>
      </c>
      <c r="B312" s="1" t="s">
        <v>3208</v>
      </c>
      <c r="C312" s="1" t="s">
        <v>74</v>
      </c>
      <c r="D312" s="1" t="s">
        <v>74</v>
      </c>
      <c r="E312" s="1" t="s">
        <v>74</v>
      </c>
      <c r="F312" s="1" t="s">
        <v>3209</v>
      </c>
      <c r="G312" s="1" t="s">
        <v>74</v>
      </c>
      <c r="H312" s="1" t="s">
        <v>74</v>
      </c>
      <c r="I312" s="1" t="s">
        <v>3210</v>
      </c>
      <c r="J312" s="1" t="s">
        <v>3211</v>
      </c>
      <c r="K312" s="1" t="s">
        <v>74</v>
      </c>
      <c r="L312" s="1" t="s">
        <v>74</v>
      </c>
      <c r="M312" s="1" t="s">
        <v>74</v>
      </c>
      <c r="N312" s="1" t="s">
        <v>74</v>
      </c>
      <c r="O312" s="1" t="s">
        <v>74</v>
      </c>
      <c r="P312" s="1" t="s">
        <v>74</v>
      </c>
      <c r="Q312" s="1" t="s">
        <v>74</v>
      </c>
      <c r="R312" s="1" t="s">
        <v>74</v>
      </c>
      <c r="S312" s="1" t="s">
        <v>74</v>
      </c>
      <c r="T312" s="1" t="s">
        <v>74</v>
      </c>
      <c r="U312" s="1" t="s">
        <v>74</v>
      </c>
      <c r="V312" s="1" t="s">
        <v>3212</v>
      </c>
      <c r="W312" s="1" t="s">
        <v>74</v>
      </c>
      <c r="X312" s="1" t="s">
        <v>74</v>
      </c>
      <c r="Y312" s="1" t="s">
        <v>74</v>
      </c>
      <c r="Z312" s="1" t="s">
        <v>74</v>
      </c>
      <c r="AA312" s="1" t="s">
        <v>3213</v>
      </c>
      <c r="AB312" s="1" t="s">
        <v>3214</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3215</v>
      </c>
      <c r="AP312" s="1" t="s">
        <v>3216</v>
      </c>
      <c r="AQ312" s="1" t="s">
        <v>74</v>
      </c>
      <c r="AR312" s="1" t="s">
        <v>74</v>
      </c>
      <c r="AS312" s="1" t="s">
        <v>74</v>
      </c>
      <c r="AT312" s="1" t="s">
        <v>496</v>
      </c>
      <c r="AU312" s="1">
        <v>2021.0</v>
      </c>
      <c r="AV312" s="1">
        <v>28.0</v>
      </c>
      <c r="AW312" s="1">
        <v>1.0</v>
      </c>
      <c r="AX312" s="1" t="s">
        <v>74</v>
      </c>
      <c r="AY312" s="1" t="s">
        <v>74</v>
      </c>
      <c r="AZ312" s="1" t="s">
        <v>74</v>
      </c>
      <c r="BA312" s="1" t="s">
        <v>74</v>
      </c>
      <c r="BB312" s="1">
        <v>1052.0</v>
      </c>
      <c r="BC312" s="1">
        <v>1062.0</v>
      </c>
      <c r="BD312" s="1" t="s">
        <v>74</v>
      </c>
      <c r="BE312" s="1" t="s">
        <v>3217</v>
      </c>
      <c r="BF312" s="2" t="str">
        <f>HYPERLINK("http://dx.doi.org/10.1016/j.sjbs.2020.10.043","http://dx.doi.org/10.1016/j.sjbs.2020.10.043")</f>
        <v>http://dx.doi.org/10.1016/j.sjbs.2020.10.043</v>
      </c>
      <c r="BG312" s="1" t="s">
        <v>74</v>
      </c>
      <c r="BH312" s="1" t="s">
        <v>74</v>
      </c>
      <c r="BI312" s="1" t="s">
        <v>74</v>
      </c>
      <c r="BJ312" s="1" t="s">
        <v>74</v>
      </c>
      <c r="BK312" s="1" t="s">
        <v>74</v>
      </c>
      <c r="BL312" s="1" t="s">
        <v>74</v>
      </c>
      <c r="BM312" s="1" t="s">
        <v>74</v>
      </c>
      <c r="BN312" s="1">
        <v>3.3424399E7</v>
      </c>
      <c r="BO312" s="1" t="s">
        <v>74</v>
      </c>
      <c r="BP312" s="1" t="s">
        <v>74</v>
      </c>
      <c r="BQ312" s="1" t="s">
        <v>74</v>
      </c>
      <c r="BR312" s="1" t="s">
        <v>74</v>
      </c>
      <c r="BS312" s="1" t="s">
        <v>3218</v>
      </c>
      <c r="BT312" s="1" t="str">
        <f>HYPERLINK("https%3A%2F%2Fwww.webofscience.com%2Fwos%2Fwoscc%2Ffull-record%2FWOS:000604731100021","View Full Record in Web of Science")</f>
        <v>View Full Record in Web of Science</v>
      </c>
    </row>
    <row r="313" ht="12.75" customHeight="1">
      <c r="A313" s="1" t="s">
        <v>72</v>
      </c>
      <c r="B313" s="1" t="s">
        <v>3219</v>
      </c>
      <c r="C313" s="1" t="s">
        <v>74</v>
      </c>
      <c r="D313" s="1" t="s">
        <v>74</v>
      </c>
      <c r="E313" s="1" t="s">
        <v>74</v>
      </c>
      <c r="F313" s="1" t="s">
        <v>3220</v>
      </c>
      <c r="G313" s="1" t="s">
        <v>74</v>
      </c>
      <c r="H313" s="1" t="s">
        <v>74</v>
      </c>
      <c r="I313" s="1" t="s">
        <v>3221</v>
      </c>
      <c r="J313" s="1" t="s">
        <v>3222</v>
      </c>
      <c r="K313" s="1" t="s">
        <v>74</v>
      </c>
      <c r="L313" s="1" t="s">
        <v>74</v>
      </c>
      <c r="M313" s="1" t="s">
        <v>74</v>
      </c>
      <c r="N313" s="1" t="s">
        <v>74</v>
      </c>
      <c r="O313" s="1" t="s">
        <v>74</v>
      </c>
      <c r="P313" s="1" t="s">
        <v>74</v>
      </c>
      <c r="Q313" s="1" t="s">
        <v>74</v>
      </c>
      <c r="R313" s="1" t="s">
        <v>74</v>
      </c>
      <c r="S313" s="1" t="s">
        <v>74</v>
      </c>
      <c r="T313" s="1" t="s">
        <v>74</v>
      </c>
      <c r="U313" s="1" t="s">
        <v>74</v>
      </c>
      <c r="V313" s="1" t="s">
        <v>3223</v>
      </c>
      <c r="W313" s="1" t="s">
        <v>74</v>
      </c>
      <c r="X313" s="1" t="s">
        <v>74</v>
      </c>
      <c r="Y313" s="1" t="s">
        <v>74</v>
      </c>
      <c r="Z313" s="1" t="s">
        <v>74</v>
      </c>
      <c r="AA313" s="1" t="s">
        <v>74</v>
      </c>
      <c r="AB313" s="1" t="s">
        <v>3224</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3225</v>
      </c>
      <c r="AP313" s="1" t="s">
        <v>3226</v>
      </c>
      <c r="AQ313" s="1" t="s">
        <v>74</v>
      </c>
      <c r="AR313" s="1" t="s">
        <v>74</v>
      </c>
      <c r="AS313" s="1" t="s">
        <v>74</v>
      </c>
      <c r="AT313" s="1" t="s">
        <v>2244</v>
      </c>
      <c r="AU313" s="1">
        <v>2020.0</v>
      </c>
      <c r="AV313" s="1">
        <v>125.0</v>
      </c>
      <c r="AW313" s="1">
        <v>17.0</v>
      </c>
      <c r="AX313" s="1" t="s">
        <v>74</v>
      </c>
      <c r="AY313" s="1" t="s">
        <v>74</v>
      </c>
      <c r="AZ313" s="1" t="s">
        <v>74</v>
      </c>
      <c r="BA313" s="1" t="s">
        <v>74</v>
      </c>
      <c r="BB313" s="1" t="s">
        <v>74</v>
      </c>
      <c r="BC313" s="1" t="s">
        <v>74</v>
      </c>
      <c r="BD313" s="1" t="s">
        <v>3227</v>
      </c>
      <c r="BE313" s="1" t="s">
        <v>3228</v>
      </c>
      <c r="BF313" s="2" t="str">
        <f>HYPERLINK("http://dx.doi.org/10.1029/2020JD032624","http://dx.doi.org/10.1029/2020JD032624")</f>
        <v>http://dx.doi.org/10.1029/2020JD032624</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3229</v>
      </c>
      <c r="BT313" s="1" t="str">
        <f>HYPERLINK("https%3A%2F%2Fwww.webofscience.com%2Fwos%2Fwoscc%2Ffull-record%2FWOS:000571890800024","View Full Record in Web of Science")</f>
        <v>View Full Record in Web of Science</v>
      </c>
    </row>
    <row r="314" ht="12.75" customHeight="1">
      <c r="A314" s="1" t="s">
        <v>72</v>
      </c>
      <c r="B314" s="1" t="s">
        <v>3230</v>
      </c>
      <c r="C314" s="1" t="s">
        <v>74</v>
      </c>
      <c r="D314" s="1" t="s">
        <v>74</v>
      </c>
      <c r="E314" s="1" t="s">
        <v>74</v>
      </c>
      <c r="F314" s="1" t="s">
        <v>3231</v>
      </c>
      <c r="G314" s="1" t="s">
        <v>74</v>
      </c>
      <c r="H314" s="1" t="s">
        <v>74</v>
      </c>
      <c r="I314" s="1" t="s">
        <v>3232</v>
      </c>
      <c r="J314" s="1" t="s">
        <v>3233</v>
      </c>
      <c r="K314" s="1" t="s">
        <v>74</v>
      </c>
      <c r="L314" s="1" t="s">
        <v>74</v>
      </c>
      <c r="M314" s="1" t="s">
        <v>74</v>
      </c>
      <c r="N314" s="1" t="s">
        <v>74</v>
      </c>
      <c r="O314" s="1" t="s">
        <v>74</v>
      </c>
      <c r="P314" s="1" t="s">
        <v>74</v>
      </c>
      <c r="Q314" s="1" t="s">
        <v>74</v>
      </c>
      <c r="R314" s="1" t="s">
        <v>74</v>
      </c>
      <c r="S314" s="1" t="s">
        <v>74</v>
      </c>
      <c r="T314" s="1" t="s">
        <v>74</v>
      </c>
      <c r="U314" s="1" t="s">
        <v>74</v>
      </c>
      <c r="V314" s="1" t="s">
        <v>3234</v>
      </c>
      <c r="W314" s="1" t="s">
        <v>74</v>
      </c>
      <c r="X314" s="1" t="s">
        <v>74</v>
      </c>
      <c r="Y314" s="1" t="s">
        <v>74</v>
      </c>
      <c r="Z314" s="1" t="s">
        <v>74</v>
      </c>
      <c r="AA314" s="1" t="s">
        <v>3235</v>
      </c>
      <c r="AB314" s="1" t="s">
        <v>3236</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3237</v>
      </c>
      <c r="AP314" s="1" t="s">
        <v>3238</v>
      </c>
      <c r="AQ314" s="1" t="s">
        <v>74</v>
      </c>
      <c r="AR314" s="1" t="s">
        <v>74</v>
      </c>
      <c r="AS314" s="1" t="s">
        <v>74</v>
      </c>
      <c r="AT314" s="1" t="s">
        <v>2420</v>
      </c>
      <c r="AU314" s="1">
        <v>2020.0</v>
      </c>
      <c r="AV314" s="1">
        <v>120.0</v>
      </c>
      <c r="AW314" s="1">
        <v>22.0</v>
      </c>
      <c r="AX314" s="1" t="s">
        <v>74</v>
      </c>
      <c r="AY314" s="1" t="s">
        <v>74</v>
      </c>
      <c r="AZ314" s="1" t="s">
        <v>74</v>
      </c>
      <c r="BA314" s="1" t="s">
        <v>74</v>
      </c>
      <c r="BB314" s="1" t="s">
        <v>74</v>
      </c>
      <c r="BC314" s="1" t="s">
        <v>74</v>
      </c>
      <c r="BD314" s="1" t="s">
        <v>3239</v>
      </c>
      <c r="BE314" s="1" t="s">
        <v>3240</v>
      </c>
      <c r="BF314" s="2" t="str">
        <f>HYPERLINK("http://dx.doi.org/10.1002/qua.26403","http://dx.doi.org/10.1002/qua.26403")</f>
        <v>http://dx.doi.org/10.1002/qua.26403</v>
      </c>
      <c r="BG314" s="1" t="s">
        <v>74</v>
      </c>
      <c r="BH314" s="1" t="s">
        <v>3241</v>
      </c>
      <c r="BI314" s="1" t="s">
        <v>74</v>
      </c>
      <c r="BJ314" s="1" t="s">
        <v>74</v>
      </c>
      <c r="BK314" s="1" t="s">
        <v>74</v>
      </c>
      <c r="BL314" s="1" t="s">
        <v>74</v>
      </c>
      <c r="BM314" s="1" t="s">
        <v>74</v>
      </c>
      <c r="BN314" s="1" t="s">
        <v>74</v>
      </c>
      <c r="BO314" s="1" t="s">
        <v>74</v>
      </c>
      <c r="BP314" s="1" t="s">
        <v>74</v>
      </c>
      <c r="BQ314" s="1" t="s">
        <v>74</v>
      </c>
      <c r="BR314" s="1" t="s">
        <v>74</v>
      </c>
      <c r="BS314" s="1" t="s">
        <v>3242</v>
      </c>
      <c r="BT314" s="1" t="str">
        <f>HYPERLINK("https%3A%2F%2Fwww.webofscience.com%2Fwos%2Fwoscc%2Ffull-record%2FWOS:000554671900001","View Full Record in Web of Science")</f>
        <v>View Full Record in Web of Science</v>
      </c>
    </row>
    <row r="315" ht="12.75" customHeight="1">
      <c r="A315" s="1" t="s">
        <v>72</v>
      </c>
      <c r="B315" s="1" t="s">
        <v>3243</v>
      </c>
      <c r="C315" s="1" t="s">
        <v>74</v>
      </c>
      <c r="D315" s="1" t="s">
        <v>74</v>
      </c>
      <c r="E315" s="1" t="s">
        <v>74</v>
      </c>
      <c r="F315" s="1" t="s">
        <v>3244</v>
      </c>
      <c r="G315" s="1" t="s">
        <v>74</v>
      </c>
      <c r="H315" s="1" t="s">
        <v>74</v>
      </c>
      <c r="I315" s="1" t="s">
        <v>3245</v>
      </c>
      <c r="J315" s="1" t="s">
        <v>206</v>
      </c>
      <c r="K315" s="1" t="s">
        <v>74</v>
      </c>
      <c r="L315" s="1" t="s">
        <v>74</v>
      </c>
      <c r="M315" s="1" t="s">
        <v>74</v>
      </c>
      <c r="N315" s="1" t="s">
        <v>74</v>
      </c>
      <c r="O315" s="1" t="s">
        <v>74</v>
      </c>
      <c r="P315" s="1" t="s">
        <v>74</v>
      </c>
      <c r="Q315" s="1" t="s">
        <v>74</v>
      </c>
      <c r="R315" s="1" t="s">
        <v>74</v>
      </c>
      <c r="S315" s="1" t="s">
        <v>74</v>
      </c>
      <c r="T315" s="1" t="s">
        <v>74</v>
      </c>
      <c r="U315" s="1" t="s">
        <v>74</v>
      </c>
      <c r="V315" s="1" t="s">
        <v>3246</v>
      </c>
      <c r="W315" s="1" t="s">
        <v>74</v>
      </c>
      <c r="X315" s="1" t="s">
        <v>74</v>
      </c>
      <c r="Y315" s="1" t="s">
        <v>74</v>
      </c>
      <c r="Z315" s="1" t="s">
        <v>74</v>
      </c>
      <c r="AA315" s="1" t="s">
        <v>3247</v>
      </c>
      <c r="AB315" s="1" t="s">
        <v>3248</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210</v>
      </c>
      <c r="AP315" s="1" t="s">
        <v>211</v>
      </c>
      <c r="AQ315" s="1" t="s">
        <v>74</v>
      </c>
      <c r="AR315" s="1" t="s">
        <v>74</v>
      </c>
      <c r="AS315" s="1" t="s">
        <v>74</v>
      </c>
      <c r="AT315" s="1" t="s">
        <v>3249</v>
      </c>
      <c r="AU315" s="1">
        <v>2020.0</v>
      </c>
      <c r="AV315" s="1">
        <v>507.0</v>
      </c>
      <c r="AW315" s="1" t="s">
        <v>74</v>
      </c>
      <c r="AX315" s="1" t="s">
        <v>74</v>
      </c>
      <c r="AY315" s="1" t="s">
        <v>74</v>
      </c>
      <c r="AZ315" s="1" t="s">
        <v>74</v>
      </c>
      <c r="BA315" s="1" t="s">
        <v>74</v>
      </c>
      <c r="BB315" s="1" t="s">
        <v>74</v>
      </c>
      <c r="BC315" s="1" t="s">
        <v>74</v>
      </c>
      <c r="BD315" s="1">
        <v>166754.0</v>
      </c>
      <c r="BE315" s="1" t="s">
        <v>3250</v>
      </c>
      <c r="BF315" s="2" t="str">
        <f>HYPERLINK("http://dx.doi.org/10.1016/j.jmmm.2020.166754","http://dx.doi.org/10.1016/j.jmmm.2020.166754")</f>
        <v>http://dx.doi.org/10.1016/j.jmmm.2020.166754</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3251</v>
      </c>
      <c r="BT315" s="1" t="str">
        <f>HYPERLINK("https%3A%2F%2Fwww.webofscience.com%2Fwos%2Fwoscc%2Ffull-record%2FWOS:000531564800008","View Full Record in Web of Science")</f>
        <v>View Full Record in Web of Science</v>
      </c>
    </row>
    <row r="316" ht="12.75" customHeight="1">
      <c r="A316" s="1" t="s">
        <v>72</v>
      </c>
      <c r="B316" s="1" t="s">
        <v>3252</v>
      </c>
      <c r="C316" s="1" t="s">
        <v>74</v>
      </c>
      <c r="D316" s="1" t="s">
        <v>74</v>
      </c>
      <c r="E316" s="1" t="s">
        <v>74</v>
      </c>
      <c r="F316" s="1" t="s">
        <v>3253</v>
      </c>
      <c r="G316" s="1" t="s">
        <v>74</v>
      </c>
      <c r="H316" s="1" t="s">
        <v>74</v>
      </c>
      <c r="I316" s="1" t="s">
        <v>3254</v>
      </c>
      <c r="J316" s="1" t="s">
        <v>3255</v>
      </c>
      <c r="K316" s="1" t="s">
        <v>74</v>
      </c>
      <c r="L316" s="1" t="s">
        <v>74</v>
      </c>
      <c r="M316" s="1" t="s">
        <v>74</v>
      </c>
      <c r="N316" s="1" t="s">
        <v>74</v>
      </c>
      <c r="O316" s="1" t="s">
        <v>74</v>
      </c>
      <c r="P316" s="1" t="s">
        <v>74</v>
      </c>
      <c r="Q316" s="1" t="s">
        <v>74</v>
      </c>
      <c r="R316" s="1" t="s">
        <v>74</v>
      </c>
      <c r="S316" s="1" t="s">
        <v>74</v>
      </c>
      <c r="T316" s="1" t="s">
        <v>74</v>
      </c>
      <c r="U316" s="1" t="s">
        <v>74</v>
      </c>
      <c r="V316" s="1" t="s">
        <v>3256</v>
      </c>
      <c r="W316" s="1" t="s">
        <v>74</v>
      </c>
      <c r="X316" s="1" t="s">
        <v>74</v>
      </c>
      <c r="Y316" s="1" t="s">
        <v>74</v>
      </c>
      <c r="Z316" s="1" t="s">
        <v>74</v>
      </c>
      <c r="AA316" s="1" t="s">
        <v>3257</v>
      </c>
      <c r="AB316" s="1" t="s">
        <v>3258</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3259</v>
      </c>
      <c r="AP316" s="1" t="s">
        <v>3260</v>
      </c>
      <c r="AQ316" s="1" t="s">
        <v>74</v>
      </c>
      <c r="AR316" s="1" t="s">
        <v>74</v>
      </c>
      <c r="AS316" s="1" t="s">
        <v>74</v>
      </c>
      <c r="AT316" s="1" t="s">
        <v>647</v>
      </c>
      <c r="AU316" s="1">
        <v>2020.0</v>
      </c>
      <c r="AV316" s="1">
        <v>15.0</v>
      </c>
      <c r="AW316" s="1">
        <v>4.0</v>
      </c>
      <c r="AX316" s="1" t="s">
        <v>74</v>
      </c>
      <c r="AY316" s="1" t="s">
        <v>74</v>
      </c>
      <c r="AZ316" s="1" t="s">
        <v>74</v>
      </c>
      <c r="BA316" s="1" t="s">
        <v>74</v>
      </c>
      <c r="BB316" s="1" t="s">
        <v>74</v>
      </c>
      <c r="BC316" s="1" t="s">
        <v>74</v>
      </c>
      <c r="BD316" s="1">
        <v>3900.0</v>
      </c>
      <c r="BE316" s="1" t="s">
        <v>3261</v>
      </c>
      <c r="BF316" s="2" t="str">
        <f>HYPERLINK("http://dx.doi.org/10.15837/ijccc.2020.4.3900","http://dx.doi.org/10.15837/ijccc.2020.4.3900")</f>
        <v>http://dx.doi.org/10.15837/ijccc.2020.4.3900</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3262</v>
      </c>
      <c r="BT316" s="1" t="str">
        <f>HYPERLINK("https%3A%2F%2Fwww.webofscience.com%2Fwos%2Fwoscc%2Ffull-record%2FWOS:000540296700007","View Full Record in Web of Science")</f>
        <v>View Full Record in Web of Science</v>
      </c>
    </row>
    <row r="317" ht="12.75" customHeight="1">
      <c r="A317" s="1" t="s">
        <v>72</v>
      </c>
      <c r="B317" s="1" t="s">
        <v>3263</v>
      </c>
      <c r="C317" s="1" t="s">
        <v>74</v>
      </c>
      <c r="D317" s="1" t="s">
        <v>74</v>
      </c>
      <c r="E317" s="1" t="s">
        <v>74</v>
      </c>
      <c r="F317" s="1" t="s">
        <v>3264</v>
      </c>
      <c r="G317" s="1" t="s">
        <v>74</v>
      </c>
      <c r="H317" s="1" t="s">
        <v>74</v>
      </c>
      <c r="I317" s="1" t="s">
        <v>3265</v>
      </c>
      <c r="J317" s="1" t="s">
        <v>3266</v>
      </c>
      <c r="K317" s="1" t="s">
        <v>74</v>
      </c>
      <c r="L317" s="1" t="s">
        <v>74</v>
      </c>
      <c r="M317" s="1" t="s">
        <v>74</v>
      </c>
      <c r="N317" s="1" t="s">
        <v>74</v>
      </c>
      <c r="O317" s="1" t="s">
        <v>3267</v>
      </c>
      <c r="P317" s="1" t="s">
        <v>3268</v>
      </c>
      <c r="Q317" s="1" t="s">
        <v>2549</v>
      </c>
      <c r="R317" s="1" t="s">
        <v>3269</v>
      </c>
      <c r="S317" s="1" t="s">
        <v>74</v>
      </c>
      <c r="T317" s="1" t="s">
        <v>74</v>
      </c>
      <c r="U317" s="1" t="s">
        <v>74</v>
      </c>
      <c r="V317" s="1" t="s">
        <v>74</v>
      </c>
      <c r="W317" s="1" t="s">
        <v>74</v>
      </c>
      <c r="X317" s="1" t="s">
        <v>74</v>
      </c>
      <c r="Y317" s="1" t="s">
        <v>74</v>
      </c>
      <c r="Z317" s="1" t="s">
        <v>74</v>
      </c>
      <c r="AA317" s="1" t="s">
        <v>3270</v>
      </c>
      <c r="AB317" s="1" t="s">
        <v>74</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3271</v>
      </c>
      <c r="AP317" s="1" t="s">
        <v>74</v>
      </c>
      <c r="AQ317" s="1" t="s">
        <v>74</v>
      </c>
      <c r="AR317" s="1" t="s">
        <v>74</v>
      </c>
      <c r="AS317" s="1" t="s">
        <v>74</v>
      </c>
      <c r="AT317" s="1" t="s">
        <v>3272</v>
      </c>
      <c r="AU317" s="1">
        <v>2019.0</v>
      </c>
      <c r="AV317" s="1">
        <v>257.0</v>
      </c>
      <c r="AW317" s="1" t="s">
        <v>74</v>
      </c>
      <c r="AX317" s="1" t="s">
        <v>74</v>
      </c>
      <c r="AY317" s="1" t="s">
        <v>74</v>
      </c>
      <c r="AZ317" s="1" t="s">
        <v>74</v>
      </c>
      <c r="BA317" s="1">
        <v>369.0</v>
      </c>
      <c r="BB317" s="1" t="s">
        <v>74</v>
      </c>
      <c r="BC317" s="1" t="s">
        <v>74</v>
      </c>
      <c r="BD317" s="1" t="s">
        <v>74</v>
      </c>
      <c r="BE317" s="1" t="s">
        <v>74</v>
      </c>
      <c r="BF317" s="1" t="s">
        <v>74</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3273</v>
      </c>
      <c r="BT317" s="1" t="str">
        <f>HYPERLINK("https%3A%2F%2Fwww.webofscience.com%2Fwos%2Fwoscc%2Ffull-record%2FWOS:000478861203008","View Full Record in Web of Science")</f>
        <v>View Full Record in Web of Science</v>
      </c>
    </row>
    <row r="318" ht="12.75" customHeight="1">
      <c r="A318" s="1" t="s">
        <v>72</v>
      </c>
      <c r="B318" s="1" t="s">
        <v>3274</v>
      </c>
      <c r="C318" s="1" t="s">
        <v>74</v>
      </c>
      <c r="D318" s="1" t="s">
        <v>74</v>
      </c>
      <c r="E318" s="1" t="s">
        <v>74</v>
      </c>
      <c r="F318" s="1" t="s">
        <v>3275</v>
      </c>
      <c r="G318" s="1" t="s">
        <v>74</v>
      </c>
      <c r="H318" s="1" t="s">
        <v>74</v>
      </c>
      <c r="I318" s="1" t="s">
        <v>3276</v>
      </c>
      <c r="J318" s="1" t="s">
        <v>1597</v>
      </c>
      <c r="K318" s="1" t="s">
        <v>74</v>
      </c>
      <c r="L318" s="1" t="s">
        <v>74</v>
      </c>
      <c r="M318" s="1" t="s">
        <v>74</v>
      </c>
      <c r="N318" s="1" t="s">
        <v>74</v>
      </c>
      <c r="O318" s="1" t="s">
        <v>74</v>
      </c>
      <c r="P318" s="1" t="s">
        <v>74</v>
      </c>
      <c r="Q318" s="1" t="s">
        <v>74</v>
      </c>
      <c r="R318" s="1" t="s">
        <v>74</v>
      </c>
      <c r="S318" s="1" t="s">
        <v>74</v>
      </c>
      <c r="T318" s="1" t="s">
        <v>74</v>
      </c>
      <c r="U318" s="1" t="s">
        <v>74</v>
      </c>
      <c r="V318" s="1" t="s">
        <v>3277</v>
      </c>
      <c r="W318" s="1" t="s">
        <v>74</v>
      </c>
      <c r="X318" s="1" t="s">
        <v>74</v>
      </c>
      <c r="Y318" s="1" t="s">
        <v>74</v>
      </c>
      <c r="Z318" s="1" t="s">
        <v>74</v>
      </c>
      <c r="AA318" s="1" t="s">
        <v>3278</v>
      </c>
      <c r="AB318" s="1" t="s">
        <v>3279</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1601</v>
      </c>
      <c r="AP318" s="1" t="s">
        <v>1602</v>
      </c>
      <c r="AQ318" s="1" t="s">
        <v>74</v>
      </c>
      <c r="AR318" s="1" t="s">
        <v>74</v>
      </c>
      <c r="AS318" s="1" t="s">
        <v>74</v>
      </c>
      <c r="AT318" s="1" t="s">
        <v>3280</v>
      </c>
      <c r="AU318" s="1">
        <v>2018.0</v>
      </c>
      <c r="AV318" s="1">
        <v>33.0</v>
      </c>
      <c r="AW318" s="1">
        <v>15.0</v>
      </c>
      <c r="AX318" s="1" t="s">
        <v>74</v>
      </c>
      <c r="AY318" s="1" t="s">
        <v>74</v>
      </c>
      <c r="AZ318" s="1" t="s">
        <v>74</v>
      </c>
      <c r="BA318" s="1" t="s">
        <v>74</v>
      </c>
      <c r="BB318" s="1" t="s">
        <v>74</v>
      </c>
      <c r="BC318" s="1" t="s">
        <v>74</v>
      </c>
      <c r="BD318" s="1">
        <v>1850082.0</v>
      </c>
      <c r="BE318" s="1" t="s">
        <v>3281</v>
      </c>
      <c r="BF318" s="2" t="str">
        <f>HYPERLINK("http://dx.doi.org/10.1142/S0217732318500827","http://dx.doi.org/10.1142/S0217732318500827")</f>
        <v>http://dx.doi.org/10.1142/S0217732318500827</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3282</v>
      </c>
      <c r="BT318" s="1" t="str">
        <f>HYPERLINK("https%3A%2F%2Fwww.webofscience.com%2Fwos%2Fwoscc%2Ffull-record%2FWOS:000432838600003","View Full Record in Web of Science")</f>
        <v>View Full Record in Web of Science</v>
      </c>
    </row>
    <row r="319" ht="12.75" customHeight="1">
      <c r="A319" s="1" t="s">
        <v>72</v>
      </c>
      <c r="B319" s="1" t="s">
        <v>3283</v>
      </c>
      <c r="C319" s="1" t="s">
        <v>74</v>
      </c>
      <c r="D319" s="1" t="s">
        <v>74</v>
      </c>
      <c r="E319" s="1" t="s">
        <v>74</v>
      </c>
      <c r="F319" s="1" t="s">
        <v>3284</v>
      </c>
      <c r="G319" s="1" t="s">
        <v>74</v>
      </c>
      <c r="H319" s="1" t="s">
        <v>74</v>
      </c>
      <c r="I319" s="1" t="s">
        <v>3285</v>
      </c>
      <c r="J319" s="1" t="s">
        <v>2315</v>
      </c>
      <c r="K319" s="1" t="s">
        <v>74</v>
      </c>
      <c r="L319" s="1" t="s">
        <v>74</v>
      </c>
      <c r="M319" s="1" t="s">
        <v>74</v>
      </c>
      <c r="N319" s="1" t="s">
        <v>74</v>
      </c>
      <c r="O319" s="1" t="s">
        <v>74</v>
      </c>
      <c r="P319" s="1" t="s">
        <v>74</v>
      </c>
      <c r="Q319" s="1" t="s">
        <v>74</v>
      </c>
      <c r="R319" s="1" t="s">
        <v>74</v>
      </c>
      <c r="S319" s="1" t="s">
        <v>74</v>
      </c>
      <c r="T319" s="1" t="s">
        <v>74</v>
      </c>
      <c r="U319" s="1" t="s">
        <v>74</v>
      </c>
      <c r="V319" s="1" t="s">
        <v>3286</v>
      </c>
      <c r="W319" s="1" t="s">
        <v>74</v>
      </c>
      <c r="X319" s="1" t="s">
        <v>74</v>
      </c>
      <c r="Y319" s="1" t="s">
        <v>74</v>
      </c>
      <c r="Z319" s="1" t="s">
        <v>74</v>
      </c>
      <c r="AA319" s="1" t="s">
        <v>3287</v>
      </c>
      <c r="AB319" s="1" t="s">
        <v>3288</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2319</v>
      </c>
      <c r="AP319" s="1" t="s">
        <v>3289</v>
      </c>
      <c r="AQ319" s="1" t="s">
        <v>74</v>
      </c>
      <c r="AR319" s="1" t="s">
        <v>74</v>
      </c>
      <c r="AS319" s="1" t="s">
        <v>74</v>
      </c>
      <c r="AT319" s="1" t="s">
        <v>647</v>
      </c>
      <c r="AU319" s="1">
        <v>2017.0</v>
      </c>
      <c r="AV319" s="1">
        <v>30.0</v>
      </c>
      <c r="AW319" s="1">
        <v>8.0</v>
      </c>
      <c r="AX319" s="1" t="s">
        <v>74</v>
      </c>
      <c r="AY319" s="1" t="s">
        <v>74</v>
      </c>
      <c r="AZ319" s="1" t="s">
        <v>74</v>
      </c>
      <c r="BA319" s="1" t="s">
        <v>74</v>
      </c>
      <c r="BB319" s="1" t="s">
        <v>74</v>
      </c>
      <c r="BC319" s="1" t="s">
        <v>74</v>
      </c>
      <c r="BD319" s="1" t="s">
        <v>3290</v>
      </c>
      <c r="BE319" s="1" t="s">
        <v>3291</v>
      </c>
      <c r="BF319" s="2" t="str">
        <f>HYPERLINK("http://dx.doi.org/10.1002/poc.3666","http://dx.doi.org/10.1002/poc.3666")</f>
        <v>http://dx.doi.org/10.1002/poc.3666</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3292</v>
      </c>
      <c r="BT319" s="1" t="str">
        <f>HYPERLINK("https%3A%2F%2Fwww.webofscience.com%2Fwos%2Fwoscc%2Ffull-record%2FWOS:000406979900005","View Full Record in Web of Science")</f>
        <v>View Full Record in Web of Science</v>
      </c>
    </row>
    <row r="320" ht="12.75" customHeight="1">
      <c r="A320" s="1" t="s">
        <v>72</v>
      </c>
      <c r="B320" s="1" t="s">
        <v>3293</v>
      </c>
      <c r="C320" s="1" t="s">
        <v>74</v>
      </c>
      <c r="D320" s="1" t="s">
        <v>74</v>
      </c>
      <c r="E320" s="1" t="s">
        <v>74</v>
      </c>
      <c r="F320" s="1" t="s">
        <v>3294</v>
      </c>
      <c r="G320" s="1" t="s">
        <v>74</v>
      </c>
      <c r="H320" s="1" t="s">
        <v>74</v>
      </c>
      <c r="I320" s="1" t="s">
        <v>3295</v>
      </c>
      <c r="J320" s="1" t="s">
        <v>510</v>
      </c>
      <c r="K320" s="1" t="s">
        <v>74</v>
      </c>
      <c r="L320" s="1" t="s">
        <v>74</v>
      </c>
      <c r="M320" s="1" t="s">
        <v>74</v>
      </c>
      <c r="N320" s="1" t="s">
        <v>74</v>
      </c>
      <c r="O320" s="1" t="s">
        <v>74</v>
      </c>
      <c r="P320" s="1" t="s">
        <v>74</v>
      </c>
      <c r="Q320" s="1" t="s">
        <v>74</v>
      </c>
      <c r="R320" s="1" t="s">
        <v>74</v>
      </c>
      <c r="S320" s="1" t="s">
        <v>74</v>
      </c>
      <c r="T320" s="1" t="s">
        <v>74</v>
      </c>
      <c r="U320" s="1" t="s">
        <v>74</v>
      </c>
      <c r="V320" s="1" t="s">
        <v>3296</v>
      </c>
      <c r="W320" s="1" t="s">
        <v>74</v>
      </c>
      <c r="X320" s="1" t="s">
        <v>74</v>
      </c>
      <c r="Y320" s="1" t="s">
        <v>74</v>
      </c>
      <c r="Z320" s="1" t="s">
        <v>74</v>
      </c>
      <c r="AA320" s="1" t="s">
        <v>74</v>
      </c>
      <c r="AB320" s="1" t="s">
        <v>3297</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514</v>
      </c>
      <c r="AP320" s="1" t="s">
        <v>74</v>
      </c>
      <c r="AQ320" s="1" t="s">
        <v>74</v>
      </c>
      <c r="AR320" s="1" t="s">
        <v>74</v>
      </c>
      <c r="AS320" s="1" t="s">
        <v>74</v>
      </c>
      <c r="AT320" s="1" t="s">
        <v>3249</v>
      </c>
      <c r="AU320" s="1">
        <v>2017.0</v>
      </c>
      <c r="AV320" s="1">
        <v>12.0</v>
      </c>
      <c r="AW320" s="1">
        <v>8.0</v>
      </c>
      <c r="AX320" s="1" t="s">
        <v>74</v>
      </c>
      <c r="AY320" s="1" t="s">
        <v>74</v>
      </c>
      <c r="AZ320" s="1" t="s">
        <v>74</v>
      </c>
      <c r="BA320" s="1" t="s">
        <v>74</v>
      </c>
      <c r="BB320" s="1" t="s">
        <v>74</v>
      </c>
      <c r="BC320" s="1" t="s">
        <v>74</v>
      </c>
      <c r="BD320" s="1" t="s">
        <v>3298</v>
      </c>
      <c r="BE320" s="1" t="s">
        <v>3299</v>
      </c>
      <c r="BF320" s="2" t="str">
        <f>HYPERLINK("http://dx.doi.org/10.1371/journal.pone.0182105","http://dx.doi.org/10.1371/journal.pone.0182105")</f>
        <v>http://dx.doi.org/10.1371/journal.pone.0182105</v>
      </c>
      <c r="BG320" s="1" t="s">
        <v>74</v>
      </c>
      <c r="BH320" s="1" t="s">
        <v>74</v>
      </c>
      <c r="BI320" s="1" t="s">
        <v>74</v>
      </c>
      <c r="BJ320" s="1" t="s">
        <v>74</v>
      </c>
      <c r="BK320" s="1" t="s">
        <v>74</v>
      </c>
      <c r="BL320" s="1" t="s">
        <v>74</v>
      </c>
      <c r="BM320" s="1" t="s">
        <v>74</v>
      </c>
      <c r="BN320" s="1">
        <v>2.8763508E7</v>
      </c>
      <c r="BO320" s="1" t="s">
        <v>74</v>
      </c>
      <c r="BP320" s="1" t="s">
        <v>74</v>
      </c>
      <c r="BQ320" s="1" t="s">
        <v>74</v>
      </c>
      <c r="BR320" s="1" t="s">
        <v>74</v>
      </c>
      <c r="BS320" s="1" t="s">
        <v>3300</v>
      </c>
      <c r="BT320" s="1" t="str">
        <f>HYPERLINK("https%3A%2F%2Fwww.webofscience.com%2Fwos%2Fwoscc%2Ffull-record%2FWOS:000406766500043","View Full Record in Web of Science")</f>
        <v>View Full Record in Web of Science</v>
      </c>
    </row>
    <row r="321" ht="12.75" customHeight="1">
      <c r="A321" s="1" t="s">
        <v>72</v>
      </c>
      <c r="B321" s="1" t="s">
        <v>3301</v>
      </c>
      <c r="C321" s="1" t="s">
        <v>74</v>
      </c>
      <c r="D321" s="1" t="s">
        <v>74</v>
      </c>
      <c r="E321" s="1" t="s">
        <v>74</v>
      </c>
      <c r="F321" s="1" t="s">
        <v>3302</v>
      </c>
      <c r="G321" s="1" t="s">
        <v>74</v>
      </c>
      <c r="H321" s="1" t="s">
        <v>74</v>
      </c>
      <c r="I321" s="1" t="s">
        <v>3303</v>
      </c>
      <c r="J321" s="1" t="s">
        <v>3304</v>
      </c>
      <c r="K321" s="1" t="s">
        <v>74</v>
      </c>
      <c r="L321" s="1" t="s">
        <v>74</v>
      </c>
      <c r="M321" s="1" t="s">
        <v>74</v>
      </c>
      <c r="N321" s="1" t="s">
        <v>74</v>
      </c>
      <c r="O321" s="1" t="s">
        <v>74</v>
      </c>
      <c r="P321" s="1" t="s">
        <v>74</v>
      </c>
      <c r="Q321" s="1" t="s">
        <v>74</v>
      </c>
      <c r="R321" s="1" t="s">
        <v>74</v>
      </c>
      <c r="S321" s="1" t="s">
        <v>74</v>
      </c>
      <c r="T321" s="1" t="s">
        <v>74</v>
      </c>
      <c r="U321" s="1" t="s">
        <v>74</v>
      </c>
      <c r="V321" s="1" t="s">
        <v>3305</v>
      </c>
      <c r="W321" s="1" t="s">
        <v>74</v>
      </c>
      <c r="X321" s="1" t="s">
        <v>74</v>
      </c>
      <c r="Y321" s="1" t="s">
        <v>74</v>
      </c>
      <c r="Z321" s="1" t="s">
        <v>74</v>
      </c>
      <c r="AA321" s="1" t="s">
        <v>3306</v>
      </c>
      <c r="AB321" s="1" t="s">
        <v>74</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3307</v>
      </c>
      <c r="AP321" s="1" t="s">
        <v>74</v>
      </c>
      <c r="AQ321" s="1" t="s">
        <v>74</v>
      </c>
      <c r="AR321" s="1" t="s">
        <v>74</v>
      </c>
      <c r="AS321" s="1" t="s">
        <v>74</v>
      </c>
      <c r="AT321" s="1" t="s">
        <v>74</v>
      </c>
      <c r="AU321" s="1">
        <v>2016.0</v>
      </c>
      <c r="AV321" s="1">
        <v>25.0</v>
      </c>
      <c r="AW321" s="1">
        <v>1.0</v>
      </c>
      <c r="AX321" s="1" t="s">
        <v>74</v>
      </c>
      <c r="AY321" s="1" t="s">
        <v>74</v>
      </c>
      <c r="AZ321" s="1" t="s">
        <v>74</v>
      </c>
      <c r="BA321" s="1" t="s">
        <v>74</v>
      </c>
      <c r="BB321" s="1">
        <v>119.0</v>
      </c>
      <c r="BC321" s="1">
        <v>163.0</v>
      </c>
      <c r="BD321" s="1" t="s">
        <v>74</v>
      </c>
      <c r="BE321" s="1" t="s">
        <v>74</v>
      </c>
      <c r="BF321" s="1" t="s">
        <v>74</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3308</v>
      </c>
      <c r="BT321" s="1" t="str">
        <f>HYPERLINK("https%3A%2F%2Fwww.webofscience.com%2Fwos%2Fwoscc%2Ffull-record%2FWOS:000368380500004","View Full Record in Web of Science")</f>
        <v>View Full Record in Web of Science</v>
      </c>
    </row>
    <row r="322" ht="12.75" customHeight="1">
      <c r="A322" s="1" t="s">
        <v>346</v>
      </c>
      <c r="B322" s="1" t="s">
        <v>3309</v>
      </c>
      <c r="C322" s="1" t="s">
        <v>74</v>
      </c>
      <c r="D322" s="1" t="s">
        <v>3310</v>
      </c>
      <c r="E322" s="1" t="s">
        <v>74</v>
      </c>
      <c r="F322" s="1" t="s">
        <v>3311</v>
      </c>
      <c r="G322" s="1" t="s">
        <v>74</v>
      </c>
      <c r="H322" s="1" t="s">
        <v>74</v>
      </c>
      <c r="I322" s="1" t="s">
        <v>3312</v>
      </c>
      <c r="J322" s="1" t="s">
        <v>3313</v>
      </c>
      <c r="K322" s="1" t="s">
        <v>3314</v>
      </c>
      <c r="L322" s="1" t="s">
        <v>74</v>
      </c>
      <c r="M322" s="1" t="s">
        <v>74</v>
      </c>
      <c r="N322" s="1" t="s">
        <v>74</v>
      </c>
      <c r="O322" s="1" t="s">
        <v>3315</v>
      </c>
      <c r="P322" s="1" t="s">
        <v>3316</v>
      </c>
      <c r="Q322" s="1" t="s">
        <v>3317</v>
      </c>
      <c r="R322" s="1" t="s">
        <v>3318</v>
      </c>
      <c r="S322" s="1" t="s">
        <v>74</v>
      </c>
      <c r="T322" s="1" t="s">
        <v>74</v>
      </c>
      <c r="U322" s="1" t="s">
        <v>74</v>
      </c>
      <c r="V322" s="1" t="s">
        <v>3319</v>
      </c>
      <c r="W322" s="1" t="s">
        <v>74</v>
      </c>
      <c r="X322" s="1" t="s">
        <v>74</v>
      </c>
      <c r="Y322" s="1" t="s">
        <v>74</v>
      </c>
      <c r="Z322" s="1" t="s">
        <v>74</v>
      </c>
      <c r="AA322" s="1" t="s">
        <v>3320</v>
      </c>
      <c r="AB322" s="1" t="s">
        <v>3321</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3322</v>
      </c>
      <c r="AP322" s="1" t="s">
        <v>74</v>
      </c>
      <c r="AQ322" s="1" t="s">
        <v>3323</v>
      </c>
      <c r="AR322" s="1" t="s">
        <v>74</v>
      </c>
      <c r="AS322" s="1" t="s">
        <v>74</v>
      </c>
      <c r="AT322" s="1" t="s">
        <v>74</v>
      </c>
      <c r="AU322" s="1">
        <v>2016.0</v>
      </c>
      <c r="AV322" s="1" t="s">
        <v>74</v>
      </c>
      <c r="AW322" s="1" t="s">
        <v>74</v>
      </c>
      <c r="AX322" s="1" t="s">
        <v>74</v>
      </c>
      <c r="AY322" s="1" t="s">
        <v>74</v>
      </c>
      <c r="AZ322" s="1" t="s">
        <v>74</v>
      </c>
      <c r="BA322" s="1" t="s">
        <v>74</v>
      </c>
      <c r="BB322" s="1">
        <v>403.0</v>
      </c>
      <c r="BC322" s="1">
        <v>407.0</v>
      </c>
      <c r="BD322" s="1" t="s">
        <v>74</v>
      </c>
      <c r="BE322" s="1" t="s">
        <v>74</v>
      </c>
      <c r="BF322" s="1" t="s">
        <v>74</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3324</v>
      </c>
      <c r="BT322" s="1" t="str">
        <f>HYPERLINK("https%3A%2F%2Fwww.webofscience.com%2Fwos%2Fwoscc%2Ffull-record%2FWOS:000381810900060","View Full Record in Web of Science")</f>
        <v>View Full Record in Web of Science</v>
      </c>
    </row>
    <row r="323" ht="12.75" customHeight="1">
      <c r="A323" s="1" t="s">
        <v>72</v>
      </c>
      <c r="B323" s="1" t="s">
        <v>3325</v>
      </c>
      <c r="C323" s="1" t="s">
        <v>74</v>
      </c>
      <c r="D323" s="1" t="s">
        <v>74</v>
      </c>
      <c r="E323" s="1" t="s">
        <v>74</v>
      </c>
      <c r="F323" s="1" t="s">
        <v>3326</v>
      </c>
      <c r="G323" s="1" t="s">
        <v>74</v>
      </c>
      <c r="H323" s="1" t="s">
        <v>74</v>
      </c>
      <c r="I323" s="1" t="s">
        <v>3327</v>
      </c>
      <c r="J323" s="1" t="s">
        <v>1868</v>
      </c>
      <c r="K323" s="1" t="s">
        <v>74</v>
      </c>
      <c r="L323" s="1" t="s">
        <v>74</v>
      </c>
      <c r="M323" s="1" t="s">
        <v>74</v>
      </c>
      <c r="N323" s="1" t="s">
        <v>74</v>
      </c>
      <c r="O323" s="1" t="s">
        <v>74</v>
      </c>
      <c r="P323" s="1" t="s">
        <v>74</v>
      </c>
      <c r="Q323" s="1" t="s">
        <v>74</v>
      </c>
      <c r="R323" s="1" t="s">
        <v>74</v>
      </c>
      <c r="S323" s="1" t="s">
        <v>74</v>
      </c>
      <c r="T323" s="1" t="s">
        <v>74</v>
      </c>
      <c r="U323" s="1" t="s">
        <v>74</v>
      </c>
      <c r="V323" s="1" t="s">
        <v>3328</v>
      </c>
      <c r="W323" s="1" t="s">
        <v>74</v>
      </c>
      <c r="X323" s="1" t="s">
        <v>74</v>
      </c>
      <c r="Y323" s="1" t="s">
        <v>74</v>
      </c>
      <c r="Z323" s="1" t="s">
        <v>74</v>
      </c>
      <c r="AA323" s="1" t="s">
        <v>3329</v>
      </c>
      <c r="AB323" s="1" t="s">
        <v>1871</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1872</v>
      </c>
      <c r="AP323" s="1" t="s">
        <v>74</v>
      </c>
      <c r="AQ323" s="1" t="s">
        <v>74</v>
      </c>
      <c r="AR323" s="1" t="s">
        <v>74</v>
      </c>
      <c r="AS323" s="1" t="s">
        <v>74</v>
      </c>
      <c r="AT323" s="1" t="s">
        <v>461</v>
      </c>
      <c r="AU323" s="1">
        <v>2014.0</v>
      </c>
      <c r="AV323" s="1">
        <v>148.0</v>
      </c>
      <c r="AW323" s="1">
        <v>3.0</v>
      </c>
      <c r="AX323" s="1" t="s">
        <v>74</v>
      </c>
      <c r="AY323" s="1" t="s">
        <v>74</v>
      </c>
      <c r="AZ323" s="1" t="s">
        <v>74</v>
      </c>
      <c r="BA323" s="1" t="s">
        <v>74</v>
      </c>
      <c r="BB323" s="1">
        <v>285.0</v>
      </c>
      <c r="BC323" s="1">
        <v>294.0</v>
      </c>
      <c r="BD323" s="1" t="s">
        <v>74</v>
      </c>
      <c r="BE323" s="1" t="s">
        <v>3330</v>
      </c>
      <c r="BF323" s="2" t="str">
        <f>HYPERLINK("http://dx.doi.org/10.1530/REP-14-0128","http://dx.doi.org/10.1530/REP-14-0128")</f>
        <v>http://dx.doi.org/10.1530/REP-14-0128</v>
      </c>
      <c r="BG323" s="1" t="s">
        <v>74</v>
      </c>
      <c r="BH323" s="1" t="s">
        <v>74</v>
      </c>
      <c r="BI323" s="1" t="s">
        <v>74</v>
      </c>
      <c r="BJ323" s="1" t="s">
        <v>74</v>
      </c>
      <c r="BK323" s="1" t="s">
        <v>74</v>
      </c>
      <c r="BL323" s="1" t="s">
        <v>74</v>
      </c>
      <c r="BM323" s="1" t="s">
        <v>74</v>
      </c>
      <c r="BN323" s="1">
        <v>2.5038866E7</v>
      </c>
      <c r="BO323" s="1" t="s">
        <v>74</v>
      </c>
      <c r="BP323" s="1" t="s">
        <v>74</v>
      </c>
      <c r="BQ323" s="1" t="s">
        <v>74</v>
      </c>
      <c r="BR323" s="1" t="s">
        <v>74</v>
      </c>
      <c r="BS323" s="1" t="s">
        <v>3331</v>
      </c>
      <c r="BT323" s="1" t="str">
        <f>HYPERLINK("https%3A%2F%2Fwww.webofscience.com%2Fwos%2Fwoscc%2Ffull-record%2FWOS:000343330900005","View Full Record in Web of Science")</f>
        <v>View Full Record in Web of Science</v>
      </c>
    </row>
    <row r="324" ht="12.75" customHeight="1">
      <c r="A324" s="1" t="s">
        <v>72</v>
      </c>
      <c r="B324" s="1" t="s">
        <v>3332</v>
      </c>
      <c r="C324" s="1" t="s">
        <v>74</v>
      </c>
      <c r="D324" s="1" t="s">
        <v>74</v>
      </c>
      <c r="E324" s="1" t="s">
        <v>74</v>
      </c>
      <c r="F324" s="1" t="s">
        <v>3333</v>
      </c>
      <c r="G324" s="1" t="s">
        <v>74</v>
      </c>
      <c r="H324" s="1" t="s">
        <v>74</v>
      </c>
      <c r="I324" s="1" t="s">
        <v>3334</v>
      </c>
      <c r="J324" s="1" t="s">
        <v>3335</v>
      </c>
      <c r="K324" s="1" t="s">
        <v>74</v>
      </c>
      <c r="L324" s="1" t="s">
        <v>74</v>
      </c>
      <c r="M324" s="1" t="s">
        <v>74</v>
      </c>
      <c r="N324" s="1" t="s">
        <v>74</v>
      </c>
      <c r="O324" s="1" t="s">
        <v>74</v>
      </c>
      <c r="P324" s="1" t="s">
        <v>74</v>
      </c>
      <c r="Q324" s="1" t="s">
        <v>74</v>
      </c>
      <c r="R324" s="1" t="s">
        <v>74</v>
      </c>
      <c r="S324" s="1" t="s">
        <v>74</v>
      </c>
      <c r="T324" s="1" t="s">
        <v>74</v>
      </c>
      <c r="U324" s="1" t="s">
        <v>74</v>
      </c>
      <c r="V324" s="1" t="s">
        <v>3336</v>
      </c>
      <c r="W324" s="1" t="s">
        <v>74</v>
      </c>
      <c r="X324" s="1" t="s">
        <v>74</v>
      </c>
      <c r="Y324" s="1" t="s">
        <v>74</v>
      </c>
      <c r="Z324" s="1" t="s">
        <v>74</v>
      </c>
      <c r="AA324" s="1" t="s">
        <v>1986</v>
      </c>
      <c r="AB324" s="1" t="s">
        <v>3337</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3338</v>
      </c>
      <c r="AP324" s="1" t="s">
        <v>3339</v>
      </c>
      <c r="AQ324" s="1" t="s">
        <v>74</v>
      </c>
      <c r="AR324" s="1" t="s">
        <v>74</v>
      </c>
      <c r="AS324" s="1" t="s">
        <v>74</v>
      </c>
      <c r="AT324" s="1" t="s">
        <v>3340</v>
      </c>
      <c r="AU324" s="1">
        <v>2011.0</v>
      </c>
      <c r="AV324" s="1">
        <v>86.0</v>
      </c>
      <c r="AW324" s="1" t="s">
        <v>3341</v>
      </c>
      <c r="AX324" s="1" t="s">
        <v>74</v>
      </c>
      <c r="AY324" s="1" t="s">
        <v>74</v>
      </c>
      <c r="AZ324" s="1" t="s">
        <v>74</v>
      </c>
      <c r="BA324" s="1" t="s">
        <v>74</v>
      </c>
      <c r="BB324" s="1">
        <v>454.0</v>
      </c>
      <c r="BC324" s="1">
        <v>459.0</v>
      </c>
      <c r="BD324" s="1" t="s">
        <v>74</v>
      </c>
      <c r="BE324" s="1" t="s">
        <v>3342</v>
      </c>
      <c r="BF324" s="2" t="str">
        <f>HYPERLINK("http://dx.doi.org/10.1016/j.brainresbull.2011.08.008","http://dx.doi.org/10.1016/j.brainresbull.2011.08.008")</f>
        <v>http://dx.doi.org/10.1016/j.brainresbull.2011.08.008</v>
      </c>
      <c r="BG324" s="1" t="s">
        <v>74</v>
      </c>
      <c r="BH324" s="1" t="s">
        <v>74</v>
      </c>
      <c r="BI324" s="1" t="s">
        <v>74</v>
      </c>
      <c r="BJ324" s="1" t="s">
        <v>74</v>
      </c>
      <c r="BK324" s="1" t="s">
        <v>74</v>
      </c>
      <c r="BL324" s="1" t="s">
        <v>74</v>
      </c>
      <c r="BM324" s="1" t="s">
        <v>74</v>
      </c>
      <c r="BN324" s="1">
        <v>2.1864655E7</v>
      </c>
      <c r="BO324" s="1" t="s">
        <v>74</v>
      </c>
      <c r="BP324" s="1" t="s">
        <v>74</v>
      </c>
      <c r="BQ324" s="1" t="s">
        <v>74</v>
      </c>
      <c r="BR324" s="1" t="s">
        <v>74</v>
      </c>
      <c r="BS324" s="1" t="s">
        <v>3343</v>
      </c>
      <c r="BT324" s="1" t="str">
        <f>HYPERLINK("https%3A%2F%2Fwww.webofscience.com%2Fwos%2Fwoscc%2Ffull-record%2FWOS:000298711300024","View Full Record in Web of Science")</f>
        <v>View Full Record in Web of Science</v>
      </c>
    </row>
    <row r="325" ht="12.75" customHeight="1">
      <c r="A325" s="1" t="s">
        <v>72</v>
      </c>
      <c r="B325" s="1" t="s">
        <v>3344</v>
      </c>
      <c r="C325" s="1" t="s">
        <v>74</v>
      </c>
      <c r="D325" s="1" t="s">
        <v>74</v>
      </c>
      <c r="E325" s="1" t="s">
        <v>74</v>
      </c>
      <c r="F325" s="1" t="s">
        <v>3345</v>
      </c>
      <c r="G325" s="1" t="s">
        <v>74</v>
      </c>
      <c r="H325" s="1" t="s">
        <v>74</v>
      </c>
      <c r="I325" s="1" t="s">
        <v>3346</v>
      </c>
      <c r="J325" s="1" t="s">
        <v>3347</v>
      </c>
      <c r="K325" s="1" t="s">
        <v>74</v>
      </c>
      <c r="L325" s="1" t="s">
        <v>74</v>
      </c>
      <c r="M325" s="1" t="s">
        <v>74</v>
      </c>
      <c r="N325" s="1" t="s">
        <v>74</v>
      </c>
      <c r="O325" s="1" t="s">
        <v>74</v>
      </c>
      <c r="P325" s="1" t="s">
        <v>74</v>
      </c>
      <c r="Q325" s="1" t="s">
        <v>74</v>
      </c>
      <c r="R325" s="1" t="s">
        <v>74</v>
      </c>
      <c r="S325" s="1" t="s">
        <v>74</v>
      </c>
      <c r="T325" s="1" t="s">
        <v>74</v>
      </c>
      <c r="U325" s="1" t="s">
        <v>74</v>
      </c>
      <c r="V325" s="1" t="s">
        <v>3348</v>
      </c>
      <c r="W325" s="1" t="s">
        <v>74</v>
      </c>
      <c r="X325" s="1" t="s">
        <v>74</v>
      </c>
      <c r="Y325" s="1" t="s">
        <v>74</v>
      </c>
      <c r="Z325" s="1" t="s">
        <v>74</v>
      </c>
      <c r="AA325" s="1" t="s">
        <v>3349</v>
      </c>
      <c r="AB325" s="1" t="s">
        <v>3350</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3351</v>
      </c>
      <c r="AP325" s="1" t="s">
        <v>3352</v>
      </c>
      <c r="AQ325" s="1" t="s">
        <v>74</v>
      </c>
      <c r="AR325" s="1" t="s">
        <v>74</v>
      </c>
      <c r="AS325" s="1" t="s">
        <v>74</v>
      </c>
      <c r="AT325" s="1" t="s">
        <v>554</v>
      </c>
      <c r="AU325" s="1">
        <v>2011.0</v>
      </c>
      <c r="AV325" s="1">
        <v>12.0</v>
      </c>
      <c r="AW325" s="1">
        <v>5.0</v>
      </c>
      <c r="AX325" s="1" t="s">
        <v>74</v>
      </c>
      <c r="AY325" s="1" t="s">
        <v>74</v>
      </c>
      <c r="AZ325" s="1" t="s">
        <v>74</v>
      </c>
      <c r="BA325" s="1" t="s">
        <v>74</v>
      </c>
      <c r="BB325" s="1">
        <v>437.0</v>
      </c>
      <c r="BC325" s="1">
        <v>447.0</v>
      </c>
      <c r="BD325" s="1" t="s">
        <v>74</v>
      </c>
      <c r="BE325" s="1" t="s">
        <v>3353</v>
      </c>
      <c r="BF325" s="2" t="str">
        <f>HYPERLINK("http://dx.doi.org/10.1111/j.1364-3703.2010.00685.x","http://dx.doi.org/10.1111/j.1364-3703.2010.00685.x")</f>
        <v>http://dx.doi.org/10.1111/j.1364-3703.2010.00685.x</v>
      </c>
      <c r="BG325" s="1" t="s">
        <v>74</v>
      </c>
      <c r="BH325" s="1" t="s">
        <v>74</v>
      </c>
      <c r="BI325" s="1" t="s">
        <v>74</v>
      </c>
      <c r="BJ325" s="1" t="s">
        <v>74</v>
      </c>
      <c r="BK325" s="1" t="s">
        <v>74</v>
      </c>
      <c r="BL325" s="1" t="s">
        <v>74</v>
      </c>
      <c r="BM325" s="1" t="s">
        <v>74</v>
      </c>
      <c r="BN325" s="1">
        <v>2.153535E7</v>
      </c>
      <c r="BO325" s="1" t="s">
        <v>74</v>
      </c>
      <c r="BP325" s="1" t="s">
        <v>74</v>
      </c>
      <c r="BQ325" s="1" t="s">
        <v>74</v>
      </c>
      <c r="BR325" s="1" t="s">
        <v>74</v>
      </c>
      <c r="BS325" s="1" t="s">
        <v>3354</v>
      </c>
      <c r="BT325" s="1" t="str">
        <f>HYPERLINK("https%3A%2F%2Fwww.webofscience.com%2Fwos%2Fwoscc%2Ffull-record%2FWOS:000290169900003","View Full Record in Web of Science")</f>
        <v>View Full Record in Web of Science</v>
      </c>
    </row>
    <row r="326" ht="12.75" customHeight="1">
      <c r="A326" s="1" t="s">
        <v>72</v>
      </c>
      <c r="B326" s="1" t="s">
        <v>3355</v>
      </c>
      <c r="C326" s="1" t="s">
        <v>74</v>
      </c>
      <c r="D326" s="1" t="s">
        <v>74</v>
      </c>
      <c r="E326" s="1" t="s">
        <v>74</v>
      </c>
      <c r="F326" s="1" t="s">
        <v>3356</v>
      </c>
      <c r="G326" s="1" t="s">
        <v>74</v>
      </c>
      <c r="H326" s="1" t="s">
        <v>74</v>
      </c>
      <c r="I326" s="1" t="s">
        <v>3357</v>
      </c>
      <c r="J326" s="1" t="s">
        <v>3358</v>
      </c>
      <c r="K326" s="1" t="s">
        <v>74</v>
      </c>
      <c r="L326" s="1" t="s">
        <v>74</v>
      </c>
      <c r="M326" s="1" t="s">
        <v>74</v>
      </c>
      <c r="N326" s="1" t="s">
        <v>74</v>
      </c>
      <c r="O326" s="1" t="s">
        <v>74</v>
      </c>
      <c r="P326" s="1" t="s">
        <v>74</v>
      </c>
      <c r="Q326" s="1" t="s">
        <v>74</v>
      </c>
      <c r="R326" s="1" t="s">
        <v>74</v>
      </c>
      <c r="S326" s="1" t="s">
        <v>74</v>
      </c>
      <c r="T326" s="1" t="s">
        <v>74</v>
      </c>
      <c r="U326" s="1" t="s">
        <v>74</v>
      </c>
      <c r="V326" s="1" t="s">
        <v>74</v>
      </c>
      <c r="W326" s="1" t="s">
        <v>74</v>
      </c>
      <c r="X326" s="1" t="s">
        <v>74</v>
      </c>
      <c r="Y326" s="1" t="s">
        <v>74</v>
      </c>
      <c r="Z326" s="1" t="s">
        <v>74</v>
      </c>
      <c r="AA326" s="1" t="s">
        <v>74</v>
      </c>
      <c r="AB326" s="1" t="s">
        <v>74</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3359</v>
      </c>
      <c r="AP326" s="1" t="s">
        <v>74</v>
      </c>
      <c r="AQ326" s="1" t="s">
        <v>74</v>
      </c>
      <c r="AR326" s="1" t="s">
        <v>74</v>
      </c>
      <c r="AS326" s="1" t="s">
        <v>74</v>
      </c>
      <c r="AT326" s="1" t="s">
        <v>2348</v>
      </c>
      <c r="AU326" s="1">
        <v>2011.0</v>
      </c>
      <c r="AV326" s="1">
        <v>7.0</v>
      </c>
      <c r="AW326" s="1">
        <v>2.0</v>
      </c>
      <c r="AX326" s="1" t="s">
        <v>74</v>
      </c>
      <c r="AY326" s="1" t="s">
        <v>74</v>
      </c>
      <c r="AZ326" s="1" t="s">
        <v>74</v>
      </c>
      <c r="BA326" s="1" t="s">
        <v>74</v>
      </c>
      <c r="BB326" s="1">
        <v>255.0</v>
      </c>
      <c r="BC326" s="1">
        <v>258.0</v>
      </c>
      <c r="BD326" s="1" t="s">
        <v>74</v>
      </c>
      <c r="BE326" s="1" t="s">
        <v>74</v>
      </c>
      <c r="BF326" s="1" t="s">
        <v>74</v>
      </c>
      <c r="BG326" s="1" t="s">
        <v>74</v>
      </c>
      <c r="BH326" s="1" t="s">
        <v>74</v>
      </c>
      <c r="BI326" s="1" t="s">
        <v>74</v>
      </c>
      <c r="BJ326" s="1" t="s">
        <v>74</v>
      </c>
      <c r="BK326" s="1" t="s">
        <v>74</v>
      </c>
      <c r="BL326" s="1" t="s">
        <v>74</v>
      </c>
      <c r="BM326" s="1" t="s">
        <v>74</v>
      </c>
      <c r="BN326" s="1" t="s">
        <v>74</v>
      </c>
      <c r="BO326" s="1" t="s">
        <v>74</v>
      </c>
      <c r="BP326" s="1" t="s">
        <v>74</v>
      </c>
      <c r="BQ326" s="1" t="s">
        <v>74</v>
      </c>
      <c r="BR326" s="1" t="s">
        <v>74</v>
      </c>
      <c r="BS326" s="1" t="s">
        <v>3360</v>
      </c>
      <c r="BT326" s="1" t="str">
        <f>HYPERLINK("https%3A%2F%2Fwww.webofscience.com%2Fwos%2Fwoscc%2Ffull-record%2FWOS:000295204700015","View Full Record in Web of Science")</f>
        <v>View Full Record in Web of Science</v>
      </c>
    </row>
    <row r="327" ht="12.75" customHeight="1">
      <c r="A327" s="1" t="s">
        <v>72</v>
      </c>
      <c r="B327" s="1" t="s">
        <v>3361</v>
      </c>
      <c r="C327" s="1" t="s">
        <v>74</v>
      </c>
      <c r="D327" s="1" t="s">
        <v>74</v>
      </c>
      <c r="E327" s="1" t="s">
        <v>74</v>
      </c>
      <c r="F327" s="1" t="s">
        <v>3362</v>
      </c>
      <c r="G327" s="1" t="s">
        <v>74</v>
      </c>
      <c r="H327" s="1" t="s">
        <v>74</v>
      </c>
      <c r="I327" s="1" t="s">
        <v>3363</v>
      </c>
      <c r="J327" s="1" t="s">
        <v>3364</v>
      </c>
      <c r="K327" s="1" t="s">
        <v>74</v>
      </c>
      <c r="L327" s="1" t="s">
        <v>74</v>
      </c>
      <c r="M327" s="1" t="s">
        <v>74</v>
      </c>
      <c r="N327" s="1" t="s">
        <v>74</v>
      </c>
      <c r="O327" s="1" t="s">
        <v>74</v>
      </c>
      <c r="P327" s="1" t="s">
        <v>74</v>
      </c>
      <c r="Q327" s="1" t="s">
        <v>74</v>
      </c>
      <c r="R327" s="1" t="s">
        <v>74</v>
      </c>
      <c r="S327" s="1" t="s">
        <v>74</v>
      </c>
      <c r="T327" s="1" t="s">
        <v>74</v>
      </c>
      <c r="U327" s="1" t="s">
        <v>74</v>
      </c>
      <c r="V327" s="1" t="s">
        <v>3365</v>
      </c>
      <c r="W327" s="1" t="s">
        <v>74</v>
      </c>
      <c r="X327" s="1" t="s">
        <v>74</v>
      </c>
      <c r="Y327" s="1" t="s">
        <v>74</v>
      </c>
      <c r="Z327" s="1" t="s">
        <v>74</v>
      </c>
      <c r="AA327" s="1" t="s">
        <v>3366</v>
      </c>
      <c r="AB327" s="1" t="s">
        <v>3367</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3368</v>
      </c>
      <c r="AP327" s="1" t="s">
        <v>74</v>
      </c>
      <c r="AQ327" s="1" t="s">
        <v>74</v>
      </c>
      <c r="AR327" s="1" t="s">
        <v>74</v>
      </c>
      <c r="AS327" s="1" t="s">
        <v>74</v>
      </c>
      <c r="AT327" s="1" t="s">
        <v>1307</v>
      </c>
      <c r="AU327" s="1">
        <v>2010.0</v>
      </c>
      <c r="AV327" s="1">
        <v>42.0</v>
      </c>
      <c r="AW327" s="1">
        <v>3.0</v>
      </c>
      <c r="AX327" s="1" t="s">
        <v>74</v>
      </c>
      <c r="AY327" s="1" t="s">
        <v>74</v>
      </c>
      <c r="AZ327" s="1" t="s">
        <v>74</v>
      </c>
      <c r="BA327" s="1" t="s">
        <v>74</v>
      </c>
      <c r="BB327" s="1">
        <v>226.0</v>
      </c>
      <c r="BC327" s="1">
        <v>229.0</v>
      </c>
      <c r="BD327" s="1" t="s">
        <v>74</v>
      </c>
      <c r="BE327" s="1" t="s">
        <v>74</v>
      </c>
      <c r="BF327" s="1" t="s">
        <v>74</v>
      </c>
      <c r="BG327" s="1" t="s">
        <v>74</v>
      </c>
      <c r="BH327" s="1" t="s">
        <v>74</v>
      </c>
      <c r="BI327" s="1" t="s">
        <v>74</v>
      </c>
      <c r="BJ327" s="1" t="s">
        <v>74</v>
      </c>
      <c r="BK327" s="1" t="s">
        <v>74</v>
      </c>
      <c r="BL327" s="1" t="s">
        <v>74</v>
      </c>
      <c r="BM327" s="1" t="s">
        <v>74</v>
      </c>
      <c r="BN327" s="1">
        <v>2.1180394E7</v>
      </c>
      <c r="BO327" s="1" t="s">
        <v>74</v>
      </c>
      <c r="BP327" s="1" t="s">
        <v>74</v>
      </c>
      <c r="BQ327" s="1" t="s">
        <v>74</v>
      </c>
      <c r="BR327" s="1" t="s">
        <v>74</v>
      </c>
      <c r="BS327" s="1" t="s">
        <v>3369</v>
      </c>
      <c r="BT327" s="1" t="str">
        <f>HYPERLINK("https%3A%2F%2Fwww.webofscience.com%2Fwos%2Fwoscc%2Ffull-record%2FWOS:000282164900015","View Full Record in Web of Science")</f>
        <v>View Full Record in Web of Science</v>
      </c>
    </row>
    <row r="328" ht="12.75" customHeight="1">
      <c r="A328" s="1" t="s">
        <v>72</v>
      </c>
      <c r="B328" s="1" t="s">
        <v>3370</v>
      </c>
      <c r="C328" s="1" t="s">
        <v>74</v>
      </c>
      <c r="D328" s="1" t="s">
        <v>74</v>
      </c>
      <c r="E328" s="1" t="s">
        <v>74</v>
      </c>
      <c r="F328" s="1" t="s">
        <v>3371</v>
      </c>
      <c r="G328" s="1" t="s">
        <v>74</v>
      </c>
      <c r="H328" s="1" t="s">
        <v>74</v>
      </c>
      <c r="I328" s="1" t="s">
        <v>3372</v>
      </c>
      <c r="J328" s="1" t="s">
        <v>3373</v>
      </c>
      <c r="K328" s="1" t="s">
        <v>74</v>
      </c>
      <c r="L328" s="1" t="s">
        <v>74</v>
      </c>
      <c r="M328" s="1" t="s">
        <v>74</v>
      </c>
      <c r="N328" s="1" t="s">
        <v>74</v>
      </c>
      <c r="O328" s="1" t="s">
        <v>74</v>
      </c>
      <c r="P328" s="1" t="s">
        <v>74</v>
      </c>
      <c r="Q328" s="1" t="s">
        <v>74</v>
      </c>
      <c r="R328" s="1" t="s">
        <v>74</v>
      </c>
      <c r="S328" s="1" t="s">
        <v>74</v>
      </c>
      <c r="T328" s="1" t="s">
        <v>74</v>
      </c>
      <c r="U328" s="1" t="s">
        <v>74</v>
      </c>
      <c r="V328" s="1" t="s">
        <v>3374</v>
      </c>
      <c r="W328" s="1" t="s">
        <v>74</v>
      </c>
      <c r="X328" s="1" t="s">
        <v>74</v>
      </c>
      <c r="Y328" s="1" t="s">
        <v>74</v>
      </c>
      <c r="Z328" s="1" t="s">
        <v>74</v>
      </c>
      <c r="AA328" s="1" t="s">
        <v>3375</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3376</v>
      </c>
      <c r="AP328" s="1" t="s">
        <v>3377</v>
      </c>
      <c r="AQ328" s="1" t="s">
        <v>74</v>
      </c>
      <c r="AR328" s="1" t="s">
        <v>74</v>
      </c>
      <c r="AS328" s="1" t="s">
        <v>74</v>
      </c>
      <c r="AT328" s="1" t="s">
        <v>232</v>
      </c>
      <c r="AU328" s="1">
        <v>2009.0</v>
      </c>
      <c r="AV328" s="1">
        <v>52.0</v>
      </c>
      <c r="AW328" s="1" t="s">
        <v>3378</v>
      </c>
      <c r="AX328" s="1" t="s">
        <v>74</v>
      </c>
      <c r="AY328" s="1" t="s">
        <v>74</v>
      </c>
      <c r="AZ328" s="1" t="s">
        <v>74</v>
      </c>
      <c r="BA328" s="1" t="s">
        <v>74</v>
      </c>
      <c r="BB328" s="1">
        <v>4938.0</v>
      </c>
      <c r="BC328" s="1">
        <v>4945.0</v>
      </c>
      <c r="BD328" s="1" t="s">
        <v>74</v>
      </c>
      <c r="BE328" s="1" t="s">
        <v>3379</v>
      </c>
      <c r="BF328" s="2" t="str">
        <f>HYPERLINK("http://dx.doi.org/10.1016/j.ijheatmasstransfer.2009.04.015","http://dx.doi.org/10.1016/j.ijheatmasstransfer.2009.04.015")</f>
        <v>http://dx.doi.org/10.1016/j.ijheatmasstransfer.2009.04.015</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3380</v>
      </c>
      <c r="BT328" s="1" t="str">
        <f>HYPERLINK("https%3A%2F%2Fwww.webofscience.com%2Fwos%2Fwoscc%2Ffull-record%2FWOS:000270164200030","View Full Record in Web of Science")</f>
        <v>View Full Record in Web of Science</v>
      </c>
    </row>
    <row r="329" ht="12.75" customHeight="1">
      <c r="A329" s="1" t="s">
        <v>72</v>
      </c>
      <c r="B329" s="1" t="s">
        <v>3381</v>
      </c>
      <c r="C329" s="1" t="s">
        <v>74</v>
      </c>
      <c r="D329" s="1" t="s">
        <v>74</v>
      </c>
      <c r="E329" s="1" t="s">
        <v>74</v>
      </c>
      <c r="F329" s="1" t="s">
        <v>3382</v>
      </c>
      <c r="G329" s="1" t="s">
        <v>74</v>
      </c>
      <c r="H329" s="1" t="s">
        <v>74</v>
      </c>
      <c r="I329" s="1" t="s">
        <v>3383</v>
      </c>
      <c r="J329" s="1" t="s">
        <v>3384</v>
      </c>
      <c r="K329" s="1" t="s">
        <v>74</v>
      </c>
      <c r="L329" s="1" t="s">
        <v>74</v>
      </c>
      <c r="M329" s="1" t="s">
        <v>74</v>
      </c>
      <c r="N329" s="1" t="s">
        <v>74</v>
      </c>
      <c r="O329" s="1" t="s">
        <v>74</v>
      </c>
      <c r="P329" s="1" t="s">
        <v>74</v>
      </c>
      <c r="Q329" s="1" t="s">
        <v>74</v>
      </c>
      <c r="R329" s="1" t="s">
        <v>74</v>
      </c>
      <c r="S329" s="1" t="s">
        <v>74</v>
      </c>
      <c r="T329" s="1" t="s">
        <v>74</v>
      </c>
      <c r="U329" s="1" t="s">
        <v>74</v>
      </c>
      <c r="V329" s="1" t="s">
        <v>3385</v>
      </c>
      <c r="W329" s="1" t="s">
        <v>74</v>
      </c>
      <c r="X329" s="1" t="s">
        <v>74</v>
      </c>
      <c r="Y329" s="1" t="s">
        <v>74</v>
      </c>
      <c r="Z329" s="1" t="s">
        <v>74</v>
      </c>
      <c r="AA329" s="1" t="s">
        <v>74</v>
      </c>
      <c r="AB329" s="1" t="s">
        <v>3386</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3387</v>
      </c>
      <c r="AP329" s="1" t="s">
        <v>3388</v>
      </c>
      <c r="AQ329" s="1" t="s">
        <v>74</v>
      </c>
      <c r="AR329" s="1" t="s">
        <v>74</v>
      </c>
      <c r="AS329" s="1" t="s">
        <v>74</v>
      </c>
      <c r="AT329" s="1" t="s">
        <v>461</v>
      </c>
      <c r="AU329" s="1">
        <v>2009.0</v>
      </c>
      <c r="AV329" s="1">
        <v>144.0</v>
      </c>
      <c r="AW329" s="1" t="s">
        <v>428</v>
      </c>
      <c r="AX329" s="1" t="s">
        <v>74</v>
      </c>
      <c r="AY329" s="1" t="s">
        <v>74</v>
      </c>
      <c r="AZ329" s="1" t="s">
        <v>74</v>
      </c>
      <c r="BA329" s="1" t="s">
        <v>74</v>
      </c>
      <c r="BB329" s="1">
        <v>344.0</v>
      </c>
      <c r="BC329" s="1">
        <v>349.0</v>
      </c>
      <c r="BD329" s="1" t="s">
        <v>74</v>
      </c>
      <c r="BE329" s="1" t="s">
        <v>3389</v>
      </c>
      <c r="BF329" s="2" t="str">
        <f>HYPERLINK("http://dx.doi.org/10.1016/j.virusres.2009.05.007","http://dx.doi.org/10.1016/j.virusres.2009.05.007")</f>
        <v>http://dx.doi.org/10.1016/j.virusres.2009.05.007</v>
      </c>
      <c r="BG329" s="1" t="s">
        <v>74</v>
      </c>
      <c r="BH329" s="1" t="s">
        <v>74</v>
      </c>
      <c r="BI329" s="1" t="s">
        <v>74</v>
      </c>
      <c r="BJ329" s="1" t="s">
        <v>74</v>
      </c>
      <c r="BK329" s="1" t="s">
        <v>74</v>
      </c>
      <c r="BL329" s="1" t="s">
        <v>74</v>
      </c>
      <c r="BM329" s="1" t="s">
        <v>74</v>
      </c>
      <c r="BN329" s="1">
        <v>1.9467274E7</v>
      </c>
      <c r="BO329" s="1" t="s">
        <v>74</v>
      </c>
      <c r="BP329" s="1" t="s">
        <v>74</v>
      </c>
      <c r="BQ329" s="1" t="s">
        <v>74</v>
      </c>
      <c r="BR329" s="1" t="s">
        <v>74</v>
      </c>
      <c r="BS329" s="1" t="s">
        <v>3390</v>
      </c>
      <c r="BT329" s="1" t="str">
        <f>HYPERLINK("https%3A%2F%2Fwww.webofscience.com%2Fwos%2Fwoscc%2Ffull-record%2FWOS:000270248000046","View Full Record in Web of Science")</f>
        <v>View Full Record in Web of Science</v>
      </c>
    </row>
    <row r="330" ht="12.75" customHeight="1">
      <c r="A330" s="1" t="s">
        <v>72</v>
      </c>
      <c r="B330" s="1" t="s">
        <v>3391</v>
      </c>
      <c r="C330" s="1" t="s">
        <v>74</v>
      </c>
      <c r="D330" s="1" t="s">
        <v>74</v>
      </c>
      <c r="E330" s="1" t="s">
        <v>74</v>
      </c>
      <c r="F330" s="1" t="s">
        <v>3392</v>
      </c>
      <c r="G330" s="1" t="s">
        <v>74</v>
      </c>
      <c r="H330" s="1" t="s">
        <v>74</v>
      </c>
      <c r="I330" s="1" t="s">
        <v>3393</v>
      </c>
      <c r="J330" s="1" t="s">
        <v>3394</v>
      </c>
      <c r="K330" s="1" t="s">
        <v>74</v>
      </c>
      <c r="L330" s="1" t="s">
        <v>74</v>
      </c>
      <c r="M330" s="1" t="s">
        <v>74</v>
      </c>
      <c r="N330" s="1" t="s">
        <v>74</v>
      </c>
      <c r="O330" s="1" t="s">
        <v>74</v>
      </c>
      <c r="P330" s="1" t="s">
        <v>74</v>
      </c>
      <c r="Q330" s="1" t="s">
        <v>74</v>
      </c>
      <c r="R330" s="1" t="s">
        <v>74</v>
      </c>
      <c r="S330" s="1" t="s">
        <v>74</v>
      </c>
      <c r="T330" s="1" t="s">
        <v>74</v>
      </c>
      <c r="U330" s="1" t="s">
        <v>74</v>
      </c>
      <c r="V330" s="1" t="s">
        <v>3395</v>
      </c>
      <c r="W330" s="1" t="s">
        <v>74</v>
      </c>
      <c r="X330" s="1" t="s">
        <v>74</v>
      </c>
      <c r="Y330" s="1" t="s">
        <v>74</v>
      </c>
      <c r="Z330" s="1" t="s">
        <v>74</v>
      </c>
      <c r="AA330" s="1" t="s">
        <v>3396</v>
      </c>
      <c r="AB330" s="1" t="s">
        <v>3397</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3398</v>
      </c>
      <c r="AP330" s="1" t="s">
        <v>3399</v>
      </c>
      <c r="AQ330" s="1" t="s">
        <v>74</v>
      </c>
      <c r="AR330" s="1" t="s">
        <v>74</v>
      </c>
      <c r="AS330" s="1" t="s">
        <v>74</v>
      </c>
      <c r="AT330" s="1" t="s">
        <v>1474</v>
      </c>
      <c r="AU330" s="1">
        <v>2008.0</v>
      </c>
      <c r="AV330" s="1">
        <v>84.0</v>
      </c>
      <c r="AW330" s="1">
        <v>4.0</v>
      </c>
      <c r="AX330" s="1" t="s">
        <v>74</v>
      </c>
      <c r="AY330" s="1" t="s">
        <v>74</v>
      </c>
      <c r="AZ330" s="1" t="s">
        <v>74</v>
      </c>
      <c r="BA330" s="1" t="s">
        <v>74</v>
      </c>
      <c r="BB330" s="1">
        <v>337.0</v>
      </c>
      <c r="BC330" s="1">
        <v>343.0</v>
      </c>
      <c r="BD330" s="1" t="s">
        <v>74</v>
      </c>
      <c r="BE330" s="1" t="s">
        <v>3400</v>
      </c>
      <c r="BF330" s="2" t="str">
        <f>HYPERLINK("http://dx.doi.org/10.2223/JPED.1807","http://dx.doi.org/10.2223/JPED.1807")</f>
        <v>http://dx.doi.org/10.2223/JPED.1807</v>
      </c>
      <c r="BG330" s="1" t="s">
        <v>74</v>
      </c>
      <c r="BH330" s="1" t="s">
        <v>74</v>
      </c>
      <c r="BI330" s="1" t="s">
        <v>74</v>
      </c>
      <c r="BJ330" s="1" t="s">
        <v>74</v>
      </c>
      <c r="BK330" s="1" t="s">
        <v>74</v>
      </c>
      <c r="BL330" s="1" t="s">
        <v>74</v>
      </c>
      <c r="BM330" s="1" t="s">
        <v>74</v>
      </c>
      <c r="BN330" s="1">
        <v>1.8688552E7</v>
      </c>
      <c r="BO330" s="1" t="s">
        <v>74</v>
      </c>
      <c r="BP330" s="1" t="s">
        <v>74</v>
      </c>
      <c r="BQ330" s="1" t="s">
        <v>74</v>
      </c>
      <c r="BR330" s="1" t="s">
        <v>74</v>
      </c>
      <c r="BS330" s="1" t="s">
        <v>3401</v>
      </c>
      <c r="BT330" s="1" t="str">
        <f>HYPERLINK("https%3A%2F%2Fwww.webofscience.com%2Fwos%2Fwoscc%2Ffull-record%2FWOS:000259170300009","View Full Record in Web of Science")</f>
        <v>View Full Record in Web of Science</v>
      </c>
    </row>
    <row r="331" ht="12.75" customHeight="1">
      <c r="A331" s="1" t="s">
        <v>72</v>
      </c>
      <c r="B331" s="1" t="s">
        <v>3402</v>
      </c>
      <c r="C331" s="1" t="s">
        <v>74</v>
      </c>
      <c r="D331" s="1" t="s">
        <v>74</v>
      </c>
      <c r="E331" s="1" t="s">
        <v>74</v>
      </c>
      <c r="F331" s="1" t="s">
        <v>3403</v>
      </c>
      <c r="G331" s="1" t="s">
        <v>74</v>
      </c>
      <c r="H331" s="1" t="s">
        <v>74</v>
      </c>
      <c r="I331" s="1" t="s">
        <v>3404</v>
      </c>
      <c r="J331" s="1" t="s">
        <v>412</v>
      </c>
      <c r="K331" s="1" t="s">
        <v>74</v>
      </c>
      <c r="L331" s="1" t="s">
        <v>74</v>
      </c>
      <c r="M331" s="1" t="s">
        <v>74</v>
      </c>
      <c r="N331" s="1" t="s">
        <v>74</v>
      </c>
      <c r="O331" s="1" t="s">
        <v>74</v>
      </c>
      <c r="P331" s="1" t="s">
        <v>74</v>
      </c>
      <c r="Q331" s="1" t="s">
        <v>74</v>
      </c>
      <c r="R331" s="1" t="s">
        <v>74</v>
      </c>
      <c r="S331" s="1" t="s">
        <v>74</v>
      </c>
      <c r="T331" s="1" t="s">
        <v>74</v>
      </c>
      <c r="U331" s="1" t="s">
        <v>74</v>
      </c>
      <c r="V331" s="1" t="s">
        <v>3405</v>
      </c>
      <c r="W331" s="1" t="s">
        <v>74</v>
      </c>
      <c r="X331" s="1" t="s">
        <v>74</v>
      </c>
      <c r="Y331" s="1" t="s">
        <v>74</v>
      </c>
      <c r="Z331" s="1" t="s">
        <v>74</v>
      </c>
      <c r="AA331" s="1" t="s">
        <v>3406</v>
      </c>
      <c r="AB331" s="1" t="s">
        <v>74</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415</v>
      </c>
      <c r="AP331" s="1" t="s">
        <v>416</v>
      </c>
      <c r="AQ331" s="1" t="s">
        <v>74</v>
      </c>
      <c r="AR331" s="1" t="s">
        <v>74</v>
      </c>
      <c r="AS331" s="1" t="s">
        <v>74</v>
      </c>
      <c r="AT331" s="1" t="s">
        <v>705</v>
      </c>
      <c r="AU331" s="1">
        <v>2006.0</v>
      </c>
      <c r="AV331" s="1">
        <v>42.0</v>
      </c>
      <c r="AW331" s="1">
        <v>5.0</v>
      </c>
      <c r="AX331" s="1" t="s">
        <v>74</v>
      </c>
      <c r="AY331" s="1" t="s">
        <v>74</v>
      </c>
      <c r="AZ331" s="1" t="s">
        <v>74</v>
      </c>
      <c r="BA331" s="1" t="s">
        <v>74</v>
      </c>
      <c r="BB331" s="1">
        <v>334.0</v>
      </c>
      <c r="BC331" s="1">
        <v>344.0</v>
      </c>
      <c r="BD331" s="1" t="s">
        <v>74</v>
      </c>
      <c r="BE331" s="1" t="s">
        <v>74</v>
      </c>
      <c r="BF331" s="1" t="s">
        <v>74</v>
      </c>
      <c r="BG331" s="1" t="s">
        <v>74</v>
      </c>
      <c r="BH331" s="1" t="s">
        <v>74</v>
      </c>
      <c r="BI331" s="1" t="s">
        <v>74</v>
      </c>
      <c r="BJ331" s="1" t="s">
        <v>74</v>
      </c>
      <c r="BK331" s="1" t="s">
        <v>74</v>
      </c>
      <c r="BL331" s="1" t="s">
        <v>74</v>
      </c>
      <c r="BM331" s="1" t="s">
        <v>74</v>
      </c>
      <c r="BN331" s="1" t="s">
        <v>74</v>
      </c>
      <c r="BO331" s="1" t="s">
        <v>74</v>
      </c>
      <c r="BP331" s="1" t="s">
        <v>74</v>
      </c>
      <c r="BQ331" s="1" t="s">
        <v>74</v>
      </c>
      <c r="BR331" s="1" t="s">
        <v>74</v>
      </c>
      <c r="BS331" s="1" t="s">
        <v>3407</v>
      </c>
      <c r="BT331" s="1" t="str">
        <f>HYPERLINK("https%3A%2F%2Fwww.webofscience.com%2Fwos%2Fwoscc%2Ffull-record%2FWOS:000242231000002","View Full Record in Web of Science")</f>
        <v>View Full Record in Web of Science</v>
      </c>
    </row>
    <row r="332" ht="12.75" customHeight="1">
      <c r="A332" s="1" t="s">
        <v>72</v>
      </c>
      <c r="B332" s="1" t="s">
        <v>3408</v>
      </c>
      <c r="C332" s="1" t="s">
        <v>74</v>
      </c>
      <c r="D332" s="1" t="s">
        <v>74</v>
      </c>
      <c r="E332" s="1" t="s">
        <v>74</v>
      </c>
      <c r="F332" s="1" t="s">
        <v>3408</v>
      </c>
      <c r="G332" s="1" t="s">
        <v>74</v>
      </c>
      <c r="H332" s="1" t="s">
        <v>74</v>
      </c>
      <c r="I332" s="1" t="s">
        <v>3409</v>
      </c>
      <c r="J332" s="1" t="s">
        <v>326</v>
      </c>
      <c r="K332" s="1" t="s">
        <v>74</v>
      </c>
      <c r="L332" s="1" t="s">
        <v>74</v>
      </c>
      <c r="M332" s="1" t="s">
        <v>74</v>
      </c>
      <c r="N332" s="1" t="s">
        <v>74</v>
      </c>
      <c r="O332" s="1" t="s">
        <v>74</v>
      </c>
      <c r="P332" s="1" t="s">
        <v>74</v>
      </c>
      <c r="Q332" s="1" t="s">
        <v>74</v>
      </c>
      <c r="R332" s="1" t="s">
        <v>74</v>
      </c>
      <c r="S332" s="1" t="s">
        <v>74</v>
      </c>
      <c r="T332" s="1" t="s">
        <v>74</v>
      </c>
      <c r="U332" s="1" t="s">
        <v>74</v>
      </c>
      <c r="V332" s="1" t="s">
        <v>3410</v>
      </c>
      <c r="W332" s="1" t="s">
        <v>74</v>
      </c>
      <c r="X332" s="1" t="s">
        <v>74</v>
      </c>
      <c r="Y332" s="1" t="s">
        <v>74</v>
      </c>
      <c r="Z332" s="1" t="s">
        <v>74</v>
      </c>
      <c r="AA332" s="1" t="s">
        <v>3411</v>
      </c>
      <c r="AB332" s="1" t="s">
        <v>3412</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330</v>
      </c>
      <c r="AP332" s="1" t="s">
        <v>74</v>
      </c>
      <c r="AQ332" s="1" t="s">
        <v>74</v>
      </c>
      <c r="AR332" s="1" t="s">
        <v>74</v>
      </c>
      <c r="AS332" s="1" t="s">
        <v>74</v>
      </c>
      <c r="AT332" s="1" t="s">
        <v>2015</v>
      </c>
      <c r="AU332" s="1">
        <v>2002.0</v>
      </c>
      <c r="AV332" s="1">
        <v>47.0</v>
      </c>
      <c r="AW332" s="1">
        <v>9.0</v>
      </c>
      <c r="AX332" s="1" t="s">
        <v>74</v>
      </c>
      <c r="AY332" s="1" t="s">
        <v>74</v>
      </c>
      <c r="AZ332" s="1" t="s">
        <v>74</v>
      </c>
      <c r="BA332" s="1" t="s">
        <v>74</v>
      </c>
      <c r="BB332" s="1">
        <v>1489.0</v>
      </c>
      <c r="BC332" s="1">
        <v>1494.0</v>
      </c>
      <c r="BD332" s="1" t="s">
        <v>3413</v>
      </c>
      <c r="BE332" s="1" t="s">
        <v>3414</v>
      </c>
      <c r="BF332" s="2" t="str">
        <f>HYPERLINK("http://dx.doi.org/10.1016/S0013-4686(01)00875-1","http://dx.doi.org/10.1016/S0013-4686(01)00875-1")</f>
        <v>http://dx.doi.org/10.1016/S0013-4686(01)00875-1</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3415</v>
      </c>
      <c r="BT332" s="1" t="str">
        <f>HYPERLINK("https%3A%2F%2Fwww.webofscience.com%2Fwos%2Fwoscc%2Ffull-record%2FWOS:000174724100017","View Full Record in Web of Science")</f>
        <v>View Full Record in Web of Science</v>
      </c>
    </row>
    <row r="333" ht="12.75" customHeight="1">
      <c r="A333" s="1" t="s">
        <v>72</v>
      </c>
      <c r="B333" s="1" t="s">
        <v>3416</v>
      </c>
      <c r="C333" s="1" t="s">
        <v>74</v>
      </c>
      <c r="D333" s="1" t="s">
        <v>74</v>
      </c>
      <c r="E333" s="1" t="s">
        <v>74</v>
      </c>
      <c r="F333" s="1" t="s">
        <v>3416</v>
      </c>
      <c r="G333" s="1" t="s">
        <v>74</v>
      </c>
      <c r="H333" s="1" t="s">
        <v>74</v>
      </c>
      <c r="I333" s="1" t="s">
        <v>3417</v>
      </c>
      <c r="J333" s="1" t="s">
        <v>857</v>
      </c>
      <c r="K333" s="1" t="s">
        <v>74</v>
      </c>
      <c r="L333" s="1" t="s">
        <v>74</v>
      </c>
      <c r="M333" s="1" t="s">
        <v>74</v>
      </c>
      <c r="N333" s="1" t="s">
        <v>74</v>
      </c>
      <c r="O333" s="1" t="s">
        <v>74</v>
      </c>
      <c r="P333" s="1" t="s">
        <v>74</v>
      </c>
      <c r="Q333" s="1" t="s">
        <v>74</v>
      </c>
      <c r="R333" s="1" t="s">
        <v>74</v>
      </c>
      <c r="S333" s="1" t="s">
        <v>74</v>
      </c>
      <c r="T333" s="1" t="s">
        <v>74</v>
      </c>
      <c r="U333" s="1" t="s">
        <v>74</v>
      </c>
      <c r="V333" s="1" t="s">
        <v>3418</v>
      </c>
      <c r="W333" s="1" t="s">
        <v>74</v>
      </c>
      <c r="X333" s="1" t="s">
        <v>74</v>
      </c>
      <c r="Y333" s="1" t="s">
        <v>74</v>
      </c>
      <c r="Z333" s="1" t="s">
        <v>74</v>
      </c>
      <c r="AA333" s="1" t="s">
        <v>859</v>
      </c>
      <c r="AB333" s="1" t="s">
        <v>74</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861</v>
      </c>
      <c r="AP333" s="1" t="s">
        <v>74</v>
      </c>
      <c r="AQ333" s="1" t="s">
        <v>74</v>
      </c>
      <c r="AR333" s="1" t="s">
        <v>74</v>
      </c>
      <c r="AS333" s="1" t="s">
        <v>74</v>
      </c>
      <c r="AT333" s="1" t="s">
        <v>698</v>
      </c>
      <c r="AU333" s="1">
        <v>2001.0</v>
      </c>
      <c r="AV333" s="1">
        <v>39.0</v>
      </c>
      <c r="AW333" s="1">
        <v>23.0</v>
      </c>
      <c r="AX333" s="1" t="s">
        <v>74</v>
      </c>
      <c r="AY333" s="1" t="s">
        <v>74</v>
      </c>
      <c r="AZ333" s="1" t="s">
        <v>74</v>
      </c>
      <c r="BA333" s="1" t="s">
        <v>74</v>
      </c>
      <c r="BB333" s="1">
        <v>4074.0</v>
      </c>
      <c r="BC333" s="1">
        <v>4082.0</v>
      </c>
      <c r="BD333" s="1" t="s">
        <v>74</v>
      </c>
      <c r="BE333" s="1" t="s">
        <v>3419</v>
      </c>
      <c r="BF333" s="2" t="str">
        <f>HYPERLINK("http://dx.doi.org/10.1002/pola.10059","http://dx.doi.org/10.1002/pola.10059")</f>
        <v>http://dx.doi.org/10.1002/pola.10059</v>
      </c>
      <c r="BG333" s="1" t="s">
        <v>74</v>
      </c>
      <c r="BH333" s="1" t="s">
        <v>74</v>
      </c>
      <c r="BI333" s="1" t="s">
        <v>74</v>
      </c>
      <c r="BJ333" s="1" t="s">
        <v>74</v>
      </c>
      <c r="BK333" s="1" t="s">
        <v>74</v>
      </c>
      <c r="BL333" s="1" t="s">
        <v>74</v>
      </c>
      <c r="BM333" s="1" t="s">
        <v>74</v>
      </c>
      <c r="BN333" s="1" t="s">
        <v>74</v>
      </c>
      <c r="BO333" s="1" t="s">
        <v>74</v>
      </c>
      <c r="BP333" s="1" t="s">
        <v>74</v>
      </c>
      <c r="BQ333" s="1" t="s">
        <v>74</v>
      </c>
      <c r="BR333" s="1" t="s">
        <v>74</v>
      </c>
      <c r="BS333" s="1" t="s">
        <v>3420</v>
      </c>
      <c r="BT333" s="1" t="str">
        <f>HYPERLINK("https%3A%2F%2Fwww.webofscience.com%2Fwos%2Fwoscc%2Ffull-record%2FWOS:000172155100004","View Full Record in Web of Science")</f>
        <v>View Full Record in Web of Science</v>
      </c>
    </row>
    <row r="334" ht="12.75" customHeight="1">
      <c r="A334" s="1" t="s">
        <v>72</v>
      </c>
      <c r="B334" s="1" t="s">
        <v>1198</v>
      </c>
      <c r="C334" s="1" t="s">
        <v>74</v>
      </c>
      <c r="D334" s="1" t="s">
        <v>74</v>
      </c>
      <c r="E334" s="1" t="s">
        <v>74</v>
      </c>
      <c r="F334" s="1" t="s">
        <v>1198</v>
      </c>
      <c r="G334" s="1" t="s">
        <v>74</v>
      </c>
      <c r="H334" s="1" t="s">
        <v>74</v>
      </c>
      <c r="I334" s="1" t="s">
        <v>3421</v>
      </c>
      <c r="J334" s="1" t="s">
        <v>1216</v>
      </c>
      <c r="K334" s="1" t="s">
        <v>74</v>
      </c>
      <c r="L334" s="1" t="s">
        <v>74</v>
      </c>
      <c r="M334" s="1" t="s">
        <v>74</v>
      </c>
      <c r="N334" s="1" t="s">
        <v>74</v>
      </c>
      <c r="O334" s="1" t="s">
        <v>74</v>
      </c>
      <c r="P334" s="1" t="s">
        <v>74</v>
      </c>
      <c r="Q334" s="1" t="s">
        <v>74</v>
      </c>
      <c r="R334" s="1" t="s">
        <v>74</v>
      </c>
      <c r="S334" s="1" t="s">
        <v>74</v>
      </c>
      <c r="T334" s="1" t="s">
        <v>74</v>
      </c>
      <c r="U334" s="1" t="s">
        <v>74</v>
      </c>
      <c r="V334" s="1" t="s">
        <v>3422</v>
      </c>
      <c r="W334" s="1" t="s">
        <v>74</v>
      </c>
      <c r="X334" s="1" t="s">
        <v>74</v>
      </c>
      <c r="Y334" s="1" t="s">
        <v>74</v>
      </c>
      <c r="Z334" s="1" t="s">
        <v>74</v>
      </c>
      <c r="AA334" s="1" t="s">
        <v>74</v>
      </c>
      <c r="AB334" s="1" t="s">
        <v>74</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1220</v>
      </c>
      <c r="AP334" s="1" t="s">
        <v>74</v>
      </c>
      <c r="AQ334" s="1" t="s">
        <v>74</v>
      </c>
      <c r="AR334" s="1" t="s">
        <v>74</v>
      </c>
      <c r="AS334" s="1" t="s">
        <v>74</v>
      </c>
      <c r="AT334" s="1" t="s">
        <v>3423</v>
      </c>
      <c r="AU334" s="1">
        <v>2000.0</v>
      </c>
      <c r="AV334" s="1">
        <v>485.0</v>
      </c>
      <c r="AW334" s="1" t="s">
        <v>3424</v>
      </c>
      <c r="AX334" s="1" t="s">
        <v>74</v>
      </c>
      <c r="AY334" s="1" t="s">
        <v>74</v>
      </c>
      <c r="AZ334" s="1" t="s">
        <v>74</v>
      </c>
      <c r="BA334" s="1" t="s">
        <v>74</v>
      </c>
      <c r="BB334" s="1">
        <v>187.0</v>
      </c>
      <c r="BC334" s="1">
        <v>192.0</v>
      </c>
      <c r="BD334" s="1" t="s">
        <v>74</v>
      </c>
      <c r="BE334" s="1" t="s">
        <v>3425</v>
      </c>
      <c r="BF334" s="2" t="str">
        <f>HYPERLINK("http://dx.doi.org/10.1016/S0370-2693(00)00671-7","http://dx.doi.org/10.1016/S0370-2693(00)00671-7")</f>
        <v>http://dx.doi.org/10.1016/S0370-2693(00)00671-7</v>
      </c>
      <c r="BG334" s="1" t="s">
        <v>74</v>
      </c>
      <c r="BH334" s="1" t="s">
        <v>74</v>
      </c>
      <c r="BI334" s="1" t="s">
        <v>74</v>
      </c>
      <c r="BJ334" s="1" t="s">
        <v>74</v>
      </c>
      <c r="BK334" s="1" t="s">
        <v>74</v>
      </c>
      <c r="BL334" s="1" t="s">
        <v>74</v>
      </c>
      <c r="BM334" s="1" t="s">
        <v>74</v>
      </c>
      <c r="BN334" s="1" t="s">
        <v>74</v>
      </c>
      <c r="BO334" s="1" t="s">
        <v>74</v>
      </c>
      <c r="BP334" s="1" t="s">
        <v>74</v>
      </c>
      <c r="BQ334" s="1" t="s">
        <v>74</v>
      </c>
      <c r="BR334" s="1" t="s">
        <v>74</v>
      </c>
      <c r="BS334" s="1" t="s">
        <v>3426</v>
      </c>
      <c r="BT334" s="1" t="str">
        <f>HYPERLINK("https%3A%2F%2Fwww.webofscience.com%2Fwos%2Fwoscc%2Ffull-record%2FWOS:000088239800025","View Full Record in Web of Science")</f>
        <v>View Full Record in Web of Science</v>
      </c>
    </row>
    <row r="335" ht="12.75" customHeight="1">
      <c r="A335" s="1" t="s">
        <v>72</v>
      </c>
      <c r="B335" s="1" t="s">
        <v>3427</v>
      </c>
      <c r="C335" s="1" t="s">
        <v>74</v>
      </c>
      <c r="D335" s="1" t="s">
        <v>74</v>
      </c>
      <c r="E335" s="1" t="s">
        <v>74</v>
      </c>
      <c r="F335" s="1" t="s">
        <v>3427</v>
      </c>
      <c r="G335" s="1" t="s">
        <v>74</v>
      </c>
      <c r="H335" s="1" t="s">
        <v>74</v>
      </c>
      <c r="I335" s="1" t="s">
        <v>3428</v>
      </c>
      <c r="J335" s="1" t="s">
        <v>1209</v>
      </c>
      <c r="K335" s="1" t="s">
        <v>74</v>
      </c>
      <c r="L335" s="1" t="s">
        <v>74</v>
      </c>
      <c r="M335" s="1" t="s">
        <v>74</v>
      </c>
      <c r="N335" s="1" t="s">
        <v>74</v>
      </c>
      <c r="O335" s="1" t="s">
        <v>74</v>
      </c>
      <c r="P335" s="1" t="s">
        <v>74</v>
      </c>
      <c r="Q335" s="1" t="s">
        <v>74</v>
      </c>
      <c r="R335" s="1" t="s">
        <v>74</v>
      </c>
      <c r="S335" s="1" t="s">
        <v>74</v>
      </c>
      <c r="T335" s="1" t="s">
        <v>74</v>
      </c>
      <c r="U335" s="1" t="s">
        <v>74</v>
      </c>
      <c r="V335" s="1" t="s">
        <v>3429</v>
      </c>
      <c r="W335" s="1" t="s">
        <v>74</v>
      </c>
      <c r="X335" s="1" t="s">
        <v>74</v>
      </c>
      <c r="Y335" s="1" t="s">
        <v>74</v>
      </c>
      <c r="Z335" s="1" t="s">
        <v>74</v>
      </c>
      <c r="AA335" s="1" t="s">
        <v>74</v>
      </c>
      <c r="AB335" s="1" t="s">
        <v>74</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1211</v>
      </c>
      <c r="AP335" s="1" t="s">
        <v>74</v>
      </c>
      <c r="AQ335" s="1" t="s">
        <v>74</v>
      </c>
      <c r="AR335" s="1" t="s">
        <v>74</v>
      </c>
      <c r="AS335" s="1" t="s">
        <v>74</v>
      </c>
      <c r="AT335" s="1" t="s">
        <v>596</v>
      </c>
      <c r="AU335" s="1">
        <v>1998.0</v>
      </c>
      <c r="AV335" s="1">
        <v>65.0</v>
      </c>
      <c r="AW335" s="1">
        <v>2.0</v>
      </c>
      <c r="AX335" s="1" t="s">
        <v>74</v>
      </c>
      <c r="AY335" s="1" t="s">
        <v>74</v>
      </c>
      <c r="AZ335" s="1" t="s">
        <v>74</v>
      </c>
      <c r="BA335" s="1" t="s">
        <v>74</v>
      </c>
      <c r="BB335" s="1">
        <v>315.0</v>
      </c>
      <c r="BC335" s="1">
        <v>320.0</v>
      </c>
      <c r="BD335" s="1" t="s">
        <v>74</v>
      </c>
      <c r="BE335" s="1" t="s">
        <v>3430</v>
      </c>
      <c r="BF335" s="2" t="str">
        <f>HYPERLINK("http://dx.doi.org/10.1007/BF02475270","http://dx.doi.org/10.1007/BF02475270")</f>
        <v>http://dx.doi.org/10.1007/BF02475270</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3431</v>
      </c>
      <c r="BT335" s="1" t="str">
        <f>HYPERLINK("https%3A%2F%2Fwww.webofscience.com%2Fwos%2Fwoscc%2Ffull-record%2FWOS:000077523200017","View Full Record in Web of Science")</f>
        <v>View Full Record in Web of Science</v>
      </c>
    </row>
    <row r="336" ht="12.75" customHeight="1">
      <c r="A336" s="1" t="s">
        <v>72</v>
      </c>
      <c r="B336" s="1" t="s">
        <v>3432</v>
      </c>
      <c r="C336" s="1" t="s">
        <v>74</v>
      </c>
      <c r="D336" s="1" t="s">
        <v>74</v>
      </c>
      <c r="E336" s="1" t="s">
        <v>74</v>
      </c>
      <c r="F336" s="1" t="s">
        <v>3432</v>
      </c>
      <c r="G336" s="1" t="s">
        <v>74</v>
      </c>
      <c r="H336" s="1" t="s">
        <v>74</v>
      </c>
      <c r="I336" s="1" t="s">
        <v>3433</v>
      </c>
      <c r="J336" s="1" t="s">
        <v>453</v>
      </c>
      <c r="K336" s="1" t="s">
        <v>74</v>
      </c>
      <c r="L336" s="1" t="s">
        <v>74</v>
      </c>
      <c r="M336" s="1" t="s">
        <v>74</v>
      </c>
      <c r="N336" s="1" t="s">
        <v>74</v>
      </c>
      <c r="O336" s="1" t="s">
        <v>74</v>
      </c>
      <c r="P336" s="1" t="s">
        <v>74</v>
      </c>
      <c r="Q336" s="1" t="s">
        <v>74</v>
      </c>
      <c r="R336" s="1" t="s">
        <v>74</v>
      </c>
      <c r="S336" s="1" t="s">
        <v>74</v>
      </c>
      <c r="T336" s="1" t="s">
        <v>74</v>
      </c>
      <c r="U336" s="1" t="s">
        <v>74</v>
      </c>
      <c r="V336" s="1" t="s">
        <v>3434</v>
      </c>
      <c r="W336" s="1" t="s">
        <v>74</v>
      </c>
      <c r="X336" s="1" t="s">
        <v>74</v>
      </c>
      <c r="Y336" s="1" t="s">
        <v>74</v>
      </c>
      <c r="Z336" s="1" t="s">
        <v>74</v>
      </c>
      <c r="AA336" s="1" t="s">
        <v>74</v>
      </c>
      <c r="AB336" s="1" t="s">
        <v>74</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460</v>
      </c>
      <c r="AP336" s="1" t="s">
        <v>74</v>
      </c>
      <c r="AQ336" s="1" t="s">
        <v>74</v>
      </c>
      <c r="AR336" s="1" t="s">
        <v>74</v>
      </c>
      <c r="AS336" s="1" t="s">
        <v>74</v>
      </c>
      <c r="AT336" s="1" t="s">
        <v>83</v>
      </c>
      <c r="AU336" s="1">
        <v>1997.0</v>
      </c>
      <c r="AV336" s="1">
        <v>42.0</v>
      </c>
      <c r="AW336" s="1">
        <v>1.0</v>
      </c>
      <c r="AX336" s="1" t="s">
        <v>74</v>
      </c>
      <c r="AY336" s="1" t="s">
        <v>74</v>
      </c>
      <c r="AZ336" s="1" t="s">
        <v>74</v>
      </c>
      <c r="BA336" s="1" t="s">
        <v>74</v>
      </c>
      <c r="BB336" s="1">
        <v>101.0</v>
      </c>
      <c r="BC336" s="1">
        <v>104.0</v>
      </c>
      <c r="BD336" s="1" t="s">
        <v>74</v>
      </c>
      <c r="BE336" s="1" t="s">
        <v>74</v>
      </c>
      <c r="BF336" s="1" t="s">
        <v>74</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3435</v>
      </c>
      <c r="BT336" s="1" t="str">
        <f>HYPERLINK("https%3A%2F%2Fwww.webofscience.com%2Fwos%2Fwoscc%2Ffull-record%2FWOS:A1997WR46900011","View Full Record in Web of Science")</f>
        <v>View Full Record in Web of Science</v>
      </c>
    </row>
    <row r="337" ht="12.75" customHeight="1">
      <c r="A337" s="1" t="s">
        <v>72</v>
      </c>
      <c r="B337" s="1" t="s">
        <v>3436</v>
      </c>
      <c r="C337" s="1" t="s">
        <v>74</v>
      </c>
      <c r="D337" s="1" t="s">
        <v>74</v>
      </c>
      <c r="E337" s="1" t="s">
        <v>74</v>
      </c>
      <c r="F337" s="1" t="s">
        <v>3436</v>
      </c>
      <c r="G337" s="1" t="s">
        <v>74</v>
      </c>
      <c r="H337" s="1" t="s">
        <v>74</v>
      </c>
      <c r="I337" s="1" t="s">
        <v>3437</v>
      </c>
      <c r="J337" s="1" t="s">
        <v>3438</v>
      </c>
      <c r="K337" s="1" t="s">
        <v>74</v>
      </c>
      <c r="L337" s="1" t="s">
        <v>74</v>
      </c>
      <c r="M337" s="1" t="s">
        <v>74</v>
      </c>
      <c r="N337" s="1" t="s">
        <v>74</v>
      </c>
      <c r="O337" s="1" t="s">
        <v>74</v>
      </c>
      <c r="P337" s="1" t="s">
        <v>74</v>
      </c>
      <c r="Q337" s="1" t="s">
        <v>74</v>
      </c>
      <c r="R337" s="1" t="s">
        <v>74</v>
      </c>
      <c r="S337" s="1" t="s">
        <v>74</v>
      </c>
      <c r="T337" s="1" t="s">
        <v>74</v>
      </c>
      <c r="U337" s="1" t="s">
        <v>74</v>
      </c>
      <c r="V337" s="1" t="s">
        <v>3439</v>
      </c>
      <c r="W337" s="1" t="s">
        <v>74</v>
      </c>
      <c r="X337" s="1" t="s">
        <v>74</v>
      </c>
      <c r="Y337" s="1" t="s">
        <v>74</v>
      </c>
      <c r="Z337" s="1" t="s">
        <v>74</v>
      </c>
      <c r="AA337" s="1" t="s">
        <v>74</v>
      </c>
      <c r="AB337" s="1" t="s">
        <v>2582</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3440</v>
      </c>
      <c r="AP337" s="1" t="s">
        <v>3441</v>
      </c>
      <c r="AQ337" s="1" t="s">
        <v>74</v>
      </c>
      <c r="AR337" s="1" t="s">
        <v>74</v>
      </c>
      <c r="AS337" s="1" t="s">
        <v>74</v>
      </c>
      <c r="AT337" s="1" t="s">
        <v>74</v>
      </c>
      <c r="AU337" s="1">
        <v>1987.0</v>
      </c>
      <c r="AV337" s="1">
        <v>15.0</v>
      </c>
      <c r="AW337" s="1">
        <v>6.0</v>
      </c>
      <c r="AX337" s="1" t="s">
        <v>74</v>
      </c>
      <c r="AY337" s="1" t="s">
        <v>74</v>
      </c>
      <c r="AZ337" s="1" t="s">
        <v>74</v>
      </c>
      <c r="BA337" s="1" t="s">
        <v>74</v>
      </c>
      <c r="BB337" s="1">
        <v>687.0</v>
      </c>
      <c r="BC337" s="1">
        <v>689.0</v>
      </c>
      <c r="BD337" s="1" t="s">
        <v>74</v>
      </c>
      <c r="BE337" s="1" t="s">
        <v>3442</v>
      </c>
      <c r="BF337" s="2" t="str">
        <f>HYPERLINK("http://dx.doi.org/10.1016/0305-1978(87)90047-0","http://dx.doi.org/10.1016/0305-1978(87)90047-0")</f>
        <v>http://dx.doi.org/10.1016/0305-1978(87)90047-0</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3443</v>
      </c>
      <c r="BT337" s="1" t="str">
        <f>HYPERLINK("https%3A%2F%2Fwww.webofscience.com%2Fwos%2Fwoscc%2Ffull-record%2FWOS:A1987L191400014","View Full Record in Web of Science")</f>
        <v>View Full Record in Web of Science</v>
      </c>
    </row>
    <row r="338" ht="12.75" customHeight="1">
      <c r="A338" s="1" t="s">
        <v>72</v>
      </c>
      <c r="B338" s="1" t="s">
        <v>3444</v>
      </c>
      <c r="C338" s="1" t="s">
        <v>74</v>
      </c>
      <c r="D338" s="1" t="s">
        <v>74</v>
      </c>
      <c r="E338" s="1" t="s">
        <v>74</v>
      </c>
      <c r="F338" s="1" t="s">
        <v>3445</v>
      </c>
      <c r="G338" s="1" t="s">
        <v>74</v>
      </c>
      <c r="H338" s="1" t="s">
        <v>74</v>
      </c>
      <c r="I338" s="1" t="s">
        <v>3446</v>
      </c>
      <c r="J338" s="1" t="s">
        <v>3447</v>
      </c>
      <c r="K338" s="1" t="s">
        <v>74</v>
      </c>
      <c r="L338" s="1" t="s">
        <v>74</v>
      </c>
      <c r="M338" s="1" t="s">
        <v>74</v>
      </c>
      <c r="N338" s="1" t="s">
        <v>74</v>
      </c>
      <c r="O338" s="1" t="s">
        <v>74</v>
      </c>
      <c r="P338" s="1" t="s">
        <v>74</v>
      </c>
      <c r="Q338" s="1" t="s">
        <v>74</v>
      </c>
      <c r="R338" s="1" t="s">
        <v>74</v>
      </c>
      <c r="S338" s="1" t="s">
        <v>74</v>
      </c>
      <c r="T338" s="1" t="s">
        <v>74</v>
      </c>
      <c r="U338" s="1" t="s">
        <v>74</v>
      </c>
      <c r="V338" s="1" t="s">
        <v>3448</v>
      </c>
      <c r="W338" s="1" t="s">
        <v>74</v>
      </c>
      <c r="X338" s="1" t="s">
        <v>74</v>
      </c>
      <c r="Y338" s="1" t="s">
        <v>74</v>
      </c>
      <c r="Z338" s="1" t="s">
        <v>74</v>
      </c>
      <c r="AA338" s="1" t="s">
        <v>3449</v>
      </c>
      <c r="AB338" s="1" t="s">
        <v>3450</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3451</v>
      </c>
      <c r="AP338" s="1" t="s">
        <v>3452</v>
      </c>
      <c r="AQ338" s="1" t="s">
        <v>74</v>
      </c>
      <c r="AR338" s="1" t="s">
        <v>74</v>
      </c>
      <c r="AS338" s="1" t="s">
        <v>74</v>
      </c>
      <c r="AT338" s="1" t="s">
        <v>187</v>
      </c>
      <c r="AU338" s="1">
        <v>2025.0</v>
      </c>
      <c r="AV338" s="1">
        <v>44.0</v>
      </c>
      <c r="AW338" s="1">
        <v>4.0</v>
      </c>
      <c r="AX338" s="1" t="s">
        <v>74</v>
      </c>
      <c r="AY338" s="1" t="s">
        <v>74</v>
      </c>
      <c r="AZ338" s="1" t="s">
        <v>74</v>
      </c>
      <c r="BA338" s="1" t="s">
        <v>74</v>
      </c>
      <c r="BB338" s="1">
        <v>2424.0</v>
      </c>
      <c r="BC338" s="1">
        <v>2453.0</v>
      </c>
      <c r="BD338" s="1" t="s">
        <v>74</v>
      </c>
      <c r="BE338" s="1" t="s">
        <v>3453</v>
      </c>
      <c r="BF338" s="2" t="str">
        <f>HYPERLINK("http://dx.doi.org/10.1007/s00034-024-02948-z","http://dx.doi.org/10.1007/s00034-024-02948-z")</f>
        <v>http://dx.doi.org/10.1007/s00034-024-02948-z</v>
      </c>
      <c r="BG338" s="1" t="s">
        <v>74</v>
      </c>
      <c r="BH338" s="1" t="s">
        <v>2669</v>
      </c>
      <c r="BI338" s="1" t="s">
        <v>74</v>
      </c>
      <c r="BJ338" s="1" t="s">
        <v>74</v>
      </c>
      <c r="BK338" s="1" t="s">
        <v>74</v>
      </c>
      <c r="BL338" s="1" t="s">
        <v>74</v>
      </c>
      <c r="BM338" s="1" t="s">
        <v>74</v>
      </c>
      <c r="BN338" s="1" t="s">
        <v>74</v>
      </c>
      <c r="BO338" s="1" t="s">
        <v>74</v>
      </c>
      <c r="BP338" s="1" t="s">
        <v>74</v>
      </c>
      <c r="BQ338" s="1" t="s">
        <v>74</v>
      </c>
      <c r="BR338" s="1" t="s">
        <v>74</v>
      </c>
      <c r="BS338" s="1" t="s">
        <v>3454</v>
      </c>
      <c r="BT338" s="1" t="str">
        <f>HYPERLINK("https%3A%2F%2Fwww.webofscience.com%2Fwos%2Fwoscc%2Ffull-record%2FWOS:001381178600001","View Full Record in Web of Science")</f>
        <v>View Full Record in Web of Science</v>
      </c>
    </row>
    <row r="339" ht="12.75" customHeight="1">
      <c r="A339" s="1" t="s">
        <v>72</v>
      </c>
      <c r="B339" s="1" t="s">
        <v>3455</v>
      </c>
      <c r="C339" s="1" t="s">
        <v>74</v>
      </c>
      <c r="D339" s="1" t="s">
        <v>74</v>
      </c>
      <c r="E339" s="1" t="s">
        <v>74</v>
      </c>
      <c r="F339" s="1" t="s">
        <v>3456</v>
      </c>
      <c r="G339" s="1" t="s">
        <v>74</v>
      </c>
      <c r="H339" s="1" t="s">
        <v>74</v>
      </c>
      <c r="I339" s="1" t="s">
        <v>3457</v>
      </c>
      <c r="J339" s="1" t="s">
        <v>3458</v>
      </c>
      <c r="K339" s="1" t="s">
        <v>74</v>
      </c>
      <c r="L339" s="1" t="s">
        <v>74</v>
      </c>
      <c r="M339" s="1" t="s">
        <v>74</v>
      </c>
      <c r="N339" s="1" t="s">
        <v>74</v>
      </c>
      <c r="O339" s="1" t="s">
        <v>74</v>
      </c>
      <c r="P339" s="1" t="s">
        <v>74</v>
      </c>
      <c r="Q339" s="1" t="s">
        <v>74</v>
      </c>
      <c r="R339" s="1" t="s">
        <v>74</v>
      </c>
      <c r="S339" s="1" t="s">
        <v>74</v>
      </c>
      <c r="T339" s="1" t="s">
        <v>74</v>
      </c>
      <c r="U339" s="1" t="s">
        <v>74</v>
      </c>
      <c r="V339" s="1" t="s">
        <v>3459</v>
      </c>
      <c r="W339" s="1" t="s">
        <v>74</v>
      </c>
      <c r="X339" s="1" t="s">
        <v>74</v>
      </c>
      <c r="Y339" s="1" t="s">
        <v>74</v>
      </c>
      <c r="Z339" s="1" t="s">
        <v>74</v>
      </c>
      <c r="AA339" s="1" t="s">
        <v>3460</v>
      </c>
      <c r="AB339" s="1" t="s">
        <v>3461</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3462</v>
      </c>
      <c r="AP339" s="1" t="s">
        <v>74</v>
      </c>
      <c r="AQ339" s="1" t="s">
        <v>74</v>
      </c>
      <c r="AR339" s="1" t="s">
        <v>74</v>
      </c>
      <c r="AS339" s="1" t="s">
        <v>74</v>
      </c>
      <c r="AT339" s="1" t="s">
        <v>2298</v>
      </c>
      <c r="AU339" s="1">
        <v>2024.0</v>
      </c>
      <c r="AV339" s="1" t="s">
        <v>74</v>
      </c>
      <c r="AW339" s="1">
        <v>11.0</v>
      </c>
      <c r="AX339" s="1" t="s">
        <v>74</v>
      </c>
      <c r="AY339" s="1" t="s">
        <v>74</v>
      </c>
      <c r="AZ339" s="1" t="s">
        <v>74</v>
      </c>
      <c r="BA339" s="1" t="s">
        <v>74</v>
      </c>
      <c r="BB339" s="1" t="s">
        <v>74</v>
      </c>
      <c r="BC339" s="1" t="s">
        <v>74</v>
      </c>
      <c r="BD339" s="1">
        <v>42.0</v>
      </c>
      <c r="BE339" s="1" t="s">
        <v>3463</v>
      </c>
      <c r="BF339" s="2" t="str">
        <f>HYPERLINK("http://dx.doi.org/10.1007/JHEP11(2024)042","http://dx.doi.org/10.1007/JHEP11(2024)042")</f>
        <v>http://dx.doi.org/10.1007/JHEP11(2024)042</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3464</v>
      </c>
      <c r="BT339" s="1" t="str">
        <f>HYPERLINK("https%3A%2F%2Fwww.webofscience.com%2Fwos%2Fwoscc%2Ffull-record%2FWOS:001352416300001","View Full Record in Web of Science")</f>
        <v>View Full Record in Web of Science</v>
      </c>
    </row>
    <row r="340" ht="12.75" customHeight="1">
      <c r="A340" s="1" t="s">
        <v>72</v>
      </c>
      <c r="B340" s="1" t="s">
        <v>3465</v>
      </c>
      <c r="C340" s="1" t="s">
        <v>74</v>
      </c>
      <c r="D340" s="1" t="s">
        <v>74</v>
      </c>
      <c r="E340" s="1" t="s">
        <v>74</v>
      </c>
      <c r="F340" s="1" t="s">
        <v>3466</v>
      </c>
      <c r="G340" s="1" t="s">
        <v>74</v>
      </c>
      <c r="H340" s="1" t="s">
        <v>74</v>
      </c>
      <c r="I340" s="1" t="s">
        <v>3467</v>
      </c>
      <c r="J340" s="1" t="s">
        <v>3468</v>
      </c>
      <c r="K340" s="1" t="s">
        <v>74</v>
      </c>
      <c r="L340" s="1" t="s">
        <v>74</v>
      </c>
      <c r="M340" s="1" t="s">
        <v>74</v>
      </c>
      <c r="N340" s="1" t="s">
        <v>74</v>
      </c>
      <c r="O340" s="1" t="s">
        <v>74</v>
      </c>
      <c r="P340" s="1" t="s">
        <v>74</v>
      </c>
      <c r="Q340" s="1" t="s">
        <v>74</v>
      </c>
      <c r="R340" s="1" t="s">
        <v>74</v>
      </c>
      <c r="S340" s="1" t="s">
        <v>74</v>
      </c>
      <c r="T340" s="1" t="s">
        <v>74</v>
      </c>
      <c r="U340" s="1" t="s">
        <v>74</v>
      </c>
      <c r="V340" s="1" t="s">
        <v>3469</v>
      </c>
      <c r="W340" s="1" t="s">
        <v>74</v>
      </c>
      <c r="X340" s="1" t="s">
        <v>74</v>
      </c>
      <c r="Y340" s="1" t="s">
        <v>74</v>
      </c>
      <c r="Z340" s="1" t="s">
        <v>74</v>
      </c>
      <c r="AA340" s="1" t="s">
        <v>74</v>
      </c>
      <c r="AB340" s="1" t="s">
        <v>74</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3470</v>
      </c>
      <c r="AP340" s="1" t="s">
        <v>3471</v>
      </c>
      <c r="AQ340" s="1" t="s">
        <v>74</v>
      </c>
      <c r="AR340" s="1" t="s">
        <v>74</v>
      </c>
      <c r="AS340" s="1" t="s">
        <v>74</v>
      </c>
      <c r="AT340" s="1" t="s">
        <v>120</v>
      </c>
      <c r="AU340" s="1">
        <v>2024.0</v>
      </c>
      <c r="AV340" s="1">
        <v>115.0</v>
      </c>
      <c r="AW340" s="1">
        <v>2.0</v>
      </c>
      <c r="AX340" s="1" t="s">
        <v>74</v>
      </c>
      <c r="AY340" s="1" t="s">
        <v>74</v>
      </c>
      <c r="AZ340" s="1" t="s">
        <v>74</v>
      </c>
      <c r="BA340" s="1" t="s">
        <v>74</v>
      </c>
      <c r="BB340" s="1" t="s">
        <v>3472</v>
      </c>
      <c r="BC340" s="1" t="s">
        <v>3473</v>
      </c>
      <c r="BD340" s="1" t="s">
        <v>74</v>
      </c>
      <c r="BE340" s="1" t="s">
        <v>3474</v>
      </c>
      <c r="BF340" s="2" t="str">
        <f>HYPERLINK("http://dx.doi.org/10.1016/j.ad.2023.11.013","http://dx.doi.org/10.1016/j.ad.2023.11.013")</f>
        <v>http://dx.doi.org/10.1016/j.ad.2023.11.013</v>
      </c>
      <c r="BG340" s="1" t="s">
        <v>74</v>
      </c>
      <c r="BH340" s="1" t="s">
        <v>122</v>
      </c>
      <c r="BI340" s="1" t="s">
        <v>74</v>
      </c>
      <c r="BJ340" s="1" t="s">
        <v>74</v>
      </c>
      <c r="BK340" s="1" t="s">
        <v>74</v>
      </c>
      <c r="BL340" s="1" t="s">
        <v>74</v>
      </c>
      <c r="BM340" s="1" t="s">
        <v>74</v>
      </c>
      <c r="BN340" s="1" t="s">
        <v>74</v>
      </c>
      <c r="BO340" s="1" t="s">
        <v>74</v>
      </c>
      <c r="BP340" s="1" t="s">
        <v>74</v>
      </c>
      <c r="BQ340" s="1" t="s">
        <v>74</v>
      </c>
      <c r="BR340" s="1" t="s">
        <v>74</v>
      </c>
      <c r="BS340" s="1" t="s">
        <v>3475</v>
      </c>
      <c r="BT340" s="1" t="str">
        <f>HYPERLINK("https%3A%2F%2Fwww.webofscience.com%2Fwos%2Fwoscc%2Ffull-record%2FWOS:001193865400001","View Full Record in Web of Science")</f>
        <v>View Full Record in Web of Science</v>
      </c>
    </row>
    <row r="341" ht="12.75" customHeight="1">
      <c r="A341" s="1" t="s">
        <v>72</v>
      </c>
      <c r="B341" s="1" t="s">
        <v>3476</v>
      </c>
      <c r="C341" s="1" t="s">
        <v>74</v>
      </c>
      <c r="D341" s="1" t="s">
        <v>74</v>
      </c>
      <c r="E341" s="1" t="s">
        <v>74</v>
      </c>
      <c r="F341" s="1" t="s">
        <v>3477</v>
      </c>
      <c r="G341" s="1" t="s">
        <v>74</v>
      </c>
      <c r="H341" s="1" t="s">
        <v>74</v>
      </c>
      <c r="I341" s="1" t="s">
        <v>3478</v>
      </c>
      <c r="J341" s="1" t="s">
        <v>3479</v>
      </c>
      <c r="K341" s="1" t="s">
        <v>74</v>
      </c>
      <c r="L341" s="1" t="s">
        <v>74</v>
      </c>
      <c r="M341" s="1" t="s">
        <v>74</v>
      </c>
      <c r="N341" s="1" t="s">
        <v>74</v>
      </c>
      <c r="O341" s="1" t="s">
        <v>74</v>
      </c>
      <c r="P341" s="1" t="s">
        <v>74</v>
      </c>
      <c r="Q341" s="1" t="s">
        <v>74</v>
      </c>
      <c r="R341" s="1" t="s">
        <v>74</v>
      </c>
      <c r="S341" s="1" t="s">
        <v>74</v>
      </c>
      <c r="T341" s="1" t="s">
        <v>74</v>
      </c>
      <c r="U341" s="1" t="s">
        <v>74</v>
      </c>
      <c r="V341" s="1" t="s">
        <v>3480</v>
      </c>
      <c r="W341" s="1" t="s">
        <v>74</v>
      </c>
      <c r="X341" s="1" t="s">
        <v>74</v>
      </c>
      <c r="Y341" s="1" t="s">
        <v>74</v>
      </c>
      <c r="Z341" s="1" t="s">
        <v>74</v>
      </c>
      <c r="AA341" s="1" t="s">
        <v>3481</v>
      </c>
      <c r="AB341" s="1" t="s">
        <v>3482</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3483</v>
      </c>
      <c r="AP341" s="1" t="s">
        <v>74</v>
      </c>
      <c r="AQ341" s="1" t="s">
        <v>74</v>
      </c>
      <c r="AR341" s="1" t="s">
        <v>74</v>
      </c>
      <c r="AS341" s="1" t="s">
        <v>74</v>
      </c>
      <c r="AT341" s="1" t="s">
        <v>596</v>
      </c>
      <c r="AU341" s="1">
        <v>2023.0</v>
      </c>
      <c r="AV341" s="1">
        <v>22.0</v>
      </c>
      <c r="AW341" s="1" t="s">
        <v>74</v>
      </c>
      <c r="AX341" s="1" t="s">
        <v>74</v>
      </c>
      <c r="AY341" s="1" t="s">
        <v>74</v>
      </c>
      <c r="AZ341" s="1" t="s">
        <v>74</v>
      </c>
      <c r="BA341" s="1" t="s">
        <v>74</v>
      </c>
      <c r="BB341" s="1" t="s">
        <v>74</v>
      </c>
      <c r="BC341" s="1" t="s">
        <v>74</v>
      </c>
      <c r="BD341" s="1">
        <v>100947.0</v>
      </c>
      <c r="BE341" s="1" t="s">
        <v>3484</v>
      </c>
      <c r="BF341" s="2" t="str">
        <f>HYPERLINK("http://dx.doi.org/10.1016/j.trip.2023.100947","http://dx.doi.org/10.1016/j.trip.2023.100947")</f>
        <v>http://dx.doi.org/10.1016/j.trip.2023.100947</v>
      </c>
      <c r="BG341" s="1" t="s">
        <v>74</v>
      </c>
      <c r="BH341" s="1" t="s">
        <v>1259</v>
      </c>
      <c r="BI341" s="1" t="s">
        <v>74</v>
      </c>
      <c r="BJ341" s="1" t="s">
        <v>74</v>
      </c>
      <c r="BK341" s="1" t="s">
        <v>74</v>
      </c>
      <c r="BL341" s="1" t="s">
        <v>74</v>
      </c>
      <c r="BM341" s="1" t="s">
        <v>74</v>
      </c>
      <c r="BN341" s="1" t="s">
        <v>74</v>
      </c>
      <c r="BO341" s="1" t="s">
        <v>74</v>
      </c>
      <c r="BP341" s="1" t="s">
        <v>74</v>
      </c>
      <c r="BQ341" s="1" t="s">
        <v>74</v>
      </c>
      <c r="BR341" s="1" t="s">
        <v>74</v>
      </c>
      <c r="BS341" s="1" t="s">
        <v>3485</v>
      </c>
      <c r="BT341" s="1" t="str">
        <f>HYPERLINK("https%3A%2F%2Fwww.webofscience.com%2Fwos%2Fwoscc%2Ffull-record%2FWOS:001109390700001","View Full Record in Web of Science")</f>
        <v>View Full Record in Web of Science</v>
      </c>
    </row>
    <row r="342" ht="12.75" customHeight="1">
      <c r="A342" s="1" t="s">
        <v>72</v>
      </c>
      <c r="B342" s="1" t="s">
        <v>3486</v>
      </c>
      <c r="C342" s="1" t="s">
        <v>74</v>
      </c>
      <c r="D342" s="1" t="s">
        <v>74</v>
      </c>
      <c r="E342" s="1" t="s">
        <v>74</v>
      </c>
      <c r="F342" s="1" t="s">
        <v>3487</v>
      </c>
      <c r="G342" s="1" t="s">
        <v>74</v>
      </c>
      <c r="H342" s="1" t="s">
        <v>74</v>
      </c>
      <c r="I342" s="1" t="s">
        <v>3488</v>
      </c>
      <c r="J342" s="1" t="s">
        <v>3489</v>
      </c>
      <c r="K342" s="1" t="s">
        <v>74</v>
      </c>
      <c r="L342" s="1" t="s">
        <v>74</v>
      </c>
      <c r="M342" s="1" t="s">
        <v>74</v>
      </c>
      <c r="N342" s="1" t="s">
        <v>74</v>
      </c>
      <c r="O342" s="1" t="s">
        <v>74</v>
      </c>
      <c r="P342" s="1" t="s">
        <v>74</v>
      </c>
      <c r="Q342" s="1" t="s">
        <v>74</v>
      </c>
      <c r="R342" s="1" t="s">
        <v>74</v>
      </c>
      <c r="S342" s="1" t="s">
        <v>74</v>
      </c>
      <c r="T342" s="1" t="s">
        <v>74</v>
      </c>
      <c r="U342" s="1" t="s">
        <v>74</v>
      </c>
      <c r="V342" s="1" t="s">
        <v>3490</v>
      </c>
      <c r="W342" s="1" t="s">
        <v>74</v>
      </c>
      <c r="X342" s="1" t="s">
        <v>74</v>
      </c>
      <c r="Y342" s="1" t="s">
        <v>74</v>
      </c>
      <c r="Z342" s="1" t="s">
        <v>74</v>
      </c>
      <c r="AA342" s="1" t="s">
        <v>3491</v>
      </c>
      <c r="AB342" s="1" t="s">
        <v>3492</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3493</v>
      </c>
      <c r="AP342" s="1" t="s">
        <v>3494</v>
      </c>
      <c r="AQ342" s="1" t="s">
        <v>74</v>
      </c>
      <c r="AR342" s="1" t="s">
        <v>74</v>
      </c>
      <c r="AS342" s="1" t="s">
        <v>74</v>
      </c>
      <c r="AT342" s="1" t="s">
        <v>461</v>
      </c>
      <c r="AU342" s="1">
        <v>2023.0</v>
      </c>
      <c r="AV342" s="1">
        <v>352.0</v>
      </c>
      <c r="AW342" s="1" t="s">
        <v>74</v>
      </c>
      <c r="AX342" s="1" t="s">
        <v>74</v>
      </c>
      <c r="AY342" s="1" t="s">
        <v>74</v>
      </c>
      <c r="AZ342" s="1" t="s">
        <v>74</v>
      </c>
      <c r="BA342" s="1" t="s">
        <v>74</v>
      </c>
      <c r="BB342" s="1" t="s">
        <v>74</v>
      </c>
      <c r="BC342" s="1" t="s">
        <v>74</v>
      </c>
      <c r="BD342" s="1">
        <v>111524.0</v>
      </c>
      <c r="BE342" s="1" t="s">
        <v>3495</v>
      </c>
      <c r="BF342" s="2" t="str">
        <f>HYPERLINK("http://dx.doi.org/10.1016/j.jfoodeng.2023.111524","http://dx.doi.org/10.1016/j.jfoodeng.2023.111524")</f>
        <v>http://dx.doi.org/10.1016/j.jfoodeng.2023.111524</v>
      </c>
      <c r="BG342" s="1" t="s">
        <v>74</v>
      </c>
      <c r="BH342" s="1" t="s">
        <v>3496</v>
      </c>
      <c r="BI342" s="1" t="s">
        <v>74</v>
      </c>
      <c r="BJ342" s="1" t="s">
        <v>74</v>
      </c>
      <c r="BK342" s="1" t="s">
        <v>74</v>
      </c>
      <c r="BL342" s="1" t="s">
        <v>74</v>
      </c>
      <c r="BM342" s="1" t="s">
        <v>74</v>
      </c>
      <c r="BN342" s="1" t="s">
        <v>74</v>
      </c>
      <c r="BO342" s="1" t="s">
        <v>74</v>
      </c>
      <c r="BP342" s="1" t="s">
        <v>74</v>
      </c>
      <c r="BQ342" s="1" t="s">
        <v>74</v>
      </c>
      <c r="BR342" s="1" t="s">
        <v>74</v>
      </c>
      <c r="BS342" s="1" t="s">
        <v>3497</v>
      </c>
      <c r="BT342" s="1" t="str">
        <f>HYPERLINK("https%3A%2F%2Fwww.webofscience.com%2Fwos%2Fwoscc%2Ffull-record%2FWOS:000976350700001","View Full Record in Web of Science")</f>
        <v>View Full Record in Web of Science</v>
      </c>
    </row>
    <row r="343" ht="12.75" customHeight="1">
      <c r="A343" s="1" t="s">
        <v>346</v>
      </c>
      <c r="B343" s="1" t="s">
        <v>3498</v>
      </c>
      <c r="C343" s="1" t="s">
        <v>74</v>
      </c>
      <c r="D343" s="1" t="s">
        <v>3499</v>
      </c>
      <c r="E343" s="1" t="s">
        <v>74</v>
      </c>
      <c r="F343" s="1" t="s">
        <v>3500</v>
      </c>
      <c r="G343" s="1" t="s">
        <v>74</v>
      </c>
      <c r="H343" s="1" t="s">
        <v>74</v>
      </c>
      <c r="I343" s="1" t="s">
        <v>3501</v>
      </c>
      <c r="J343" s="1" t="s">
        <v>3502</v>
      </c>
      <c r="K343" s="1" t="s">
        <v>3503</v>
      </c>
      <c r="L343" s="1" t="s">
        <v>74</v>
      </c>
      <c r="M343" s="1" t="s">
        <v>74</v>
      </c>
      <c r="N343" s="1" t="s">
        <v>74</v>
      </c>
      <c r="O343" s="1" t="s">
        <v>3504</v>
      </c>
      <c r="P343" s="1" t="s">
        <v>3505</v>
      </c>
      <c r="Q343" s="1" t="s">
        <v>3506</v>
      </c>
      <c r="R343" s="1" t="s">
        <v>3507</v>
      </c>
      <c r="S343" s="1" t="s">
        <v>74</v>
      </c>
      <c r="T343" s="1" t="s">
        <v>74</v>
      </c>
      <c r="U343" s="1" t="s">
        <v>74</v>
      </c>
      <c r="V343" s="1" t="s">
        <v>3508</v>
      </c>
      <c r="W343" s="1" t="s">
        <v>74</v>
      </c>
      <c r="X343" s="1" t="s">
        <v>74</v>
      </c>
      <c r="Y343" s="1" t="s">
        <v>74</v>
      </c>
      <c r="Z343" s="1" t="s">
        <v>74</v>
      </c>
      <c r="AA343" s="1" t="s">
        <v>3509</v>
      </c>
      <c r="AB343" s="1" t="s">
        <v>3510</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3511</v>
      </c>
      <c r="AP343" s="1" t="s">
        <v>3512</v>
      </c>
      <c r="AQ343" s="1" t="s">
        <v>3513</v>
      </c>
      <c r="AR343" s="1" t="s">
        <v>74</v>
      </c>
      <c r="AS343" s="1" t="s">
        <v>74</v>
      </c>
      <c r="AT343" s="1" t="s">
        <v>74</v>
      </c>
      <c r="AU343" s="1">
        <v>2023.0</v>
      </c>
      <c r="AV343" s="1" t="s">
        <v>74</v>
      </c>
      <c r="AW343" s="1" t="s">
        <v>74</v>
      </c>
      <c r="AX343" s="1" t="s">
        <v>74</v>
      </c>
      <c r="AY343" s="1" t="s">
        <v>74</v>
      </c>
      <c r="AZ343" s="1" t="s">
        <v>74</v>
      </c>
      <c r="BA343" s="1" t="s">
        <v>74</v>
      </c>
      <c r="BB343" s="1">
        <v>147.0</v>
      </c>
      <c r="BC343" s="1">
        <v>152.0</v>
      </c>
      <c r="BD343" s="1" t="s">
        <v>74</v>
      </c>
      <c r="BE343" s="1" t="s">
        <v>3514</v>
      </c>
      <c r="BF343" s="2" t="str">
        <f>HYPERLINK("http://dx.doi.org/10.1109/ICEDEG58167.2023.10121948","http://dx.doi.org/10.1109/ICEDEG58167.2023.10121948")</f>
        <v>http://dx.doi.org/10.1109/ICEDEG58167.2023.10121948</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3515</v>
      </c>
      <c r="BT343" s="1" t="str">
        <f>HYPERLINK("https%3A%2F%2Fwww.webofscience.com%2Fwos%2Fwoscc%2Ffull-record%2FWOS:001008282100020","View Full Record in Web of Science")</f>
        <v>View Full Record in Web of Science</v>
      </c>
    </row>
    <row r="344" ht="12.75" customHeight="1">
      <c r="A344" s="1" t="s">
        <v>72</v>
      </c>
      <c r="B344" s="1" t="s">
        <v>3516</v>
      </c>
      <c r="C344" s="1" t="s">
        <v>74</v>
      </c>
      <c r="D344" s="1" t="s">
        <v>74</v>
      </c>
      <c r="E344" s="1" t="s">
        <v>74</v>
      </c>
      <c r="F344" s="1" t="s">
        <v>3517</v>
      </c>
      <c r="G344" s="1" t="s">
        <v>74</v>
      </c>
      <c r="H344" s="1" t="s">
        <v>74</v>
      </c>
      <c r="I344" s="1" t="s">
        <v>3518</v>
      </c>
      <c r="J344" s="1" t="s">
        <v>3519</v>
      </c>
      <c r="K344" s="1" t="s">
        <v>74</v>
      </c>
      <c r="L344" s="1" t="s">
        <v>74</v>
      </c>
      <c r="M344" s="1" t="s">
        <v>74</v>
      </c>
      <c r="N344" s="1" t="s">
        <v>74</v>
      </c>
      <c r="O344" s="1" t="s">
        <v>74</v>
      </c>
      <c r="P344" s="1" t="s">
        <v>74</v>
      </c>
      <c r="Q344" s="1" t="s">
        <v>74</v>
      </c>
      <c r="R344" s="1" t="s">
        <v>74</v>
      </c>
      <c r="S344" s="1" t="s">
        <v>74</v>
      </c>
      <c r="T344" s="1" t="s">
        <v>74</v>
      </c>
      <c r="U344" s="1" t="s">
        <v>74</v>
      </c>
      <c r="V344" s="1" t="s">
        <v>3520</v>
      </c>
      <c r="W344" s="1" t="s">
        <v>74</v>
      </c>
      <c r="X344" s="1" t="s">
        <v>74</v>
      </c>
      <c r="Y344" s="1" t="s">
        <v>74</v>
      </c>
      <c r="Z344" s="1" t="s">
        <v>74</v>
      </c>
      <c r="AA344" s="1" t="s">
        <v>3521</v>
      </c>
      <c r="AB344" s="1" t="s">
        <v>3522</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3523</v>
      </c>
      <c r="AP344" s="1" t="s">
        <v>3524</v>
      </c>
      <c r="AQ344" s="1" t="s">
        <v>74</v>
      </c>
      <c r="AR344" s="1" t="s">
        <v>74</v>
      </c>
      <c r="AS344" s="1" t="s">
        <v>74</v>
      </c>
      <c r="AT344" s="1" t="s">
        <v>187</v>
      </c>
      <c r="AU344" s="1">
        <v>2023.0</v>
      </c>
      <c r="AV344" s="1">
        <v>35.0</v>
      </c>
      <c r="AW344" s="1">
        <v>4.0</v>
      </c>
      <c r="AX344" s="1" t="s">
        <v>74</v>
      </c>
      <c r="AY344" s="1" t="s">
        <v>74</v>
      </c>
      <c r="AZ344" s="1" t="s">
        <v>74</v>
      </c>
      <c r="BA344" s="1" t="s">
        <v>74</v>
      </c>
      <c r="BB344" s="1" t="s">
        <v>74</v>
      </c>
      <c r="BC344" s="1" t="s">
        <v>74</v>
      </c>
      <c r="BD344" s="1" t="s">
        <v>74</v>
      </c>
      <c r="BE344" s="1" t="s">
        <v>3525</v>
      </c>
      <c r="BF344" s="2" t="str">
        <f>HYPERLINK("http://dx.doi.org/10.1002/elan.202200357","http://dx.doi.org/10.1002/elan.202200357")</f>
        <v>http://dx.doi.org/10.1002/elan.202200357</v>
      </c>
      <c r="BG344" s="1" t="s">
        <v>74</v>
      </c>
      <c r="BH344" s="1" t="s">
        <v>3526</v>
      </c>
      <c r="BI344" s="1" t="s">
        <v>74</v>
      </c>
      <c r="BJ344" s="1" t="s">
        <v>74</v>
      </c>
      <c r="BK344" s="1" t="s">
        <v>74</v>
      </c>
      <c r="BL344" s="1" t="s">
        <v>74</v>
      </c>
      <c r="BM344" s="1" t="s">
        <v>74</v>
      </c>
      <c r="BN344" s="1" t="s">
        <v>74</v>
      </c>
      <c r="BO344" s="1" t="s">
        <v>74</v>
      </c>
      <c r="BP344" s="1" t="s">
        <v>74</v>
      </c>
      <c r="BQ344" s="1" t="s">
        <v>74</v>
      </c>
      <c r="BR344" s="1" t="s">
        <v>74</v>
      </c>
      <c r="BS344" s="1" t="s">
        <v>3527</v>
      </c>
      <c r="BT344" s="1" t="str">
        <f>HYPERLINK("https%3A%2F%2Fwww.webofscience.com%2Fwos%2Fwoscc%2Ffull-record%2FWOS:000884440400001","View Full Record in Web of Science")</f>
        <v>View Full Record in Web of Science</v>
      </c>
    </row>
    <row r="345" ht="12.75" customHeight="1">
      <c r="A345" s="1" t="s">
        <v>346</v>
      </c>
      <c r="B345" s="1" t="s">
        <v>3528</v>
      </c>
      <c r="C345" s="1" t="s">
        <v>74</v>
      </c>
      <c r="D345" s="1" t="s">
        <v>3529</v>
      </c>
      <c r="E345" s="1" t="s">
        <v>74</v>
      </c>
      <c r="F345" s="1" t="s">
        <v>3530</v>
      </c>
      <c r="G345" s="1" t="s">
        <v>74</v>
      </c>
      <c r="H345" s="1" t="s">
        <v>74</v>
      </c>
      <c r="I345" s="1" t="s">
        <v>3531</v>
      </c>
      <c r="J345" s="1" t="s">
        <v>3532</v>
      </c>
      <c r="K345" s="1" t="s">
        <v>676</v>
      </c>
      <c r="L345" s="1" t="s">
        <v>74</v>
      </c>
      <c r="M345" s="1" t="s">
        <v>74</v>
      </c>
      <c r="N345" s="1" t="s">
        <v>74</v>
      </c>
      <c r="O345" s="1" t="s">
        <v>3533</v>
      </c>
      <c r="P345" s="1" t="s">
        <v>3534</v>
      </c>
      <c r="Q345" s="1" t="s">
        <v>3535</v>
      </c>
      <c r="R345" s="1" t="s">
        <v>74</v>
      </c>
      <c r="S345" s="1" t="s">
        <v>74</v>
      </c>
      <c r="T345" s="1" t="s">
        <v>74</v>
      </c>
      <c r="U345" s="1" t="s">
        <v>74</v>
      </c>
      <c r="V345" s="1" t="s">
        <v>3536</v>
      </c>
      <c r="W345" s="1" t="s">
        <v>74</v>
      </c>
      <c r="X345" s="1" t="s">
        <v>74</v>
      </c>
      <c r="Y345" s="1" t="s">
        <v>74</v>
      </c>
      <c r="Z345" s="1" t="s">
        <v>74</v>
      </c>
      <c r="AA345" s="1" t="s">
        <v>3537</v>
      </c>
      <c r="AB345" s="1" t="s">
        <v>3538</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684</v>
      </c>
      <c r="AP345" s="1" t="s">
        <v>685</v>
      </c>
      <c r="AQ345" s="1" t="s">
        <v>3539</v>
      </c>
      <c r="AR345" s="1" t="s">
        <v>74</v>
      </c>
      <c r="AS345" s="1" t="s">
        <v>74</v>
      </c>
      <c r="AT345" s="1" t="s">
        <v>74</v>
      </c>
      <c r="AU345" s="1">
        <v>2022.0</v>
      </c>
      <c r="AV345" s="1">
        <v>1541.0</v>
      </c>
      <c r="AW345" s="1" t="s">
        <v>74</v>
      </c>
      <c r="AX345" s="1" t="s">
        <v>74</v>
      </c>
      <c r="AY345" s="1" t="s">
        <v>74</v>
      </c>
      <c r="AZ345" s="1" t="s">
        <v>74</v>
      </c>
      <c r="BA345" s="1" t="s">
        <v>74</v>
      </c>
      <c r="BB345" s="1">
        <v>48.0</v>
      </c>
      <c r="BC345" s="1">
        <v>58.0</v>
      </c>
      <c r="BD345" s="1" t="s">
        <v>74</v>
      </c>
      <c r="BE345" s="1" t="s">
        <v>3540</v>
      </c>
      <c r="BF345" s="2" t="str">
        <f>HYPERLINK("http://dx.doi.org/10.1007/978-3-030-94216-8_4","http://dx.doi.org/10.1007/978-3-030-94216-8_4")</f>
        <v>http://dx.doi.org/10.1007/978-3-030-94216-8_4</v>
      </c>
      <c r="BG345" s="1" t="s">
        <v>74</v>
      </c>
      <c r="BH345" s="1" t="s">
        <v>74</v>
      </c>
      <c r="BI345" s="1" t="s">
        <v>74</v>
      </c>
      <c r="BJ345" s="1" t="s">
        <v>74</v>
      </c>
      <c r="BK345" s="1" t="s">
        <v>74</v>
      </c>
      <c r="BL345" s="1" t="s">
        <v>74</v>
      </c>
      <c r="BM345" s="1" t="s">
        <v>74</v>
      </c>
      <c r="BN345" s="1" t="s">
        <v>74</v>
      </c>
      <c r="BO345" s="1" t="s">
        <v>74</v>
      </c>
      <c r="BP345" s="1" t="s">
        <v>74</v>
      </c>
      <c r="BQ345" s="1" t="s">
        <v>74</v>
      </c>
      <c r="BR345" s="1" t="s">
        <v>74</v>
      </c>
      <c r="BS345" s="1" t="s">
        <v>3541</v>
      </c>
      <c r="BT345" s="1" t="str">
        <f>HYPERLINK("https%3A%2F%2Fwww.webofscience.com%2Fwos%2Fwoscc%2Ffull-record%2FWOS:000773472300004","View Full Record in Web of Science")</f>
        <v>View Full Record in Web of Science</v>
      </c>
    </row>
    <row r="346" ht="12.75" customHeight="1">
      <c r="A346" s="1" t="s">
        <v>72</v>
      </c>
      <c r="B346" s="1" t="s">
        <v>3542</v>
      </c>
      <c r="C346" s="1" t="s">
        <v>74</v>
      </c>
      <c r="D346" s="1" t="s">
        <v>74</v>
      </c>
      <c r="E346" s="1" t="s">
        <v>74</v>
      </c>
      <c r="F346" s="1" t="s">
        <v>3543</v>
      </c>
      <c r="G346" s="1" t="s">
        <v>74</v>
      </c>
      <c r="H346" s="1" t="s">
        <v>74</v>
      </c>
      <c r="I346" s="1" t="s">
        <v>3544</v>
      </c>
      <c r="J346" s="1" t="s">
        <v>3545</v>
      </c>
      <c r="K346" s="1" t="s">
        <v>74</v>
      </c>
      <c r="L346" s="1" t="s">
        <v>74</v>
      </c>
      <c r="M346" s="1" t="s">
        <v>74</v>
      </c>
      <c r="N346" s="1" t="s">
        <v>74</v>
      </c>
      <c r="O346" s="1" t="s">
        <v>74</v>
      </c>
      <c r="P346" s="1" t="s">
        <v>74</v>
      </c>
      <c r="Q346" s="1" t="s">
        <v>74</v>
      </c>
      <c r="R346" s="1" t="s">
        <v>74</v>
      </c>
      <c r="S346" s="1" t="s">
        <v>74</v>
      </c>
      <c r="T346" s="1" t="s">
        <v>74</v>
      </c>
      <c r="U346" s="1" t="s">
        <v>74</v>
      </c>
      <c r="V346" s="1" t="s">
        <v>3546</v>
      </c>
      <c r="W346" s="1" t="s">
        <v>74</v>
      </c>
      <c r="X346" s="1" t="s">
        <v>74</v>
      </c>
      <c r="Y346" s="1" t="s">
        <v>74</v>
      </c>
      <c r="Z346" s="1" t="s">
        <v>74</v>
      </c>
      <c r="AA346" s="1" t="s">
        <v>3547</v>
      </c>
      <c r="AB346" s="1" t="s">
        <v>3548</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3549</v>
      </c>
      <c r="AP346" s="1" t="s">
        <v>3550</v>
      </c>
      <c r="AQ346" s="1" t="s">
        <v>74</v>
      </c>
      <c r="AR346" s="1" t="s">
        <v>74</v>
      </c>
      <c r="AS346" s="1" t="s">
        <v>74</v>
      </c>
      <c r="AT346" s="1" t="s">
        <v>107</v>
      </c>
      <c r="AU346" s="1">
        <v>2023.0</v>
      </c>
      <c r="AV346" s="1">
        <v>25.0</v>
      </c>
      <c r="AW346" s="1">
        <v>1.0</v>
      </c>
      <c r="AX346" s="1" t="s">
        <v>74</v>
      </c>
      <c r="AY346" s="1" t="s">
        <v>74</v>
      </c>
      <c r="AZ346" s="1" t="s">
        <v>74</v>
      </c>
      <c r="BA346" s="1" t="s">
        <v>74</v>
      </c>
      <c r="BB346" s="1">
        <v>101.0</v>
      </c>
      <c r="BC346" s="1">
        <v>125.0</v>
      </c>
      <c r="BD346" s="1">
        <v>1.521025120971227E15</v>
      </c>
      <c r="BE346" s="1" t="s">
        <v>3551</v>
      </c>
      <c r="BF346" s="2" t="str">
        <f>HYPERLINK("http://dx.doi.org/10.1177/1521025120971227","http://dx.doi.org/10.1177/1521025120971227")</f>
        <v>http://dx.doi.org/10.1177/1521025120971227</v>
      </c>
      <c r="BG346" s="1" t="s">
        <v>74</v>
      </c>
      <c r="BH346" s="1" t="s">
        <v>189</v>
      </c>
      <c r="BI346" s="1" t="s">
        <v>74</v>
      </c>
      <c r="BJ346" s="1" t="s">
        <v>74</v>
      </c>
      <c r="BK346" s="1" t="s">
        <v>74</v>
      </c>
      <c r="BL346" s="1" t="s">
        <v>74</v>
      </c>
      <c r="BM346" s="1" t="s">
        <v>74</v>
      </c>
      <c r="BN346" s="1" t="s">
        <v>74</v>
      </c>
      <c r="BO346" s="1" t="s">
        <v>74</v>
      </c>
      <c r="BP346" s="1" t="s">
        <v>74</v>
      </c>
      <c r="BQ346" s="1" t="s">
        <v>74</v>
      </c>
      <c r="BR346" s="1" t="s">
        <v>74</v>
      </c>
      <c r="BS346" s="1" t="s">
        <v>3552</v>
      </c>
      <c r="BT346" s="1" t="str">
        <f>HYPERLINK("https%3A%2F%2Fwww.webofscience.com%2Fwos%2Fwoscc%2Ffull-record%2FWOS:000598416400001","View Full Record in Web of Science")</f>
        <v>View Full Record in Web of Science</v>
      </c>
    </row>
    <row r="347" ht="12.75" customHeight="1">
      <c r="A347" s="1" t="s">
        <v>72</v>
      </c>
      <c r="B347" s="1" t="s">
        <v>3553</v>
      </c>
      <c r="C347" s="1" t="s">
        <v>74</v>
      </c>
      <c r="D347" s="1" t="s">
        <v>74</v>
      </c>
      <c r="E347" s="1" t="s">
        <v>74</v>
      </c>
      <c r="F347" s="1" t="s">
        <v>3554</v>
      </c>
      <c r="G347" s="1" t="s">
        <v>74</v>
      </c>
      <c r="H347" s="1" t="s">
        <v>74</v>
      </c>
      <c r="I347" s="1" t="s">
        <v>3555</v>
      </c>
      <c r="J347" s="1" t="s">
        <v>3556</v>
      </c>
      <c r="K347" s="1" t="s">
        <v>74</v>
      </c>
      <c r="L347" s="1" t="s">
        <v>74</v>
      </c>
      <c r="M347" s="1" t="s">
        <v>74</v>
      </c>
      <c r="N347" s="1" t="s">
        <v>74</v>
      </c>
      <c r="O347" s="1" t="s">
        <v>74</v>
      </c>
      <c r="P347" s="1" t="s">
        <v>74</v>
      </c>
      <c r="Q347" s="1" t="s">
        <v>74</v>
      </c>
      <c r="R347" s="1" t="s">
        <v>74</v>
      </c>
      <c r="S347" s="1" t="s">
        <v>74</v>
      </c>
      <c r="T347" s="1" t="s">
        <v>74</v>
      </c>
      <c r="U347" s="1" t="s">
        <v>74</v>
      </c>
      <c r="V347" s="1" t="s">
        <v>3557</v>
      </c>
      <c r="W347" s="1" t="s">
        <v>74</v>
      </c>
      <c r="X347" s="1" t="s">
        <v>74</v>
      </c>
      <c r="Y347" s="1" t="s">
        <v>74</v>
      </c>
      <c r="Z347" s="1" t="s">
        <v>74</v>
      </c>
      <c r="AA347" s="1" t="s">
        <v>3537</v>
      </c>
      <c r="AB347" s="1" t="s">
        <v>3558</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3559</v>
      </c>
      <c r="AP347" s="1" t="s">
        <v>3560</v>
      </c>
      <c r="AQ347" s="1" t="s">
        <v>74</v>
      </c>
      <c r="AR347" s="1" t="s">
        <v>74</v>
      </c>
      <c r="AS347" s="1" t="s">
        <v>74</v>
      </c>
      <c r="AT347" s="1" t="s">
        <v>107</v>
      </c>
      <c r="AU347" s="1">
        <v>2021.0</v>
      </c>
      <c r="AV347" s="1">
        <v>28.0</v>
      </c>
      <c r="AW347" s="1">
        <v>3.0</v>
      </c>
      <c r="AX347" s="1" t="s">
        <v>74</v>
      </c>
      <c r="AY347" s="1" t="s">
        <v>74</v>
      </c>
      <c r="AZ347" s="1" t="s">
        <v>74</v>
      </c>
      <c r="BA347" s="1" t="s">
        <v>74</v>
      </c>
      <c r="BB347" s="1">
        <v>1190.0</v>
      </c>
      <c r="BC347" s="1">
        <v>1212.0</v>
      </c>
      <c r="BD347" s="1" t="s">
        <v>74</v>
      </c>
      <c r="BE347" s="1" t="s">
        <v>3561</v>
      </c>
      <c r="BF347" s="2" t="str">
        <f>HYPERLINK("http://dx.doi.org/10.1111/itor.12880","http://dx.doi.org/10.1111/itor.12880")</f>
        <v>http://dx.doi.org/10.1111/itor.12880</v>
      </c>
      <c r="BG347" s="1" t="s">
        <v>74</v>
      </c>
      <c r="BH347" s="1" t="s">
        <v>189</v>
      </c>
      <c r="BI347" s="1" t="s">
        <v>74</v>
      </c>
      <c r="BJ347" s="1" t="s">
        <v>74</v>
      </c>
      <c r="BK347" s="1" t="s">
        <v>74</v>
      </c>
      <c r="BL347" s="1" t="s">
        <v>74</v>
      </c>
      <c r="BM347" s="1" t="s">
        <v>74</v>
      </c>
      <c r="BN347" s="1" t="s">
        <v>74</v>
      </c>
      <c r="BO347" s="1" t="s">
        <v>74</v>
      </c>
      <c r="BP347" s="1" t="s">
        <v>74</v>
      </c>
      <c r="BQ347" s="1" t="s">
        <v>74</v>
      </c>
      <c r="BR347" s="1" t="s">
        <v>74</v>
      </c>
      <c r="BS347" s="1" t="s">
        <v>3562</v>
      </c>
      <c r="BT347" s="1" t="str">
        <f>HYPERLINK("https%3A%2F%2Fwww.webofscience.com%2Fwos%2Fwoscc%2Ffull-record%2FWOS:000574359000001","View Full Record in Web of Science")</f>
        <v>View Full Record in Web of Science</v>
      </c>
    </row>
    <row r="348" ht="12.75" customHeight="1">
      <c r="A348" s="1" t="s">
        <v>72</v>
      </c>
      <c r="B348" s="1" t="s">
        <v>3563</v>
      </c>
      <c r="C348" s="1" t="s">
        <v>74</v>
      </c>
      <c r="D348" s="1" t="s">
        <v>74</v>
      </c>
      <c r="E348" s="1" t="s">
        <v>74</v>
      </c>
      <c r="F348" s="1" t="s">
        <v>3564</v>
      </c>
      <c r="G348" s="1" t="s">
        <v>74</v>
      </c>
      <c r="H348" s="1" t="s">
        <v>74</v>
      </c>
      <c r="I348" s="1" t="s">
        <v>3565</v>
      </c>
      <c r="J348" s="1" t="s">
        <v>1440</v>
      </c>
      <c r="K348" s="1" t="s">
        <v>74</v>
      </c>
      <c r="L348" s="1" t="s">
        <v>74</v>
      </c>
      <c r="M348" s="1" t="s">
        <v>74</v>
      </c>
      <c r="N348" s="1" t="s">
        <v>74</v>
      </c>
      <c r="O348" s="1" t="s">
        <v>74</v>
      </c>
      <c r="P348" s="1" t="s">
        <v>74</v>
      </c>
      <c r="Q348" s="1" t="s">
        <v>74</v>
      </c>
      <c r="R348" s="1" t="s">
        <v>74</v>
      </c>
      <c r="S348" s="1" t="s">
        <v>74</v>
      </c>
      <c r="T348" s="1" t="s">
        <v>74</v>
      </c>
      <c r="U348" s="1" t="s">
        <v>74</v>
      </c>
      <c r="V348" s="1" t="s">
        <v>3566</v>
      </c>
      <c r="W348" s="1" t="s">
        <v>74</v>
      </c>
      <c r="X348" s="1" t="s">
        <v>74</v>
      </c>
      <c r="Y348" s="1" t="s">
        <v>74</v>
      </c>
      <c r="Z348" s="1" t="s">
        <v>74</v>
      </c>
      <c r="AA348" s="1" t="s">
        <v>3567</v>
      </c>
      <c r="AB348" s="1" t="s">
        <v>3568</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1443</v>
      </c>
      <c r="AP348" s="1" t="s">
        <v>1444</v>
      </c>
      <c r="AQ348" s="1" t="s">
        <v>74</v>
      </c>
      <c r="AR348" s="1" t="s">
        <v>74</v>
      </c>
      <c r="AS348" s="1" t="s">
        <v>74</v>
      </c>
      <c r="AT348" s="1" t="s">
        <v>647</v>
      </c>
      <c r="AU348" s="1">
        <v>2020.0</v>
      </c>
      <c r="AV348" s="1">
        <v>148.0</v>
      </c>
      <c r="AW348" s="1">
        <v>8.0</v>
      </c>
      <c r="AX348" s="1" t="s">
        <v>74</v>
      </c>
      <c r="AY348" s="1" t="s">
        <v>74</v>
      </c>
      <c r="AZ348" s="1" t="s">
        <v>74</v>
      </c>
      <c r="BA348" s="1" t="s">
        <v>74</v>
      </c>
      <c r="BB348" s="1">
        <v>1128.0</v>
      </c>
      <c r="BC348" s="1">
        <v>1138.0</v>
      </c>
      <c r="BD348" s="1" t="s">
        <v>74</v>
      </c>
      <c r="BE348" s="1" t="s">
        <v>74</v>
      </c>
      <c r="BF348" s="1" t="s">
        <v>74</v>
      </c>
      <c r="BG348" s="1" t="s">
        <v>74</v>
      </c>
      <c r="BH348" s="1" t="s">
        <v>74</v>
      </c>
      <c r="BI348" s="1" t="s">
        <v>74</v>
      </c>
      <c r="BJ348" s="1" t="s">
        <v>74</v>
      </c>
      <c r="BK348" s="1" t="s">
        <v>74</v>
      </c>
      <c r="BL348" s="1" t="s">
        <v>74</v>
      </c>
      <c r="BM348" s="1" t="s">
        <v>74</v>
      </c>
      <c r="BN348" s="1">
        <v>3.339978E7</v>
      </c>
      <c r="BO348" s="1" t="s">
        <v>74</v>
      </c>
      <c r="BP348" s="1" t="s">
        <v>74</v>
      </c>
      <c r="BQ348" s="1" t="s">
        <v>74</v>
      </c>
      <c r="BR348" s="1" t="s">
        <v>74</v>
      </c>
      <c r="BS348" s="1" t="s">
        <v>3569</v>
      </c>
      <c r="BT348" s="1" t="str">
        <f>HYPERLINK("https%3A%2F%2Fwww.webofscience.com%2Fwos%2Fwoscc%2Ffull-record%2FWOS:000604270200010","View Full Record in Web of Science")</f>
        <v>View Full Record in Web of Science</v>
      </c>
    </row>
    <row r="349" ht="12.75" customHeight="1">
      <c r="A349" s="1" t="s">
        <v>72</v>
      </c>
      <c r="B349" s="1" t="s">
        <v>3570</v>
      </c>
      <c r="C349" s="1" t="s">
        <v>74</v>
      </c>
      <c r="D349" s="1" t="s">
        <v>74</v>
      </c>
      <c r="E349" s="1" t="s">
        <v>74</v>
      </c>
      <c r="F349" s="1" t="s">
        <v>3571</v>
      </c>
      <c r="G349" s="1" t="s">
        <v>74</v>
      </c>
      <c r="H349" s="1" t="s">
        <v>74</v>
      </c>
      <c r="I349" s="1" t="s">
        <v>3572</v>
      </c>
      <c r="J349" s="1" t="s">
        <v>3573</v>
      </c>
      <c r="K349" s="1" t="s">
        <v>74</v>
      </c>
      <c r="L349" s="1" t="s">
        <v>74</v>
      </c>
      <c r="M349" s="1" t="s">
        <v>74</v>
      </c>
      <c r="N349" s="1" t="s">
        <v>74</v>
      </c>
      <c r="O349" s="1" t="s">
        <v>74</v>
      </c>
      <c r="P349" s="1" t="s">
        <v>74</v>
      </c>
      <c r="Q349" s="1" t="s">
        <v>74</v>
      </c>
      <c r="R349" s="1" t="s">
        <v>74</v>
      </c>
      <c r="S349" s="1" t="s">
        <v>74</v>
      </c>
      <c r="T349" s="1" t="s">
        <v>74</v>
      </c>
      <c r="U349" s="1" t="s">
        <v>74</v>
      </c>
      <c r="V349" s="1" t="s">
        <v>3574</v>
      </c>
      <c r="W349" s="1" t="s">
        <v>74</v>
      </c>
      <c r="X349" s="1" t="s">
        <v>74</v>
      </c>
      <c r="Y349" s="1" t="s">
        <v>74</v>
      </c>
      <c r="Z349" s="1" t="s">
        <v>74</v>
      </c>
      <c r="AA349" s="1" t="s">
        <v>293</v>
      </c>
      <c r="AB349" s="1" t="s">
        <v>294</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3575</v>
      </c>
      <c r="AP349" s="1" t="s">
        <v>3576</v>
      </c>
      <c r="AQ349" s="1" t="s">
        <v>74</v>
      </c>
      <c r="AR349" s="1" t="s">
        <v>74</v>
      </c>
      <c r="AS349" s="1" t="s">
        <v>74</v>
      </c>
      <c r="AT349" s="1" t="s">
        <v>554</v>
      </c>
      <c r="AU349" s="1">
        <v>2020.0</v>
      </c>
      <c r="AV349" s="1">
        <v>21.0</v>
      </c>
      <c r="AW349" s="1">
        <v>6.0</v>
      </c>
      <c r="AX349" s="1" t="s">
        <v>74</v>
      </c>
      <c r="AY349" s="1" t="s">
        <v>74</v>
      </c>
      <c r="AZ349" s="1" t="s">
        <v>74</v>
      </c>
      <c r="BA349" s="1" t="s">
        <v>74</v>
      </c>
      <c r="BB349" s="1">
        <v>1893.0</v>
      </c>
      <c r="BC349" s="1">
        <v>1945.0</v>
      </c>
      <c r="BD349" s="1" t="s">
        <v>74</v>
      </c>
      <c r="BE349" s="1" t="s">
        <v>3577</v>
      </c>
      <c r="BF349" s="2" t="str">
        <f>HYPERLINK("http://dx.doi.org/10.1007/s00023-020-00896-3","http://dx.doi.org/10.1007/s00023-020-00896-3")</f>
        <v>http://dx.doi.org/10.1007/s00023-020-00896-3</v>
      </c>
      <c r="BG349" s="1" t="s">
        <v>74</v>
      </c>
      <c r="BH349" s="1" t="s">
        <v>3578</v>
      </c>
      <c r="BI349" s="1" t="s">
        <v>74</v>
      </c>
      <c r="BJ349" s="1" t="s">
        <v>74</v>
      </c>
      <c r="BK349" s="1" t="s">
        <v>74</v>
      </c>
      <c r="BL349" s="1" t="s">
        <v>74</v>
      </c>
      <c r="BM349" s="1" t="s">
        <v>74</v>
      </c>
      <c r="BN349" s="1" t="s">
        <v>74</v>
      </c>
      <c r="BO349" s="1" t="s">
        <v>74</v>
      </c>
      <c r="BP349" s="1" t="s">
        <v>74</v>
      </c>
      <c r="BQ349" s="1" t="s">
        <v>74</v>
      </c>
      <c r="BR349" s="1" t="s">
        <v>74</v>
      </c>
      <c r="BS349" s="1" t="s">
        <v>3579</v>
      </c>
      <c r="BT349" s="1" t="str">
        <f>HYPERLINK("https%3A%2F%2Fwww.webofscience.com%2Fwos%2Fwoscc%2Ffull-record%2FWOS:000518051400001","View Full Record in Web of Science")</f>
        <v>View Full Record in Web of Science</v>
      </c>
    </row>
    <row r="350" ht="12.75" customHeight="1">
      <c r="A350" s="1" t="s">
        <v>72</v>
      </c>
      <c r="B350" s="1" t="s">
        <v>3580</v>
      </c>
      <c r="C350" s="1" t="s">
        <v>74</v>
      </c>
      <c r="D350" s="1" t="s">
        <v>74</v>
      </c>
      <c r="E350" s="1" t="s">
        <v>74</v>
      </c>
      <c r="F350" s="1" t="s">
        <v>3581</v>
      </c>
      <c r="G350" s="1" t="s">
        <v>74</v>
      </c>
      <c r="H350" s="1" t="s">
        <v>74</v>
      </c>
      <c r="I350" s="1" t="s">
        <v>3582</v>
      </c>
      <c r="J350" s="1" t="s">
        <v>3583</v>
      </c>
      <c r="K350" s="1" t="s">
        <v>74</v>
      </c>
      <c r="L350" s="1" t="s">
        <v>74</v>
      </c>
      <c r="M350" s="1" t="s">
        <v>74</v>
      </c>
      <c r="N350" s="1" t="s">
        <v>74</v>
      </c>
      <c r="O350" s="1" t="s">
        <v>74</v>
      </c>
      <c r="P350" s="1" t="s">
        <v>74</v>
      </c>
      <c r="Q350" s="1" t="s">
        <v>74</v>
      </c>
      <c r="R350" s="1" t="s">
        <v>74</v>
      </c>
      <c r="S350" s="1" t="s">
        <v>74</v>
      </c>
      <c r="T350" s="1" t="s">
        <v>74</v>
      </c>
      <c r="U350" s="1" t="s">
        <v>74</v>
      </c>
      <c r="V350" s="1" t="s">
        <v>74</v>
      </c>
      <c r="W350" s="1" t="s">
        <v>74</v>
      </c>
      <c r="X350" s="1" t="s">
        <v>74</v>
      </c>
      <c r="Y350" s="1" t="s">
        <v>74</v>
      </c>
      <c r="Z350" s="1" t="s">
        <v>74</v>
      </c>
      <c r="AA350" s="1" t="s">
        <v>3584</v>
      </c>
      <c r="AB350" s="1" t="s">
        <v>3585</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3586</v>
      </c>
      <c r="AP350" s="1" t="s">
        <v>3587</v>
      </c>
      <c r="AQ350" s="1" t="s">
        <v>74</v>
      </c>
      <c r="AR350" s="1" t="s">
        <v>74</v>
      </c>
      <c r="AS350" s="1" t="s">
        <v>74</v>
      </c>
      <c r="AT350" s="1" t="s">
        <v>647</v>
      </c>
      <c r="AU350" s="1">
        <v>2019.0</v>
      </c>
      <c r="AV350" s="1">
        <v>29.0</v>
      </c>
      <c r="AW350" s="1">
        <v>8.0</v>
      </c>
      <c r="AX350" s="1" t="s">
        <v>74</v>
      </c>
      <c r="AY350" s="1" t="s">
        <v>74</v>
      </c>
      <c r="AZ350" s="1" t="s">
        <v>74</v>
      </c>
      <c r="BA350" s="1" t="s">
        <v>74</v>
      </c>
      <c r="BB350" s="1">
        <v>2553.0</v>
      </c>
      <c r="BC350" s="1">
        <v>2553.0</v>
      </c>
      <c r="BD350" s="1" t="s">
        <v>74</v>
      </c>
      <c r="BE350" s="1" t="s">
        <v>3588</v>
      </c>
      <c r="BF350" s="2" t="str">
        <f>HYPERLINK("http://dx.doi.org/10.1007/s11695-019-03949-7","http://dx.doi.org/10.1007/s11695-019-03949-7")</f>
        <v>http://dx.doi.org/10.1007/s11695-019-03949-7</v>
      </c>
      <c r="BG350" s="1" t="s">
        <v>74</v>
      </c>
      <c r="BH350" s="1" t="s">
        <v>74</v>
      </c>
      <c r="BI350" s="1" t="s">
        <v>74</v>
      </c>
      <c r="BJ350" s="1" t="s">
        <v>74</v>
      </c>
      <c r="BK350" s="1" t="s">
        <v>74</v>
      </c>
      <c r="BL350" s="1" t="s">
        <v>74</v>
      </c>
      <c r="BM350" s="1" t="s">
        <v>74</v>
      </c>
      <c r="BN350" s="1">
        <v>3.1175556E7</v>
      </c>
      <c r="BO350" s="1" t="s">
        <v>74</v>
      </c>
      <c r="BP350" s="1" t="s">
        <v>74</v>
      </c>
      <c r="BQ350" s="1" t="s">
        <v>74</v>
      </c>
      <c r="BR350" s="1" t="s">
        <v>74</v>
      </c>
      <c r="BS350" s="1" t="s">
        <v>3589</v>
      </c>
      <c r="BT350" s="1" t="str">
        <f>HYPERLINK("https%3A%2F%2Fwww.webofscience.com%2Fwos%2Fwoscc%2Ffull-record%2FWOS:000477590600025","View Full Record in Web of Science")</f>
        <v>View Full Record in Web of Science</v>
      </c>
    </row>
    <row r="351" ht="12.75" customHeight="1">
      <c r="A351" s="1" t="s">
        <v>380</v>
      </c>
      <c r="B351" s="1" t="s">
        <v>3590</v>
      </c>
      <c r="C351" s="1" t="s">
        <v>74</v>
      </c>
      <c r="D351" s="1" t="s">
        <v>2462</v>
      </c>
      <c r="E351" s="1" t="s">
        <v>74</v>
      </c>
      <c r="F351" s="1" t="s">
        <v>3591</v>
      </c>
      <c r="G351" s="1" t="s">
        <v>74</v>
      </c>
      <c r="H351" s="1" t="s">
        <v>74</v>
      </c>
      <c r="I351" s="1" t="s">
        <v>3592</v>
      </c>
      <c r="J351" s="1" t="s">
        <v>2465</v>
      </c>
      <c r="K351" s="1" t="s">
        <v>74</v>
      </c>
      <c r="L351" s="1" t="s">
        <v>74</v>
      </c>
      <c r="M351" s="1" t="s">
        <v>74</v>
      </c>
      <c r="N351" s="1" t="s">
        <v>74</v>
      </c>
      <c r="O351" s="1" t="s">
        <v>74</v>
      </c>
      <c r="P351" s="1" t="s">
        <v>74</v>
      </c>
      <c r="Q351" s="1" t="s">
        <v>74</v>
      </c>
      <c r="R351" s="1" t="s">
        <v>74</v>
      </c>
      <c r="S351" s="1" t="s">
        <v>74</v>
      </c>
      <c r="T351" s="1" t="s">
        <v>74</v>
      </c>
      <c r="U351" s="1" t="s">
        <v>74</v>
      </c>
      <c r="V351" s="1" t="s">
        <v>74</v>
      </c>
      <c r="W351" s="1" t="s">
        <v>74</v>
      </c>
      <c r="X351" s="1" t="s">
        <v>74</v>
      </c>
      <c r="Y351" s="1" t="s">
        <v>74</v>
      </c>
      <c r="Z351" s="1" t="s">
        <v>74</v>
      </c>
      <c r="AA351" s="1" t="s">
        <v>74</v>
      </c>
      <c r="AB351" s="1" t="s">
        <v>74</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74</v>
      </c>
      <c r="AP351" s="1" t="s">
        <v>74</v>
      </c>
      <c r="AQ351" s="1" t="s">
        <v>2466</v>
      </c>
      <c r="AR351" s="1" t="s">
        <v>74</v>
      </c>
      <c r="AS351" s="1" t="s">
        <v>74</v>
      </c>
      <c r="AT351" s="1" t="s">
        <v>74</v>
      </c>
      <c r="AU351" s="1">
        <v>2018.0</v>
      </c>
      <c r="AV351" s="1" t="s">
        <v>74</v>
      </c>
      <c r="AW351" s="1" t="s">
        <v>74</v>
      </c>
      <c r="AX351" s="1" t="s">
        <v>74</v>
      </c>
      <c r="AY351" s="1" t="s">
        <v>74</v>
      </c>
      <c r="AZ351" s="1" t="s">
        <v>74</v>
      </c>
      <c r="BA351" s="1" t="s">
        <v>74</v>
      </c>
      <c r="BB351" s="1">
        <v>107.0</v>
      </c>
      <c r="BC351" s="1">
        <v>133.0</v>
      </c>
      <c r="BD351" s="1" t="s">
        <v>74</v>
      </c>
      <c r="BE351" s="1" t="s">
        <v>74</v>
      </c>
      <c r="BF351" s="1" t="s">
        <v>74</v>
      </c>
      <c r="BG351" s="1" t="s">
        <v>2467</v>
      </c>
      <c r="BH351" s="1" t="s">
        <v>74</v>
      </c>
      <c r="BI351" s="1" t="s">
        <v>74</v>
      </c>
      <c r="BJ351" s="1" t="s">
        <v>74</v>
      </c>
      <c r="BK351" s="1" t="s">
        <v>74</v>
      </c>
      <c r="BL351" s="1" t="s">
        <v>74</v>
      </c>
      <c r="BM351" s="1" t="s">
        <v>74</v>
      </c>
      <c r="BN351" s="1" t="s">
        <v>74</v>
      </c>
      <c r="BO351" s="1" t="s">
        <v>74</v>
      </c>
      <c r="BP351" s="1" t="s">
        <v>74</v>
      </c>
      <c r="BQ351" s="1" t="s">
        <v>74</v>
      </c>
      <c r="BR351" s="1" t="s">
        <v>74</v>
      </c>
      <c r="BS351" s="1" t="s">
        <v>3593</v>
      </c>
      <c r="BT351" s="1" t="str">
        <f>HYPERLINK("https%3A%2F%2Fwww.webofscience.com%2Fwos%2Fwoscc%2Ffull-record%2FWOS:000440942900004","View Full Record in Web of Science")</f>
        <v>View Full Record in Web of Science</v>
      </c>
    </row>
    <row r="352" ht="12.75" customHeight="1">
      <c r="A352" s="1" t="s">
        <v>380</v>
      </c>
      <c r="B352" s="1" t="s">
        <v>3594</v>
      </c>
      <c r="C352" s="1" t="s">
        <v>74</v>
      </c>
      <c r="D352" s="1" t="s">
        <v>3595</v>
      </c>
      <c r="E352" s="1" t="s">
        <v>74</v>
      </c>
      <c r="F352" s="1" t="s">
        <v>3596</v>
      </c>
      <c r="G352" s="1" t="s">
        <v>74</v>
      </c>
      <c r="H352" s="1" t="s">
        <v>74</v>
      </c>
      <c r="I352" s="1" t="s">
        <v>3597</v>
      </c>
      <c r="J352" s="1" t="s">
        <v>3598</v>
      </c>
      <c r="K352" s="1" t="s">
        <v>74</v>
      </c>
      <c r="L352" s="1" t="s">
        <v>74</v>
      </c>
      <c r="M352" s="1" t="s">
        <v>74</v>
      </c>
      <c r="N352" s="1" t="s">
        <v>74</v>
      </c>
      <c r="O352" s="1" t="s">
        <v>74</v>
      </c>
      <c r="P352" s="1" t="s">
        <v>74</v>
      </c>
      <c r="Q352" s="1" t="s">
        <v>74</v>
      </c>
      <c r="R352" s="1" t="s">
        <v>74</v>
      </c>
      <c r="S352" s="1" t="s">
        <v>74</v>
      </c>
      <c r="T352" s="1" t="s">
        <v>74</v>
      </c>
      <c r="U352" s="1" t="s">
        <v>74</v>
      </c>
      <c r="V352" s="1" t="s">
        <v>74</v>
      </c>
      <c r="W352" s="1" t="s">
        <v>74</v>
      </c>
      <c r="X352" s="1" t="s">
        <v>74</v>
      </c>
      <c r="Y352" s="1" t="s">
        <v>74</v>
      </c>
      <c r="Z352" s="1" t="s">
        <v>74</v>
      </c>
      <c r="AA352" s="1" t="s">
        <v>74</v>
      </c>
      <c r="AB352" s="1" t="s">
        <v>74</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74</v>
      </c>
      <c r="AP352" s="1" t="s">
        <v>74</v>
      </c>
      <c r="AQ352" s="1" t="s">
        <v>3599</v>
      </c>
      <c r="AR352" s="1" t="s">
        <v>74</v>
      </c>
      <c r="AS352" s="1" t="s">
        <v>74</v>
      </c>
      <c r="AT352" s="1" t="s">
        <v>74</v>
      </c>
      <c r="AU352" s="1">
        <v>2018.0</v>
      </c>
      <c r="AV352" s="1" t="s">
        <v>74</v>
      </c>
      <c r="AW352" s="1" t="s">
        <v>74</v>
      </c>
      <c r="AX352" s="1" t="s">
        <v>74</v>
      </c>
      <c r="AY352" s="1" t="s">
        <v>74</v>
      </c>
      <c r="AZ352" s="1" t="s">
        <v>74</v>
      </c>
      <c r="BA352" s="1" t="s">
        <v>74</v>
      </c>
      <c r="BB352" s="1">
        <v>109.0</v>
      </c>
      <c r="BC352" s="1">
        <v>124.0</v>
      </c>
      <c r="BD352" s="1" t="s">
        <v>74</v>
      </c>
      <c r="BE352" s="1" t="s">
        <v>74</v>
      </c>
      <c r="BF352" s="1" t="s">
        <v>74</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3600</v>
      </c>
      <c r="BT352" s="1" t="str">
        <f>HYPERLINK("https%3A%2F%2Fwww.webofscience.com%2Fwos%2Fwoscc%2Ffull-record%2FWOS:000462868900007","View Full Record in Web of Science")</f>
        <v>View Full Record in Web of Science</v>
      </c>
    </row>
    <row r="353" ht="12.75" customHeight="1">
      <c r="A353" s="1" t="s">
        <v>72</v>
      </c>
      <c r="B353" s="1" t="s">
        <v>3601</v>
      </c>
      <c r="C353" s="1" t="s">
        <v>74</v>
      </c>
      <c r="D353" s="1" t="s">
        <v>74</v>
      </c>
      <c r="E353" s="1" t="s">
        <v>74</v>
      </c>
      <c r="F353" s="1" t="s">
        <v>3602</v>
      </c>
      <c r="G353" s="1" t="s">
        <v>74</v>
      </c>
      <c r="H353" s="1" t="s">
        <v>74</v>
      </c>
      <c r="I353" s="1" t="s">
        <v>3603</v>
      </c>
      <c r="J353" s="1" t="s">
        <v>3604</v>
      </c>
      <c r="K353" s="1" t="s">
        <v>74</v>
      </c>
      <c r="L353" s="1" t="s">
        <v>74</v>
      </c>
      <c r="M353" s="1" t="s">
        <v>74</v>
      </c>
      <c r="N353" s="1" t="s">
        <v>74</v>
      </c>
      <c r="O353" s="1" t="s">
        <v>74</v>
      </c>
      <c r="P353" s="1" t="s">
        <v>74</v>
      </c>
      <c r="Q353" s="1" t="s">
        <v>74</v>
      </c>
      <c r="R353" s="1" t="s">
        <v>74</v>
      </c>
      <c r="S353" s="1" t="s">
        <v>74</v>
      </c>
      <c r="T353" s="1" t="s">
        <v>74</v>
      </c>
      <c r="U353" s="1" t="s">
        <v>74</v>
      </c>
      <c r="V353" s="1" t="s">
        <v>3605</v>
      </c>
      <c r="W353" s="1" t="s">
        <v>74</v>
      </c>
      <c r="X353" s="1" t="s">
        <v>74</v>
      </c>
      <c r="Y353" s="1" t="s">
        <v>74</v>
      </c>
      <c r="Z353" s="1" t="s">
        <v>74</v>
      </c>
      <c r="AA353" s="1" t="s">
        <v>3606</v>
      </c>
      <c r="AB353" s="1" t="s">
        <v>3607</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3608</v>
      </c>
      <c r="AP353" s="1" t="s">
        <v>74</v>
      </c>
      <c r="AQ353" s="1" t="s">
        <v>74</v>
      </c>
      <c r="AR353" s="1" t="s">
        <v>74</v>
      </c>
      <c r="AS353" s="1" t="s">
        <v>74</v>
      </c>
      <c r="AT353" s="1" t="s">
        <v>3609</v>
      </c>
      <c r="AU353" s="1">
        <v>2017.0</v>
      </c>
      <c r="AV353" s="1">
        <v>8.0</v>
      </c>
      <c r="AW353" s="1" t="s">
        <v>74</v>
      </c>
      <c r="AX353" s="1" t="s">
        <v>74</v>
      </c>
      <c r="AY353" s="1" t="s">
        <v>74</v>
      </c>
      <c r="AZ353" s="1" t="s">
        <v>74</v>
      </c>
      <c r="BA353" s="1" t="s">
        <v>74</v>
      </c>
      <c r="BB353" s="1" t="s">
        <v>74</v>
      </c>
      <c r="BC353" s="1" t="s">
        <v>74</v>
      </c>
      <c r="BD353" s="1">
        <v>758.0</v>
      </c>
      <c r="BE353" s="1" t="s">
        <v>3610</v>
      </c>
      <c r="BF353" s="2" t="str">
        <f>HYPERLINK("http://dx.doi.org/10.3389/fpls.2017.00758","http://dx.doi.org/10.3389/fpls.2017.00758")</f>
        <v>http://dx.doi.org/10.3389/fpls.2017.00758</v>
      </c>
      <c r="BG353" s="1" t="s">
        <v>74</v>
      </c>
      <c r="BH353" s="1" t="s">
        <v>74</v>
      </c>
      <c r="BI353" s="1" t="s">
        <v>74</v>
      </c>
      <c r="BJ353" s="1" t="s">
        <v>74</v>
      </c>
      <c r="BK353" s="1" t="s">
        <v>74</v>
      </c>
      <c r="BL353" s="1" t="s">
        <v>74</v>
      </c>
      <c r="BM353" s="1" t="s">
        <v>74</v>
      </c>
      <c r="BN353" s="1">
        <v>2.85533E7</v>
      </c>
      <c r="BO353" s="1" t="s">
        <v>74</v>
      </c>
      <c r="BP353" s="1" t="s">
        <v>74</v>
      </c>
      <c r="BQ353" s="1" t="s">
        <v>74</v>
      </c>
      <c r="BR353" s="1" t="s">
        <v>74</v>
      </c>
      <c r="BS353" s="1" t="s">
        <v>3611</v>
      </c>
      <c r="BT353" s="1" t="str">
        <f>HYPERLINK("https%3A%2F%2Fwww.webofscience.com%2Fwos%2Fwoscc%2Ffull-record%2FWOS:000401188500001","View Full Record in Web of Science")</f>
        <v>View Full Record in Web of Science</v>
      </c>
    </row>
    <row r="354" ht="12.75" customHeight="1">
      <c r="A354" s="1" t="s">
        <v>72</v>
      </c>
      <c r="B354" s="1" t="s">
        <v>3612</v>
      </c>
      <c r="C354" s="1" t="s">
        <v>74</v>
      </c>
      <c r="D354" s="1" t="s">
        <v>74</v>
      </c>
      <c r="E354" s="1" t="s">
        <v>74</v>
      </c>
      <c r="F354" s="1" t="s">
        <v>3613</v>
      </c>
      <c r="G354" s="1" t="s">
        <v>74</v>
      </c>
      <c r="H354" s="1" t="s">
        <v>74</v>
      </c>
      <c r="I354" s="1" t="s">
        <v>3614</v>
      </c>
      <c r="J354" s="1" t="s">
        <v>3615</v>
      </c>
      <c r="K354" s="1" t="s">
        <v>74</v>
      </c>
      <c r="L354" s="1" t="s">
        <v>74</v>
      </c>
      <c r="M354" s="1" t="s">
        <v>74</v>
      </c>
      <c r="N354" s="1" t="s">
        <v>74</v>
      </c>
      <c r="O354" s="1" t="s">
        <v>74</v>
      </c>
      <c r="P354" s="1" t="s">
        <v>74</v>
      </c>
      <c r="Q354" s="1" t="s">
        <v>74</v>
      </c>
      <c r="R354" s="1" t="s">
        <v>74</v>
      </c>
      <c r="S354" s="1" t="s">
        <v>74</v>
      </c>
      <c r="T354" s="1" t="s">
        <v>74</v>
      </c>
      <c r="U354" s="1" t="s">
        <v>74</v>
      </c>
      <c r="V354" s="1" t="s">
        <v>3616</v>
      </c>
      <c r="W354" s="1" t="s">
        <v>74</v>
      </c>
      <c r="X354" s="1" t="s">
        <v>74</v>
      </c>
      <c r="Y354" s="1" t="s">
        <v>74</v>
      </c>
      <c r="Z354" s="1" t="s">
        <v>74</v>
      </c>
      <c r="AA354" s="1" t="s">
        <v>3617</v>
      </c>
      <c r="AB354" s="1" t="s">
        <v>3618</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3619</v>
      </c>
      <c r="AP354" s="1" t="s">
        <v>3620</v>
      </c>
      <c r="AQ354" s="1" t="s">
        <v>74</v>
      </c>
      <c r="AR354" s="1" t="s">
        <v>74</v>
      </c>
      <c r="AS354" s="1" t="s">
        <v>74</v>
      </c>
      <c r="AT354" s="1" t="s">
        <v>2420</v>
      </c>
      <c r="AU354" s="1">
        <v>2016.0</v>
      </c>
      <c r="AV354" s="1">
        <v>58.0</v>
      </c>
      <c r="AW354" s="1">
        <v>10.0</v>
      </c>
      <c r="AX354" s="1" t="s">
        <v>74</v>
      </c>
      <c r="AY354" s="1" t="s">
        <v>74</v>
      </c>
      <c r="AZ354" s="1" t="s">
        <v>74</v>
      </c>
      <c r="BA354" s="1" t="s">
        <v>74</v>
      </c>
      <c r="BB354" s="1">
        <v>2134.0</v>
      </c>
      <c r="BC354" s="1">
        <v>2147.0</v>
      </c>
      <c r="BD354" s="1" t="s">
        <v>74</v>
      </c>
      <c r="BE354" s="1" t="s">
        <v>3621</v>
      </c>
      <c r="BF354" s="2" t="str">
        <f>HYPERLINK("http://dx.doi.org/10.1016/j.asr.2016.06.012","http://dx.doi.org/10.1016/j.asr.2016.06.012")</f>
        <v>http://dx.doi.org/10.1016/j.asr.2016.06.012</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3622</v>
      </c>
      <c r="BT354" s="1" t="str">
        <f>HYPERLINK("https%3A%2F%2Fwww.webofscience.com%2Fwos%2Fwoscc%2Ffull-record%2FWOS:000387521000024","View Full Record in Web of Science")</f>
        <v>View Full Record in Web of Science</v>
      </c>
    </row>
    <row r="355" ht="12.75" customHeight="1">
      <c r="A355" s="1" t="s">
        <v>72</v>
      </c>
      <c r="B355" s="1" t="s">
        <v>3623</v>
      </c>
      <c r="C355" s="1" t="s">
        <v>74</v>
      </c>
      <c r="D355" s="1" t="s">
        <v>74</v>
      </c>
      <c r="E355" s="1" t="s">
        <v>74</v>
      </c>
      <c r="F355" s="1" t="s">
        <v>3624</v>
      </c>
      <c r="G355" s="1" t="s">
        <v>74</v>
      </c>
      <c r="H355" s="1" t="s">
        <v>74</v>
      </c>
      <c r="I355" s="1" t="s">
        <v>3625</v>
      </c>
      <c r="J355" s="1" t="s">
        <v>421</v>
      </c>
      <c r="K355" s="1" t="s">
        <v>74</v>
      </c>
      <c r="L355" s="1" t="s">
        <v>74</v>
      </c>
      <c r="M355" s="1" t="s">
        <v>74</v>
      </c>
      <c r="N355" s="1" t="s">
        <v>74</v>
      </c>
      <c r="O355" s="1" t="s">
        <v>74</v>
      </c>
      <c r="P355" s="1" t="s">
        <v>74</v>
      </c>
      <c r="Q355" s="1" t="s">
        <v>74</v>
      </c>
      <c r="R355" s="1" t="s">
        <v>74</v>
      </c>
      <c r="S355" s="1" t="s">
        <v>74</v>
      </c>
      <c r="T355" s="1" t="s">
        <v>74</v>
      </c>
      <c r="U355" s="1" t="s">
        <v>74</v>
      </c>
      <c r="V355" s="1" t="s">
        <v>3626</v>
      </c>
      <c r="W355" s="1" t="s">
        <v>74</v>
      </c>
      <c r="X355" s="1" t="s">
        <v>74</v>
      </c>
      <c r="Y355" s="1" t="s">
        <v>74</v>
      </c>
      <c r="Z355" s="1" t="s">
        <v>74</v>
      </c>
      <c r="AA355" s="1" t="s">
        <v>3627</v>
      </c>
      <c r="AB355" s="1" t="s">
        <v>3628</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425</v>
      </c>
      <c r="AP355" s="1" t="s">
        <v>426</v>
      </c>
      <c r="AQ355" s="1" t="s">
        <v>74</v>
      </c>
      <c r="AR355" s="1" t="s">
        <v>74</v>
      </c>
      <c r="AS355" s="1" t="s">
        <v>74</v>
      </c>
      <c r="AT355" s="1" t="s">
        <v>3629</v>
      </c>
      <c r="AU355" s="1">
        <v>2016.0</v>
      </c>
      <c r="AV355" s="1">
        <v>510.0</v>
      </c>
      <c r="AW355" s="1" t="s">
        <v>74</v>
      </c>
      <c r="AX355" s="1" t="s">
        <v>74</v>
      </c>
      <c r="AY355" s="1" t="s">
        <v>74</v>
      </c>
      <c r="AZ355" s="1" t="s">
        <v>74</v>
      </c>
      <c r="BA355" s="1" t="s">
        <v>74</v>
      </c>
      <c r="BB355" s="1">
        <v>49.0</v>
      </c>
      <c r="BC355" s="1">
        <v>56.0</v>
      </c>
      <c r="BD355" s="1" t="s">
        <v>74</v>
      </c>
      <c r="BE355" s="1" t="s">
        <v>3630</v>
      </c>
      <c r="BF355" s="2" t="str">
        <f>HYPERLINK("http://dx.doi.org/10.1016/j.apcata.2015.10.050","http://dx.doi.org/10.1016/j.apcata.2015.10.050")</f>
        <v>http://dx.doi.org/10.1016/j.apcata.2015.10.050</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3631</v>
      </c>
      <c r="BT355" s="1" t="str">
        <f>HYPERLINK("https%3A%2F%2Fwww.webofscience.com%2Fwos%2Fwoscc%2Ffull-record%2FWOS:000369214300007","View Full Record in Web of Science")</f>
        <v>View Full Record in Web of Science</v>
      </c>
    </row>
    <row r="356" ht="12.75" customHeight="1">
      <c r="A356" s="1" t="s">
        <v>72</v>
      </c>
      <c r="B356" s="1" t="s">
        <v>3632</v>
      </c>
      <c r="C356" s="1" t="s">
        <v>74</v>
      </c>
      <c r="D356" s="1" t="s">
        <v>74</v>
      </c>
      <c r="E356" s="1" t="s">
        <v>74</v>
      </c>
      <c r="F356" s="1" t="s">
        <v>3633</v>
      </c>
      <c r="G356" s="1" t="s">
        <v>74</v>
      </c>
      <c r="H356" s="1" t="s">
        <v>74</v>
      </c>
      <c r="I356" s="1" t="s">
        <v>3634</v>
      </c>
      <c r="J356" s="1" t="s">
        <v>3635</v>
      </c>
      <c r="K356" s="1" t="s">
        <v>74</v>
      </c>
      <c r="L356" s="1" t="s">
        <v>74</v>
      </c>
      <c r="M356" s="1" t="s">
        <v>74</v>
      </c>
      <c r="N356" s="1" t="s">
        <v>74</v>
      </c>
      <c r="O356" s="1" t="s">
        <v>74</v>
      </c>
      <c r="P356" s="1" t="s">
        <v>74</v>
      </c>
      <c r="Q356" s="1" t="s">
        <v>74</v>
      </c>
      <c r="R356" s="1" t="s">
        <v>74</v>
      </c>
      <c r="S356" s="1" t="s">
        <v>74</v>
      </c>
      <c r="T356" s="1" t="s">
        <v>74</v>
      </c>
      <c r="U356" s="1" t="s">
        <v>74</v>
      </c>
      <c r="V356" s="1" t="s">
        <v>3636</v>
      </c>
      <c r="W356" s="1" t="s">
        <v>74</v>
      </c>
      <c r="X356" s="1" t="s">
        <v>74</v>
      </c>
      <c r="Y356" s="1" t="s">
        <v>74</v>
      </c>
      <c r="Z356" s="1" t="s">
        <v>74</v>
      </c>
      <c r="AA356" s="1" t="s">
        <v>3637</v>
      </c>
      <c r="AB356" s="1" t="s">
        <v>74</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3638</v>
      </c>
      <c r="AP356" s="1" t="s">
        <v>3639</v>
      </c>
      <c r="AQ356" s="1" t="s">
        <v>74</v>
      </c>
      <c r="AR356" s="1" t="s">
        <v>74</v>
      </c>
      <c r="AS356" s="1" t="s">
        <v>74</v>
      </c>
      <c r="AT356" s="1" t="s">
        <v>232</v>
      </c>
      <c r="AU356" s="1">
        <v>2015.0</v>
      </c>
      <c r="AV356" s="1">
        <v>52.0</v>
      </c>
      <c r="AW356" s="1">
        <v>10.0</v>
      </c>
      <c r="AX356" s="1" t="s">
        <v>74</v>
      </c>
      <c r="AY356" s="1" t="s">
        <v>74</v>
      </c>
      <c r="AZ356" s="1" t="s">
        <v>74</v>
      </c>
      <c r="BA356" s="1" t="s">
        <v>74</v>
      </c>
      <c r="BB356" s="1">
        <v>6435.0</v>
      </c>
      <c r="BC356" s="1">
        <v>6444.0</v>
      </c>
      <c r="BD356" s="1" t="s">
        <v>74</v>
      </c>
      <c r="BE356" s="1" t="s">
        <v>3640</v>
      </c>
      <c r="BF356" s="2" t="str">
        <f>HYPERLINK("http://dx.doi.org/10.1007/s13197-015-1756-9","http://dx.doi.org/10.1007/s13197-015-1756-9")</f>
        <v>http://dx.doi.org/10.1007/s13197-015-1756-9</v>
      </c>
      <c r="BG356" s="1" t="s">
        <v>74</v>
      </c>
      <c r="BH356" s="1" t="s">
        <v>74</v>
      </c>
      <c r="BI356" s="1" t="s">
        <v>74</v>
      </c>
      <c r="BJ356" s="1" t="s">
        <v>74</v>
      </c>
      <c r="BK356" s="1" t="s">
        <v>74</v>
      </c>
      <c r="BL356" s="1" t="s">
        <v>74</v>
      </c>
      <c r="BM356" s="1" t="s">
        <v>74</v>
      </c>
      <c r="BN356" s="1">
        <v>2.6396388E7</v>
      </c>
      <c r="BO356" s="1" t="s">
        <v>74</v>
      </c>
      <c r="BP356" s="1" t="s">
        <v>74</v>
      </c>
      <c r="BQ356" s="1" t="s">
        <v>74</v>
      </c>
      <c r="BR356" s="1" t="s">
        <v>74</v>
      </c>
      <c r="BS356" s="1" t="s">
        <v>3641</v>
      </c>
      <c r="BT356" s="1" t="str">
        <f>HYPERLINK("https%3A%2F%2Fwww.webofscience.com%2Fwos%2Fwoscc%2Ffull-record%2FWOS:000361554900031","View Full Record in Web of Science")</f>
        <v>View Full Record in Web of Science</v>
      </c>
    </row>
    <row r="357" ht="12.75" customHeight="1">
      <c r="A357" s="1" t="s">
        <v>72</v>
      </c>
      <c r="B357" s="1" t="s">
        <v>3642</v>
      </c>
      <c r="C357" s="1" t="s">
        <v>74</v>
      </c>
      <c r="D357" s="1" t="s">
        <v>74</v>
      </c>
      <c r="E357" s="1" t="s">
        <v>74</v>
      </c>
      <c r="F357" s="1" t="s">
        <v>3643</v>
      </c>
      <c r="G357" s="1" t="s">
        <v>74</v>
      </c>
      <c r="H357" s="1" t="s">
        <v>74</v>
      </c>
      <c r="I357" s="1" t="s">
        <v>3644</v>
      </c>
      <c r="J357" s="1" t="s">
        <v>2767</v>
      </c>
      <c r="K357" s="1" t="s">
        <v>74</v>
      </c>
      <c r="L357" s="1" t="s">
        <v>74</v>
      </c>
      <c r="M357" s="1" t="s">
        <v>74</v>
      </c>
      <c r="N357" s="1" t="s">
        <v>74</v>
      </c>
      <c r="O357" s="1" t="s">
        <v>74</v>
      </c>
      <c r="P357" s="1" t="s">
        <v>74</v>
      </c>
      <c r="Q357" s="1" t="s">
        <v>74</v>
      </c>
      <c r="R357" s="1" t="s">
        <v>74</v>
      </c>
      <c r="S357" s="1" t="s">
        <v>74</v>
      </c>
      <c r="T357" s="1" t="s">
        <v>74</v>
      </c>
      <c r="U357" s="1" t="s">
        <v>74</v>
      </c>
      <c r="V357" s="1" t="s">
        <v>3645</v>
      </c>
      <c r="W357" s="1" t="s">
        <v>74</v>
      </c>
      <c r="X357" s="1" t="s">
        <v>74</v>
      </c>
      <c r="Y357" s="1" t="s">
        <v>74</v>
      </c>
      <c r="Z357" s="1" t="s">
        <v>74</v>
      </c>
      <c r="AA357" s="1" t="s">
        <v>3646</v>
      </c>
      <c r="AB357" s="1" t="s">
        <v>3647</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2771</v>
      </c>
      <c r="AP357" s="1" t="s">
        <v>2772</v>
      </c>
      <c r="AQ357" s="1" t="s">
        <v>74</v>
      </c>
      <c r="AR357" s="1" t="s">
        <v>74</v>
      </c>
      <c r="AS357" s="1" t="s">
        <v>74</v>
      </c>
      <c r="AT357" s="1" t="s">
        <v>232</v>
      </c>
      <c r="AU357" s="1">
        <v>2014.0</v>
      </c>
      <c r="AV357" s="1">
        <v>40.0</v>
      </c>
      <c r="AW357" s="1">
        <v>2.0</v>
      </c>
      <c r="AX357" s="1" t="s">
        <v>74</v>
      </c>
      <c r="AY357" s="1" t="s">
        <v>74</v>
      </c>
      <c r="AZ357" s="1" t="s">
        <v>74</v>
      </c>
      <c r="BA357" s="1" t="s">
        <v>74</v>
      </c>
      <c r="BB357" s="1">
        <v>531.0</v>
      </c>
      <c r="BC357" s="1">
        <v>538.0</v>
      </c>
      <c r="BD357" s="1" t="s">
        <v>74</v>
      </c>
      <c r="BE357" s="1" t="s">
        <v>3648</v>
      </c>
      <c r="BF357" s="2" t="str">
        <f>HYPERLINK("http://dx.doi.org/10.1016/j.fsi.2014.08.001","http://dx.doi.org/10.1016/j.fsi.2014.08.001")</f>
        <v>http://dx.doi.org/10.1016/j.fsi.2014.08.001</v>
      </c>
      <c r="BG357" s="1" t="s">
        <v>74</v>
      </c>
      <c r="BH357" s="1" t="s">
        <v>74</v>
      </c>
      <c r="BI357" s="1" t="s">
        <v>74</v>
      </c>
      <c r="BJ357" s="1" t="s">
        <v>74</v>
      </c>
      <c r="BK357" s="1" t="s">
        <v>74</v>
      </c>
      <c r="BL357" s="1" t="s">
        <v>74</v>
      </c>
      <c r="BM357" s="1" t="s">
        <v>74</v>
      </c>
      <c r="BN357" s="1">
        <v>2.5123831E7</v>
      </c>
      <c r="BO357" s="1" t="s">
        <v>74</v>
      </c>
      <c r="BP357" s="1" t="s">
        <v>74</v>
      </c>
      <c r="BQ357" s="1" t="s">
        <v>74</v>
      </c>
      <c r="BR357" s="1" t="s">
        <v>74</v>
      </c>
      <c r="BS357" s="1" t="s">
        <v>3649</v>
      </c>
      <c r="BT357" s="1" t="str">
        <f>HYPERLINK("https%3A%2F%2Fwww.webofscience.com%2Fwos%2Fwoscc%2Ffull-record%2FWOS:000343381100023","View Full Record in Web of Science")</f>
        <v>View Full Record in Web of Science</v>
      </c>
    </row>
    <row r="358" ht="12.75" customHeight="1">
      <c r="A358" s="1" t="s">
        <v>72</v>
      </c>
      <c r="B358" s="1" t="s">
        <v>3650</v>
      </c>
      <c r="C358" s="1" t="s">
        <v>74</v>
      </c>
      <c r="D358" s="1" t="s">
        <v>74</v>
      </c>
      <c r="E358" s="1" t="s">
        <v>74</v>
      </c>
      <c r="F358" s="1" t="s">
        <v>3651</v>
      </c>
      <c r="G358" s="1" t="s">
        <v>74</v>
      </c>
      <c r="H358" s="1" t="s">
        <v>74</v>
      </c>
      <c r="I358" s="1" t="s">
        <v>3652</v>
      </c>
      <c r="J358" s="1" t="s">
        <v>3653</v>
      </c>
      <c r="K358" s="1" t="s">
        <v>74</v>
      </c>
      <c r="L358" s="1" t="s">
        <v>74</v>
      </c>
      <c r="M358" s="1" t="s">
        <v>74</v>
      </c>
      <c r="N358" s="1" t="s">
        <v>74</v>
      </c>
      <c r="O358" s="1" t="s">
        <v>74</v>
      </c>
      <c r="P358" s="1" t="s">
        <v>74</v>
      </c>
      <c r="Q358" s="1" t="s">
        <v>74</v>
      </c>
      <c r="R358" s="1" t="s">
        <v>74</v>
      </c>
      <c r="S358" s="1" t="s">
        <v>74</v>
      </c>
      <c r="T358" s="1" t="s">
        <v>74</v>
      </c>
      <c r="U358" s="1" t="s">
        <v>74</v>
      </c>
      <c r="V358" s="1" t="s">
        <v>3654</v>
      </c>
      <c r="W358" s="1" t="s">
        <v>74</v>
      </c>
      <c r="X358" s="1" t="s">
        <v>74</v>
      </c>
      <c r="Y358" s="1" t="s">
        <v>74</v>
      </c>
      <c r="Z358" s="1" t="s">
        <v>74</v>
      </c>
      <c r="AA358" s="1" t="s">
        <v>3655</v>
      </c>
      <c r="AB358" s="1" t="s">
        <v>3656</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3657</v>
      </c>
      <c r="AP358" s="1" t="s">
        <v>3658</v>
      </c>
      <c r="AQ358" s="1" t="s">
        <v>74</v>
      </c>
      <c r="AR358" s="1" t="s">
        <v>74</v>
      </c>
      <c r="AS358" s="1" t="s">
        <v>74</v>
      </c>
      <c r="AT358" s="1" t="s">
        <v>1174</v>
      </c>
      <c r="AU358" s="1">
        <v>2014.0</v>
      </c>
      <c r="AV358" s="1">
        <v>466.0</v>
      </c>
      <c r="AW358" s="1" t="s">
        <v>74</v>
      </c>
      <c r="AX358" s="1" t="s">
        <v>74</v>
      </c>
      <c r="AY358" s="1" t="s">
        <v>74</v>
      </c>
      <c r="AZ358" s="1" t="s">
        <v>74</v>
      </c>
      <c r="BA358" s="1" t="s">
        <v>74</v>
      </c>
      <c r="BB358" s="1">
        <v>253.0</v>
      </c>
      <c r="BC358" s="1">
        <v>264.0</v>
      </c>
      <c r="BD358" s="1" t="s">
        <v>74</v>
      </c>
      <c r="BE358" s="1" t="s">
        <v>3659</v>
      </c>
      <c r="BF358" s="2" t="str">
        <f>HYPERLINK("http://dx.doi.org/10.1016/j.memsci.2014.04.045","http://dx.doi.org/10.1016/j.memsci.2014.04.045")</f>
        <v>http://dx.doi.org/10.1016/j.memsci.2014.04.045</v>
      </c>
      <c r="BG358" s="1" t="s">
        <v>74</v>
      </c>
      <c r="BH358" s="1" t="s">
        <v>74</v>
      </c>
      <c r="BI358" s="1" t="s">
        <v>74</v>
      </c>
      <c r="BJ358" s="1" t="s">
        <v>74</v>
      </c>
      <c r="BK358" s="1" t="s">
        <v>74</v>
      </c>
      <c r="BL358" s="1" t="s">
        <v>74</v>
      </c>
      <c r="BM358" s="1" t="s">
        <v>74</v>
      </c>
      <c r="BN358" s="1" t="s">
        <v>74</v>
      </c>
      <c r="BO358" s="1" t="s">
        <v>74</v>
      </c>
      <c r="BP358" s="1" t="s">
        <v>74</v>
      </c>
      <c r="BQ358" s="1" t="s">
        <v>74</v>
      </c>
      <c r="BR358" s="1" t="s">
        <v>74</v>
      </c>
      <c r="BS358" s="1" t="s">
        <v>3660</v>
      </c>
      <c r="BT358" s="1" t="str">
        <f>HYPERLINK("https%3A%2F%2Fwww.webofscience.com%2Fwos%2Fwoscc%2Ffull-record%2FWOS:000338392300027","View Full Record in Web of Science")</f>
        <v>View Full Record in Web of Science</v>
      </c>
    </row>
    <row r="359" ht="12.75" customHeight="1">
      <c r="A359" s="1" t="s">
        <v>346</v>
      </c>
      <c r="B359" s="1" t="s">
        <v>3661</v>
      </c>
      <c r="C359" s="1" t="s">
        <v>74</v>
      </c>
      <c r="D359" s="1" t="s">
        <v>74</v>
      </c>
      <c r="E359" s="1" t="s">
        <v>348</v>
      </c>
      <c r="F359" s="1" t="s">
        <v>3662</v>
      </c>
      <c r="G359" s="1" t="s">
        <v>74</v>
      </c>
      <c r="H359" s="1" t="s">
        <v>74</v>
      </c>
      <c r="I359" s="1" t="s">
        <v>3663</v>
      </c>
      <c r="J359" s="1" t="s">
        <v>3664</v>
      </c>
      <c r="K359" s="1" t="s">
        <v>3665</v>
      </c>
      <c r="L359" s="1" t="s">
        <v>74</v>
      </c>
      <c r="M359" s="1" t="s">
        <v>74</v>
      </c>
      <c r="N359" s="1" t="s">
        <v>74</v>
      </c>
      <c r="O359" s="1" t="s">
        <v>3666</v>
      </c>
      <c r="P359" s="1" t="s">
        <v>3667</v>
      </c>
      <c r="Q359" s="1" t="s">
        <v>3668</v>
      </c>
      <c r="R359" s="1" t="s">
        <v>3669</v>
      </c>
      <c r="S359" s="1" t="s">
        <v>74</v>
      </c>
      <c r="T359" s="1" t="s">
        <v>74</v>
      </c>
      <c r="U359" s="1" t="s">
        <v>74</v>
      </c>
      <c r="V359" s="1" t="s">
        <v>3670</v>
      </c>
      <c r="W359" s="1" t="s">
        <v>74</v>
      </c>
      <c r="X359" s="1" t="s">
        <v>74</v>
      </c>
      <c r="Y359" s="1" t="s">
        <v>74</v>
      </c>
      <c r="Z359" s="1" t="s">
        <v>74</v>
      </c>
      <c r="AA359" s="1" t="s">
        <v>74</v>
      </c>
      <c r="AB359" s="1" t="s">
        <v>3671</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3672</v>
      </c>
      <c r="AP359" s="1" t="s">
        <v>74</v>
      </c>
      <c r="AQ359" s="1" t="s">
        <v>3673</v>
      </c>
      <c r="AR359" s="1" t="s">
        <v>74</v>
      </c>
      <c r="AS359" s="1" t="s">
        <v>74</v>
      </c>
      <c r="AT359" s="1" t="s">
        <v>74</v>
      </c>
      <c r="AU359" s="1">
        <v>2014.0</v>
      </c>
      <c r="AV359" s="1" t="s">
        <v>74</v>
      </c>
      <c r="AW359" s="1" t="s">
        <v>74</v>
      </c>
      <c r="AX359" s="1" t="s">
        <v>74</v>
      </c>
      <c r="AY359" s="1" t="s">
        <v>74</v>
      </c>
      <c r="AZ359" s="1" t="s">
        <v>74</v>
      </c>
      <c r="BA359" s="1" t="s">
        <v>74</v>
      </c>
      <c r="BB359" s="1" t="s">
        <v>74</v>
      </c>
      <c r="BC359" s="1" t="s">
        <v>74</v>
      </c>
      <c r="BD359" s="1" t="s">
        <v>74</v>
      </c>
      <c r="BE359" s="1" t="s">
        <v>74</v>
      </c>
      <c r="BF359" s="1" t="s">
        <v>74</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3674</v>
      </c>
      <c r="BT359" s="1" t="str">
        <f>HYPERLINK("https%3A%2F%2Fwww.webofscience.com%2Fwos%2Fwoscc%2Ffull-record%2FWOS:000345229900098","View Full Record in Web of Science")</f>
        <v>View Full Record in Web of Science</v>
      </c>
    </row>
    <row r="360" ht="12.75" customHeight="1">
      <c r="A360" s="1" t="s">
        <v>72</v>
      </c>
      <c r="B360" s="1" t="s">
        <v>3675</v>
      </c>
      <c r="C360" s="1" t="s">
        <v>74</v>
      </c>
      <c r="D360" s="1" t="s">
        <v>74</v>
      </c>
      <c r="E360" s="1" t="s">
        <v>74</v>
      </c>
      <c r="F360" s="1" t="s">
        <v>3676</v>
      </c>
      <c r="G360" s="1" t="s">
        <v>74</v>
      </c>
      <c r="H360" s="1" t="s">
        <v>74</v>
      </c>
      <c r="I360" s="1" t="s">
        <v>3677</v>
      </c>
      <c r="J360" s="1" t="s">
        <v>2716</v>
      </c>
      <c r="K360" s="1" t="s">
        <v>74</v>
      </c>
      <c r="L360" s="1" t="s">
        <v>74</v>
      </c>
      <c r="M360" s="1" t="s">
        <v>74</v>
      </c>
      <c r="N360" s="1" t="s">
        <v>74</v>
      </c>
      <c r="O360" s="1" t="s">
        <v>74</v>
      </c>
      <c r="P360" s="1" t="s">
        <v>74</v>
      </c>
      <c r="Q360" s="1" t="s">
        <v>74</v>
      </c>
      <c r="R360" s="1" t="s">
        <v>74</v>
      </c>
      <c r="S360" s="1" t="s">
        <v>74</v>
      </c>
      <c r="T360" s="1" t="s">
        <v>74</v>
      </c>
      <c r="U360" s="1" t="s">
        <v>74</v>
      </c>
      <c r="V360" s="1" t="s">
        <v>3678</v>
      </c>
      <c r="W360" s="1" t="s">
        <v>74</v>
      </c>
      <c r="X360" s="1" t="s">
        <v>74</v>
      </c>
      <c r="Y360" s="1" t="s">
        <v>74</v>
      </c>
      <c r="Z360" s="1" t="s">
        <v>74</v>
      </c>
      <c r="AA360" s="1" t="s">
        <v>3679</v>
      </c>
      <c r="AB360" s="1" t="s">
        <v>3680</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2720</v>
      </c>
      <c r="AP360" s="1" t="s">
        <v>74</v>
      </c>
      <c r="AQ360" s="1" t="s">
        <v>74</v>
      </c>
      <c r="AR360" s="1" t="s">
        <v>74</v>
      </c>
      <c r="AS360" s="1" t="s">
        <v>74</v>
      </c>
      <c r="AT360" s="1" t="s">
        <v>95</v>
      </c>
      <c r="AU360" s="1">
        <v>2013.0</v>
      </c>
      <c r="AV360" s="1">
        <v>11.0</v>
      </c>
      <c r="AW360" s="1">
        <v>6.0</v>
      </c>
      <c r="AX360" s="1" t="s">
        <v>74</v>
      </c>
      <c r="AY360" s="1" t="s">
        <v>74</v>
      </c>
      <c r="AZ360" s="1" t="s">
        <v>74</v>
      </c>
      <c r="BA360" s="1" t="s">
        <v>74</v>
      </c>
      <c r="BB360" s="1">
        <v>1332.0</v>
      </c>
      <c r="BC360" s="1">
        <v>1337.0</v>
      </c>
      <c r="BD360" s="1" t="s">
        <v>74</v>
      </c>
      <c r="BE360" s="1" t="s">
        <v>3681</v>
      </c>
      <c r="BF360" s="2" t="str">
        <f>HYPERLINK("http://dx.doi.org/10.1109/TLA.2013.6710380","http://dx.doi.org/10.1109/TLA.2013.6710380")</f>
        <v>http://dx.doi.org/10.1109/TLA.2013.6710380</v>
      </c>
      <c r="BG360" s="1" t="s">
        <v>74</v>
      </c>
      <c r="BH360" s="1" t="s">
        <v>74</v>
      </c>
      <c r="BI360" s="1" t="s">
        <v>74</v>
      </c>
      <c r="BJ360" s="1" t="s">
        <v>74</v>
      </c>
      <c r="BK360" s="1" t="s">
        <v>74</v>
      </c>
      <c r="BL360" s="1" t="s">
        <v>74</v>
      </c>
      <c r="BM360" s="1" t="s">
        <v>74</v>
      </c>
      <c r="BN360" s="1" t="s">
        <v>74</v>
      </c>
      <c r="BO360" s="1" t="s">
        <v>74</v>
      </c>
      <c r="BP360" s="1" t="s">
        <v>74</v>
      </c>
      <c r="BQ360" s="1" t="s">
        <v>74</v>
      </c>
      <c r="BR360" s="1" t="s">
        <v>74</v>
      </c>
      <c r="BS360" s="1" t="s">
        <v>3682</v>
      </c>
      <c r="BT360" s="1" t="str">
        <f>HYPERLINK("https%3A%2F%2Fwww.webofscience.com%2Fwos%2Fwoscc%2Ffull-record%2FWOS:000330219400009","View Full Record in Web of Science")</f>
        <v>View Full Record in Web of Science</v>
      </c>
    </row>
    <row r="361" ht="12.75" customHeight="1">
      <c r="A361" s="1" t="s">
        <v>72</v>
      </c>
      <c r="B361" s="1" t="s">
        <v>3683</v>
      </c>
      <c r="C361" s="1" t="s">
        <v>74</v>
      </c>
      <c r="D361" s="1" t="s">
        <v>74</v>
      </c>
      <c r="E361" s="1" t="s">
        <v>74</v>
      </c>
      <c r="F361" s="1" t="s">
        <v>3684</v>
      </c>
      <c r="G361" s="1" t="s">
        <v>74</v>
      </c>
      <c r="H361" s="1" t="s">
        <v>74</v>
      </c>
      <c r="I361" s="1" t="s">
        <v>3685</v>
      </c>
      <c r="J361" s="1" t="s">
        <v>3686</v>
      </c>
      <c r="K361" s="1" t="s">
        <v>74</v>
      </c>
      <c r="L361" s="1" t="s">
        <v>74</v>
      </c>
      <c r="M361" s="1" t="s">
        <v>74</v>
      </c>
      <c r="N361" s="1" t="s">
        <v>74</v>
      </c>
      <c r="O361" s="1" t="s">
        <v>74</v>
      </c>
      <c r="P361" s="1" t="s">
        <v>74</v>
      </c>
      <c r="Q361" s="1" t="s">
        <v>74</v>
      </c>
      <c r="R361" s="1" t="s">
        <v>74</v>
      </c>
      <c r="S361" s="1" t="s">
        <v>74</v>
      </c>
      <c r="T361" s="1" t="s">
        <v>74</v>
      </c>
      <c r="U361" s="1" t="s">
        <v>74</v>
      </c>
      <c r="V361" s="1" t="s">
        <v>3687</v>
      </c>
      <c r="W361" s="1" t="s">
        <v>74</v>
      </c>
      <c r="X361" s="1" t="s">
        <v>74</v>
      </c>
      <c r="Y361" s="1" t="s">
        <v>74</v>
      </c>
      <c r="Z361" s="1" t="s">
        <v>74</v>
      </c>
      <c r="AA361" s="1" t="s">
        <v>3688</v>
      </c>
      <c r="AB361" s="1" t="s">
        <v>3689</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3690</v>
      </c>
      <c r="AP361" s="1" t="s">
        <v>3691</v>
      </c>
      <c r="AQ361" s="1" t="s">
        <v>74</v>
      </c>
      <c r="AR361" s="1" t="s">
        <v>74</v>
      </c>
      <c r="AS361" s="1" t="s">
        <v>74</v>
      </c>
      <c r="AT361" s="1" t="s">
        <v>74</v>
      </c>
      <c r="AU361" s="1">
        <v>2013.0</v>
      </c>
      <c r="AV361" s="1">
        <v>2013.0</v>
      </c>
      <c r="AW361" s="1" t="s">
        <v>74</v>
      </c>
      <c r="AX361" s="1" t="s">
        <v>74</v>
      </c>
      <c r="AY361" s="1" t="s">
        <v>74</v>
      </c>
      <c r="AZ361" s="1" t="s">
        <v>74</v>
      </c>
      <c r="BA361" s="1" t="s">
        <v>74</v>
      </c>
      <c r="BB361" s="1" t="s">
        <v>74</v>
      </c>
      <c r="BC361" s="1" t="s">
        <v>74</v>
      </c>
      <c r="BD361" s="1">
        <v>127017.0</v>
      </c>
      <c r="BE361" s="1" t="s">
        <v>3692</v>
      </c>
      <c r="BF361" s="2" t="str">
        <f>HYPERLINK("http://dx.doi.org/10.1155/2013/127017","http://dx.doi.org/10.1155/2013/127017")</f>
        <v>http://dx.doi.org/10.1155/2013/127017</v>
      </c>
      <c r="BG361" s="1" t="s">
        <v>74</v>
      </c>
      <c r="BH361" s="1" t="s">
        <v>74</v>
      </c>
      <c r="BI361" s="1" t="s">
        <v>74</v>
      </c>
      <c r="BJ361" s="1" t="s">
        <v>74</v>
      </c>
      <c r="BK361" s="1" t="s">
        <v>74</v>
      </c>
      <c r="BL361" s="1" t="s">
        <v>74</v>
      </c>
      <c r="BM361" s="1" t="s">
        <v>74</v>
      </c>
      <c r="BN361" s="1">
        <v>2.4204097E7</v>
      </c>
      <c r="BO361" s="1" t="s">
        <v>74</v>
      </c>
      <c r="BP361" s="1" t="s">
        <v>74</v>
      </c>
      <c r="BQ361" s="1" t="s">
        <v>74</v>
      </c>
      <c r="BR361" s="1" t="s">
        <v>74</v>
      </c>
      <c r="BS361" s="1" t="s">
        <v>3693</v>
      </c>
      <c r="BT361" s="1" t="str">
        <f>HYPERLINK("https%3A%2F%2Fwww.webofscience.com%2Fwos%2Fwoscc%2Ffull-record%2FWOS:000325323900001","View Full Record in Web of Science")</f>
        <v>View Full Record in Web of Science</v>
      </c>
    </row>
    <row r="362" ht="12.75" customHeight="1">
      <c r="A362" s="1" t="s">
        <v>72</v>
      </c>
      <c r="B362" s="1" t="s">
        <v>3694</v>
      </c>
      <c r="C362" s="1" t="s">
        <v>74</v>
      </c>
      <c r="D362" s="1" t="s">
        <v>74</v>
      </c>
      <c r="E362" s="1" t="s">
        <v>74</v>
      </c>
      <c r="F362" s="1" t="s">
        <v>3695</v>
      </c>
      <c r="G362" s="1" t="s">
        <v>74</v>
      </c>
      <c r="H362" s="1" t="s">
        <v>74</v>
      </c>
      <c r="I362" s="1" t="s">
        <v>3696</v>
      </c>
      <c r="J362" s="1" t="s">
        <v>3697</v>
      </c>
      <c r="K362" s="1" t="s">
        <v>74</v>
      </c>
      <c r="L362" s="1" t="s">
        <v>74</v>
      </c>
      <c r="M362" s="1" t="s">
        <v>74</v>
      </c>
      <c r="N362" s="1" t="s">
        <v>74</v>
      </c>
      <c r="O362" s="1" t="s">
        <v>74</v>
      </c>
      <c r="P362" s="1" t="s">
        <v>74</v>
      </c>
      <c r="Q362" s="1" t="s">
        <v>74</v>
      </c>
      <c r="R362" s="1" t="s">
        <v>74</v>
      </c>
      <c r="S362" s="1" t="s">
        <v>74</v>
      </c>
      <c r="T362" s="1" t="s">
        <v>74</v>
      </c>
      <c r="U362" s="1" t="s">
        <v>74</v>
      </c>
      <c r="V362" s="1" t="s">
        <v>3698</v>
      </c>
      <c r="W362" s="1" t="s">
        <v>74</v>
      </c>
      <c r="X362" s="1" t="s">
        <v>74</v>
      </c>
      <c r="Y362" s="1" t="s">
        <v>74</v>
      </c>
      <c r="Z362" s="1" t="s">
        <v>74</v>
      </c>
      <c r="AA362" s="1" t="s">
        <v>3699</v>
      </c>
      <c r="AB362" s="1" t="s">
        <v>3700</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3701</v>
      </c>
      <c r="AP362" s="1" t="s">
        <v>74</v>
      </c>
      <c r="AQ362" s="1" t="s">
        <v>74</v>
      </c>
      <c r="AR362" s="1" t="s">
        <v>74</v>
      </c>
      <c r="AS362" s="1" t="s">
        <v>74</v>
      </c>
      <c r="AT362" s="1" t="s">
        <v>3702</v>
      </c>
      <c r="AU362" s="1">
        <v>2011.0</v>
      </c>
      <c r="AV362" s="1">
        <v>514.0</v>
      </c>
      <c r="AW362" s="1" t="s">
        <v>3703</v>
      </c>
      <c r="AX362" s="1" t="s">
        <v>74</v>
      </c>
      <c r="AY362" s="1" t="s">
        <v>74</v>
      </c>
      <c r="AZ362" s="1" t="s">
        <v>74</v>
      </c>
      <c r="BA362" s="1" t="s">
        <v>74</v>
      </c>
      <c r="BB362" s="1">
        <v>267.0</v>
      </c>
      <c r="BC362" s="1">
        <v>273.0</v>
      </c>
      <c r="BD362" s="1" t="s">
        <v>74</v>
      </c>
      <c r="BE362" s="1" t="s">
        <v>3704</v>
      </c>
      <c r="BF362" s="2" t="str">
        <f>HYPERLINK("http://dx.doi.org/10.1016/j.cplett.2011.08.070","http://dx.doi.org/10.1016/j.cplett.2011.08.070")</f>
        <v>http://dx.doi.org/10.1016/j.cplett.2011.08.070</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3705</v>
      </c>
      <c r="BT362" s="1" t="str">
        <f>HYPERLINK("https%3A%2F%2Fwww.webofscience.com%2Fwos%2Fwoscc%2Ffull-record%2FWOS:000295831700015","View Full Record in Web of Science")</f>
        <v>View Full Record in Web of Science</v>
      </c>
    </row>
    <row r="363" ht="12.75" customHeight="1">
      <c r="A363" s="1" t="s">
        <v>72</v>
      </c>
      <c r="B363" s="1" t="s">
        <v>3706</v>
      </c>
      <c r="C363" s="1" t="s">
        <v>74</v>
      </c>
      <c r="D363" s="1" t="s">
        <v>74</v>
      </c>
      <c r="E363" s="1" t="s">
        <v>74</v>
      </c>
      <c r="F363" s="1" t="s">
        <v>3707</v>
      </c>
      <c r="G363" s="1" t="s">
        <v>74</v>
      </c>
      <c r="H363" s="1" t="s">
        <v>74</v>
      </c>
      <c r="I363" s="1" t="s">
        <v>3708</v>
      </c>
      <c r="J363" s="1" t="s">
        <v>1145</v>
      </c>
      <c r="K363" s="1" t="s">
        <v>74</v>
      </c>
      <c r="L363" s="1" t="s">
        <v>74</v>
      </c>
      <c r="M363" s="1" t="s">
        <v>74</v>
      </c>
      <c r="N363" s="1" t="s">
        <v>74</v>
      </c>
      <c r="O363" s="1" t="s">
        <v>74</v>
      </c>
      <c r="P363" s="1" t="s">
        <v>74</v>
      </c>
      <c r="Q363" s="1" t="s">
        <v>74</v>
      </c>
      <c r="R363" s="1" t="s">
        <v>74</v>
      </c>
      <c r="S363" s="1" t="s">
        <v>74</v>
      </c>
      <c r="T363" s="1" t="s">
        <v>74</v>
      </c>
      <c r="U363" s="1" t="s">
        <v>74</v>
      </c>
      <c r="V363" s="1" t="s">
        <v>3709</v>
      </c>
      <c r="W363" s="1" t="s">
        <v>74</v>
      </c>
      <c r="X363" s="1" t="s">
        <v>74</v>
      </c>
      <c r="Y363" s="1" t="s">
        <v>74</v>
      </c>
      <c r="Z363" s="1" t="s">
        <v>74</v>
      </c>
      <c r="AA363" s="1" t="s">
        <v>820</v>
      </c>
      <c r="AB363" s="1" t="s">
        <v>821</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3072</v>
      </c>
      <c r="AP363" s="1" t="s">
        <v>74</v>
      </c>
      <c r="AQ363" s="1" t="s">
        <v>74</v>
      </c>
      <c r="AR363" s="1" t="s">
        <v>74</v>
      </c>
      <c r="AS363" s="1" t="s">
        <v>74</v>
      </c>
      <c r="AT363" s="1" t="s">
        <v>461</v>
      </c>
      <c r="AU363" s="1">
        <v>2011.0</v>
      </c>
      <c r="AV363" s="1">
        <v>56.0</v>
      </c>
      <c r="AW363" s="1">
        <v>3.0</v>
      </c>
      <c r="AX363" s="1" t="s">
        <v>74</v>
      </c>
      <c r="AY363" s="1" t="s">
        <v>74</v>
      </c>
      <c r="AZ363" s="1" t="s">
        <v>74</v>
      </c>
      <c r="BA363" s="1" t="s">
        <v>74</v>
      </c>
      <c r="BB363" s="1">
        <v>764.0</v>
      </c>
      <c r="BC363" s="1">
        <v>767.0</v>
      </c>
      <c r="BD363" s="1" t="s">
        <v>74</v>
      </c>
      <c r="BE363" s="1" t="s">
        <v>3710</v>
      </c>
      <c r="BF363" s="2" t="str">
        <f>HYPERLINK("http://dx.doi.org/10.4067/S0717-97072011000300009","http://dx.doi.org/10.4067/S0717-97072011000300009")</f>
        <v>http://dx.doi.org/10.4067/S0717-97072011000300009</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3711</v>
      </c>
      <c r="BT363" s="1" t="str">
        <f>HYPERLINK("https%3A%2F%2Fwww.webofscience.com%2Fwos%2Fwoscc%2Ffull-record%2FWOS:000296753600009","View Full Record in Web of Science")</f>
        <v>View Full Record in Web of Science</v>
      </c>
    </row>
    <row r="364" ht="12.75" customHeight="1">
      <c r="A364" s="1" t="s">
        <v>346</v>
      </c>
      <c r="B364" s="1" t="s">
        <v>3712</v>
      </c>
      <c r="C364" s="1" t="s">
        <v>74</v>
      </c>
      <c r="D364" s="1" t="s">
        <v>3713</v>
      </c>
      <c r="E364" s="1" t="s">
        <v>74</v>
      </c>
      <c r="F364" s="1" t="s">
        <v>3714</v>
      </c>
      <c r="G364" s="1" t="s">
        <v>74</v>
      </c>
      <c r="H364" s="1" t="s">
        <v>74</v>
      </c>
      <c r="I364" s="1" t="s">
        <v>3715</v>
      </c>
      <c r="J364" s="1" t="s">
        <v>3716</v>
      </c>
      <c r="K364" s="1" t="s">
        <v>3717</v>
      </c>
      <c r="L364" s="1" t="s">
        <v>74</v>
      </c>
      <c r="M364" s="1" t="s">
        <v>74</v>
      </c>
      <c r="N364" s="1" t="s">
        <v>74</v>
      </c>
      <c r="O364" s="1" t="s">
        <v>3718</v>
      </c>
      <c r="P364" s="1" t="s">
        <v>3719</v>
      </c>
      <c r="Q364" s="1" t="s">
        <v>3720</v>
      </c>
      <c r="R364" s="1" t="s">
        <v>3721</v>
      </c>
      <c r="S364" s="1" t="s">
        <v>74</v>
      </c>
      <c r="T364" s="1" t="s">
        <v>74</v>
      </c>
      <c r="U364" s="1" t="s">
        <v>74</v>
      </c>
      <c r="V364" s="1" t="s">
        <v>3722</v>
      </c>
      <c r="W364" s="1" t="s">
        <v>74</v>
      </c>
      <c r="X364" s="1" t="s">
        <v>74</v>
      </c>
      <c r="Y364" s="1" t="s">
        <v>74</v>
      </c>
      <c r="Z364" s="1" t="s">
        <v>74</v>
      </c>
      <c r="AA364" s="1" t="s">
        <v>74</v>
      </c>
      <c r="AB364" s="1" t="s">
        <v>74</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3723</v>
      </c>
      <c r="AP364" s="1" t="s">
        <v>74</v>
      </c>
      <c r="AQ364" s="1" t="s">
        <v>3724</v>
      </c>
      <c r="AR364" s="1" t="s">
        <v>74</v>
      </c>
      <c r="AS364" s="1" t="s">
        <v>74</v>
      </c>
      <c r="AT364" s="1" t="s">
        <v>74</v>
      </c>
      <c r="AU364" s="1">
        <v>2011.0</v>
      </c>
      <c r="AV364" s="1">
        <v>537.0</v>
      </c>
      <c r="AW364" s="1" t="s">
        <v>74</v>
      </c>
      <c r="AX364" s="1" t="s">
        <v>74</v>
      </c>
      <c r="AY364" s="1" t="s">
        <v>74</v>
      </c>
      <c r="AZ364" s="1" t="s">
        <v>74</v>
      </c>
      <c r="BA364" s="1" t="s">
        <v>74</v>
      </c>
      <c r="BB364" s="1">
        <v>211.0</v>
      </c>
      <c r="BC364" s="1" t="s">
        <v>1164</v>
      </c>
      <c r="BD364" s="1" t="s">
        <v>74</v>
      </c>
      <c r="BE364" s="1" t="s">
        <v>74</v>
      </c>
      <c r="BF364" s="1" t="s">
        <v>74</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3725</v>
      </c>
      <c r="BT364" s="1" t="str">
        <f>HYPERLINK("https%3A%2F%2Fwww.webofscience.com%2Fwos%2Fwoscc%2Ffull-record%2FWOS:000289909700015","View Full Record in Web of Science")</f>
        <v>View Full Record in Web of Science</v>
      </c>
    </row>
    <row r="365" ht="12.75" customHeight="1">
      <c r="A365" s="1" t="s">
        <v>72</v>
      </c>
      <c r="B365" s="1" t="s">
        <v>3726</v>
      </c>
      <c r="C365" s="1" t="s">
        <v>74</v>
      </c>
      <c r="D365" s="1" t="s">
        <v>74</v>
      </c>
      <c r="E365" s="1" t="s">
        <v>74</v>
      </c>
      <c r="F365" s="1" t="s">
        <v>3727</v>
      </c>
      <c r="G365" s="1" t="s">
        <v>74</v>
      </c>
      <c r="H365" s="1" t="s">
        <v>74</v>
      </c>
      <c r="I365" s="1" t="s">
        <v>3728</v>
      </c>
      <c r="J365" s="1" t="s">
        <v>3729</v>
      </c>
      <c r="K365" s="1" t="s">
        <v>74</v>
      </c>
      <c r="L365" s="1" t="s">
        <v>74</v>
      </c>
      <c r="M365" s="1" t="s">
        <v>74</v>
      </c>
      <c r="N365" s="1" t="s">
        <v>74</v>
      </c>
      <c r="O365" s="1" t="s">
        <v>74</v>
      </c>
      <c r="P365" s="1" t="s">
        <v>74</v>
      </c>
      <c r="Q365" s="1" t="s">
        <v>74</v>
      </c>
      <c r="R365" s="1" t="s">
        <v>74</v>
      </c>
      <c r="S365" s="1" t="s">
        <v>74</v>
      </c>
      <c r="T365" s="1" t="s">
        <v>74</v>
      </c>
      <c r="U365" s="1" t="s">
        <v>74</v>
      </c>
      <c r="V365" s="1" t="s">
        <v>3730</v>
      </c>
      <c r="W365" s="1" t="s">
        <v>74</v>
      </c>
      <c r="X365" s="1" t="s">
        <v>74</v>
      </c>
      <c r="Y365" s="1" t="s">
        <v>74</v>
      </c>
      <c r="Z365" s="1" t="s">
        <v>74</v>
      </c>
      <c r="AA365" s="1" t="s">
        <v>74</v>
      </c>
      <c r="AB365" s="1" t="s">
        <v>3731</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3732</v>
      </c>
      <c r="AP365" s="1" t="s">
        <v>74</v>
      </c>
      <c r="AQ365" s="1" t="s">
        <v>74</v>
      </c>
      <c r="AR365" s="1" t="s">
        <v>74</v>
      </c>
      <c r="AS365" s="1" t="s">
        <v>74</v>
      </c>
      <c r="AT365" s="1" t="s">
        <v>3733</v>
      </c>
      <c r="AU365" s="1">
        <v>2010.0</v>
      </c>
      <c r="AV365" s="1">
        <v>101.0</v>
      </c>
      <c r="AW365" s="1">
        <v>4.0</v>
      </c>
      <c r="AX365" s="1" t="s">
        <v>74</v>
      </c>
      <c r="AY365" s="1" t="s">
        <v>74</v>
      </c>
      <c r="AZ365" s="1" t="s">
        <v>74</v>
      </c>
      <c r="BA365" s="1" t="s">
        <v>74</v>
      </c>
      <c r="BB365" s="1">
        <v>509.0</v>
      </c>
      <c r="BC365" s="1">
        <v>517.0</v>
      </c>
      <c r="BD365" s="1" t="s">
        <v>74</v>
      </c>
      <c r="BE365" s="1" t="s">
        <v>3734</v>
      </c>
      <c r="BF365" s="2" t="str">
        <f>HYPERLINK("http://dx.doi.org/10.1016/j.physbeh.2010.07.017","http://dx.doi.org/10.1016/j.physbeh.2010.07.017")</f>
        <v>http://dx.doi.org/10.1016/j.physbeh.2010.07.017</v>
      </c>
      <c r="BG365" s="1" t="s">
        <v>74</v>
      </c>
      <c r="BH365" s="1" t="s">
        <v>74</v>
      </c>
      <c r="BI365" s="1" t="s">
        <v>74</v>
      </c>
      <c r="BJ365" s="1" t="s">
        <v>74</v>
      </c>
      <c r="BK365" s="1" t="s">
        <v>74</v>
      </c>
      <c r="BL365" s="1" t="s">
        <v>74</v>
      </c>
      <c r="BM365" s="1" t="s">
        <v>74</v>
      </c>
      <c r="BN365" s="1">
        <v>2.0688088E7</v>
      </c>
      <c r="BO365" s="1" t="s">
        <v>74</v>
      </c>
      <c r="BP365" s="1" t="s">
        <v>74</v>
      </c>
      <c r="BQ365" s="1" t="s">
        <v>74</v>
      </c>
      <c r="BR365" s="1" t="s">
        <v>74</v>
      </c>
      <c r="BS365" s="1" t="s">
        <v>3735</v>
      </c>
      <c r="BT365" s="1" t="str">
        <f>HYPERLINK("https%3A%2F%2Fwww.webofscience.com%2Fwos%2Fwoscc%2Ffull-record%2FWOS:000283979500014","View Full Record in Web of Science")</f>
        <v>View Full Record in Web of Science</v>
      </c>
    </row>
    <row r="366" ht="12.75" customHeight="1">
      <c r="A366" s="1" t="s">
        <v>72</v>
      </c>
      <c r="B366" s="1" t="s">
        <v>3736</v>
      </c>
      <c r="C366" s="1" t="s">
        <v>74</v>
      </c>
      <c r="D366" s="1" t="s">
        <v>74</v>
      </c>
      <c r="E366" s="1" t="s">
        <v>74</v>
      </c>
      <c r="F366" s="1" t="s">
        <v>3737</v>
      </c>
      <c r="G366" s="1" t="s">
        <v>74</v>
      </c>
      <c r="H366" s="1" t="s">
        <v>74</v>
      </c>
      <c r="I366" s="1" t="s">
        <v>3738</v>
      </c>
      <c r="J366" s="1" t="s">
        <v>3739</v>
      </c>
      <c r="K366" s="1" t="s">
        <v>74</v>
      </c>
      <c r="L366" s="1" t="s">
        <v>74</v>
      </c>
      <c r="M366" s="1" t="s">
        <v>74</v>
      </c>
      <c r="N366" s="1" t="s">
        <v>74</v>
      </c>
      <c r="O366" s="1" t="s">
        <v>74</v>
      </c>
      <c r="P366" s="1" t="s">
        <v>74</v>
      </c>
      <c r="Q366" s="1" t="s">
        <v>74</v>
      </c>
      <c r="R366" s="1" t="s">
        <v>74</v>
      </c>
      <c r="S366" s="1" t="s">
        <v>74</v>
      </c>
      <c r="T366" s="1" t="s">
        <v>74</v>
      </c>
      <c r="U366" s="1" t="s">
        <v>74</v>
      </c>
      <c r="V366" s="1" t="s">
        <v>3740</v>
      </c>
      <c r="W366" s="1" t="s">
        <v>74</v>
      </c>
      <c r="X366" s="1" t="s">
        <v>74</v>
      </c>
      <c r="Y366" s="1" t="s">
        <v>74</v>
      </c>
      <c r="Z366" s="1" t="s">
        <v>74</v>
      </c>
      <c r="AA366" s="1" t="s">
        <v>74</v>
      </c>
      <c r="AB366" s="1" t="s">
        <v>3741</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3742</v>
      </c>
      <c r="AP366" s="1" t="s">
        <v>74</v>
      </c>
      <c r="AQ366" s="1" t="s">
        <v>74</v>
      </c>
      <c r="AR366" s="1" t="s">
        <v>74</v>
      </c>
      <c r="AS366" s="1" t="s">
        <v>74</v>
      </c>
      <c r="AT366" s="1" t="s">
        <v>698</v>
      </c>
      <c r="AU366" s="1">
        <v>2007.0</v>
      </c>
      <c r="AV366" s="1">
        <v>15.0</v>
      </c>
      <c r="AW366" s="1">
        <v>23.0</v>
      </c>
      <c r="AX366" s="1" t="s">
        <v>74</v>
      </c>
      <c r="AY366" s="1" t="s">
        <v>74</v>
      </c>
      <c r="AZ366" s="1" t="s">
        <v>74</v>
      </c>
      <c r="BA366" s="1" t="s">
        <v>74</v>
      </c>
      <c r="BB366" s="1">
        <v>7408.0</v>
      </c>
      <c r="BC366" s="1">
        <v>7425.0</v>
      </c>
      <c r="BD366" s="1" t="s">
        <v>74</v>
      </c>
      <c r="BE366" s="1" t="s">
        <v>3743</v>
      </c>
      <c r="BF366" s="2" t="str">
        <f>HYPERLINK("http://dx.doi.org/10.1016/j.bmc.2007.07.036","http://dx.doi.org/10.1016/j.bmc.2007.07.036")</f>
        <v>http://dx.doi.org/10.1016/j.bmc.2007.07.036</v>
      </c>
      <c r="BG366" s="1" t="s">
        <v>74</v>
      </c>
      <c r="BH366" s="1" t="s">
        <v>74</v>
      </c>
      <c r="BI366" s="1" t="s">
        <v>74</v>
      </c>
      <c r="BJ366" s="1" t="s">
        <v>74</v>
      </c>
      <c r="BK366" s="1" t="s">
        <v>74</v>
      </c>
      <c r="BL366" s="1" t="s">
        <v>74</v>
      </c>
      <c r="BM366" s="1" t="s">
        <v>74</v>
      </c>
      <c r="BN366" s="1">
        <v>1.7869117E7</v>
      </c>
      <c r="BO366" s="1" t="s">
        <v>74</v>
      </c>
      <c r="BP366" s="1" t="s">
        <v>74</v>
      </c>
      <c r="BQ366" s="1" t="s">
        <v>74</v>
      </c>
      <c r="BR366" s="1" t="s">
        <v>74</v>
      </c>
      <c r="BS366" s="1" t="s">
        <v>3744</v>
      </c>
      <c r="BT366" s="1" t="str">
        <f>HYPERLINK("https%3A%2F%2Fwww.webofscience.com%2Fwos%2Fwoscc%2Ffull-record%2FWOS:000253489100020","View Full Record in Web of Science")</f>
        <v>View Full Record in Web of Science</v>
      </c>
    </row>
    <row r="367" ht="12.75" customHeight="1">
      <c r="A367" s="1" t="s">
        <v>346</v>
      </c>
      <c r="B367" s="1" t="s">
        <v>3745</v>
      </c>
      <c r="C367" s="1" t="s">
        <v>74</v>
      </c>
      <c r="D367" s="1" t="s">
        <v>74</v>
      </c>
      <c r="E367" s="1" t="s">
        <v>348</v>
      </c>
      <c r="F367" s="1" t="s">
        <v>3746</v>
      </c>
      <c r="G367" s="1" t="s">
        <v>74</v>
      </c>
      <c r="H367" s="1" t="s">
        <v>74</v>
      </c>
      <c r="I367" s="1" t="s">
        <v>3747</v>
      </c>
      <c r="J367" s="1" t="s">
        <v>3748</v>
      </c>
      <c r="K367" s="1" t="s">
        <v>74</v>
      </c>
      <c r="L367" s="1" t="s">
        <v>74</v>
      </c>
      <c r="M367" s="1" t="s">
        <v>74</v>
      </c>
      <c r="N367" s="1" t="s">
        <v>74</v>
      </c>
      <c r="O367" s="1" t="s">
        <v>3749</v>
      </c>
      <c r="P367" s="1" t="s">
        <v>3750</v>
      </c>
      <c r="Q367" s="1" t="s">
        <v>3751</v>
      </c>
      <c r="R367" s="1" t="s">
        <v>348</v>
      </c>
      <c r="S367" s="1" t="s">
        <v>74</v>
      </c>
      <c r="T367" s="1" t="s">
        <v>74</v>
      </c>
      <c r="U367" s="1" t="s">
        <v>74</v>
      </c>
      <c r="V367" s="1" t="s">
        <v>3752</v>
      </c>
      <c r="W367" s="1" t="s">
        <v>74</v>
      </c>
      <c r="X367" s="1" t="s">
        <v>74</v>
      </c>
      <c r="Y367" s="1" t="s">
        <v>74</v>
      </c>
      <c r="Z367" s="1" t="s">
        <v>74</v>
      </c>
      <c r="AA367" s="1" t="s">
        <v>3753</v>
      </c>
      <c r="AB367" s="1" t="s">
        <v>74</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74</v>
      </c>
      <c r="AQ367" s="1" t="s">
        <v>3754</v>
      </c>
      <c r="AR367" s="1" t="s">
        <v>74</v>
      </c>
      <c r="AS367" s="1" t="s">
        <v>74</v>
      </c>
      <c r="AT367" s="1" t="s">
        <v>74</v>
      </c>
      <c r="AU367" s="1">
        <v>2007.0</v>
      </c>
      <c r="AV367" s="1" t="s">
        <v>74</v>
      </c>
      <c r="AW367" s="1" t="s">
        <v>74</v>
      </c>
      <c r="AX367" s="1" t="s">
        <v>74</v>
      </c>
      <c r="AY367" s="1" t="s">
        <v>74</v>
      </c>
      <c r="AZ367" s="1" t="s">
        <v>74</v>
      </c>
      <c r="BA367" s="1" t="s">
        <v>74</v>
      </c>
      <c r="BB367" s="1">
        <v>903.0</v>
      </c>
      <c r="BC367" s="1" t="s">
        <v>1164</v>
      </c>
      <c r="BD367" s="1" t="s">
        <v>74</v>
      </c>
      <c r="BE367" s="1" t="s">
        <v>3755</v>
      </c>
      <c r="BF367" s="2" t="str">
        <f>HYPERLINK("http://dx.doi.org/10.1109/PCT.2007.4538435","http://dx.doi.org/10.1109/PCT.2007.4538435")</f>
        <v>http://dx.doi.org/10.1109/PCT.2007.4538435</v>
      </c>
      <c r="BG367" s="1" t="s">
        <v>74</v>
      </c>
      <c r="BH367" s="1" t="s">
        <v>74</v>
      </c>
      <c r="BI367" s="1" t="s">
        <v>74</v>
      </c>
      <c r="BJ367" s="1" t="s">
        <v>74</v>
      </c>
      <c r="BK367" s="1" t="s">
        <v>74</v>
      </c>
      <c r="BL367" s="1" t="s">
        <v>74</v>
      </c>
      <c r="BM367" s="1" t="s">
        <v>74</v>
      </c>
      <c r="BN367" s="1" t="s">
        <v>74</v>
      </c>
      <c r="BO367" s="1" t="s">
        <v>74</v>
      </c>
      <c r="BP367" s="1" t="s">
        <v>74</v>
      </c>
      <c r="BQ367" s="1" t="s">
        <v>74</v>
      </c>
      <c r="BR367" s="1" t="s">
        <v>74</v>
      </c>
      <c r="BS367" s="1" t="s">
        <v>3756</v>
      </c>
      <c r="BT367" s="1" t="str">
        <f>HYPERLINK("https%3A%2F%2Fwww.webofscience.com%2Fwos%2Fwoscc%2Ffull-record%2FWOS:000258730100154","View Full Record in Web of Science")</f>
        <v>View Full Record in Web of Science</v>
      </c>
    </row>
    <row r="368" ht="12.75" customHeight="1">
      <c r="A368" s="1" t="s">
        <v>72</v>
      </c>
      <c r="B368" s="1" t="s">
        <v>3757</v>
      </c>
      <c r="C368" s="1" t="s">
        <v>74</v>
      </c>
      <c r="D368" s="1" t="s">
        <v>74</v>
      </c>
      <c r="E368" s="1" t="s">
        <v>74</v>
      </c>
      <c r="F368" s="1" t="s">
        <v>3758</v>
      </c>
      <c r="G368" s="1" t="s">
        <v>74</v>
      </c>
      <c r="H368" s="1" t="s">
        <v>74</v>
      </c>
      <c r="I368" s="1" t="s">
        <v>3759</v>
      </c>
      <c r="J368" s="1" t="s">
        <v>3760</v>
      </c>
      <c r="K368" s="1" t="s">
        <v>74</v>
      </c>
      <c r="L368" s="1" t="s">
        <v>74</v>
      </c>
      <c r="M368" s="1" t="s">
        <v>74</v>
      </c>
      <c r="N368" s="1" t="s">
        <v>74</v>
      </c>
      <c r="O368" s="1" t="s">
        <v>74</v>
      </c>
      <c r="P368" s="1" t="s">
        <v>74</v>
      </c>
      <c r="Q368" s="1" t="s">
        <v>74</v>
      </c>
      <c r="R368" s="1" t="s">
        <v>74</v>
      </c>
      <c r="S368" s="1" t="s">
        <v>74</v>
      </c>
      <c r="T368" s="1" t="s">
        <v>74</v>
      </c>
      <c r="U368" s="1" t="s">
        <v>74</v>
      </c>
      <c r="V368" s="1" t="s">
        <v>3761</v>
      </c>
      <c r="W368" s="1" t="s">
        <v>74</v>
      </c>
      <c r="X368" s="1" t="s">
        <v>74</v>
      </c>
      <c r="Y368" s="1" t="s">
        <v>74</v>
      </c>
      <c r="Z368" s="1" t="s">
        <v>74</v>
      </c>
      <c r="AA368" s="1" t="s">
        <v>3762</v>
      </c>
      <c r="AB368" s="1" t="s">
        <v>3763</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3764</v>
      </c>
      <c r="AP368" s="1" t="s">
        <v>3765</v>
      </c>
      <c r="AQ368" s="1" t="s">
        <v>74</v>
      </c>
      <c r="AR368" s="1" t="s">
        <v>74</v>
      </c>
      <c r="AS368" s="1" t="s">
        <v>74</v>
      </c>
      <c r="AT368" s="1" t="s">
        <v>95</v>
      </c>
      <c r="AU368" s="1">
        <v>2006.0</v>
      </c>
      <c r="AV368" s="1">
        <v>7.0</v>
      </c>
      <c r="AW368" s="1">
        <v>12.0</v>
      </c>
      <c r="AX368" s="1" t="s">
        <v>74</v>
      </c>
      <c r="AY368" s="1" t="s">
        <v>74</v>
      </c>
      <c r="AZ368" s="1" t="s">
        <v>74</v>
      </c>
      <c r="BA368" s="1" t="s">
        <v>74</v>
      </c>
      <c r="BB368" s="1">
        <v>1053.0</v>
      </c>
      <c r="BC368" s="1">
        <v>1056.0</v>
      </c>
      <c r="BD368" s="1" t="s">
        <v>74</v>
      </c>
      <c r="BE368" s="1" t="s">
        <v>3766</v>
      </c>
      <c r="BF368" s="2" t="str">
        <f>HYPERLINK("http://dx.doi.org/10.1016/j.catcom.2006.05.011","http://dx.doi.org/10.1016/j.catcom.2006.05.011")</f>
        <v>http://dx.doi.org/10.1016/j.catcom.2006.05.011</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3767</v>
      </c>
      <c r="BT368" s="1" t="str">
        <f>HYPERLINK("https%3A%2F%2Fwww.webofscience.com%2Fwos%2Fwoscc%2Ffull-record%2FWOS:000242793800027","View Full Record in Web of Science")</f>
        <v>View Full Record in Web of Science</v>
      </c>
    </row>
    <row r="369" ht="12.75" customHeight="1">
      <c r="A369" s="1" t="s">
        <v>475</v>
      </c>
      <c r="B369" s="1" t="s">
        <v>3768</v>
      </c>
      <c r="C369" s="1" t="s">
        <v>74</v>
      </c>
      <c r="D369" s="1" t="s">
        <v>3769</v>
      </c>
      <c r="E369" s="1" t="s">
        <v>74</v>
      </c>
      <c r="F369" s="1" t="s">
        <v>3768</v>
      </c>
      <c r="G369" s="1" t="s">
        <v>74</v>
      </c>
      <c r="H369" s="1" t="s">
        <v>74</v>
      </c>
      <c r="I369" s="1" t="s">
        <v>3770</v>
      </c>
      <c r="J369" s="1" t="s">
        <v>3771</v>
      </c>
      <c r="K369" s="1" t="s">
        <v>3772</v>
      </c>
      <c r="L369" s="1" t="s">
        <v>74</v>
      </c>
      <c r="M369" s="1" t="s">
        <v>74</v>
      </c>
      <c r="N369" s="1" t="s">
        <v>74</v>
      </c>
      <c r="O369" s="1" t="s">
        <v>3773</v>
      </c>
      <c r="P369" s="1" t="s">
        <v>3774</v>
      </c>
      <c r="Q369" s="1" t="s">
        <v>3775</v>
      </c>
      <c r="R369" s="1" t="s">
        <v>3776</v>
      </c>
      <c r="S369" s="1" t="s">
        <v>74</v>
      </c>
      <c r="T369" s="1" t="s">
        <v>74</v>
      </c>
      <c r="U369" s="1" t="s">
        <v>74</v>
      </c>
      <c r="V369" s="1" t="s">
        <v>3777</v>
      </c>
      <c r="W369" s="1" t="s">
        <v>74</v>
      </c>
      <c r="X369" s="1" t="s">
        <v>74</v>
      </c>
      <c r="Y369" s="1" t="s">
        <v>74</v>
      </c>
      <c r="Z369" s="1" t="s">
        <v>74</v>
      </c>
      <c r="AA369" s="1" t="s">
        <v>3778</v>
      </c>
      <c r="AB369" s="1" t="s">
        <v>3779</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3780</v>
      </c>
      <c r="AP369" s="1" t="s">
        <v>74</v>
      </c>
      <c r="AQ369" s="1" t="s">
        <v>3781</v>
      </c>
      <c r="AR369" s="1" t="s">
        <v>74</v>
      </c>
      <c r="AS369" s="1" t="s">
        <v>74</v>
      </c>
      <c r="AT369" s="1" t="s">
        <v>74</v>
      </c>
      <c r="AU369" s="1">
        <v>2005.0</v>
      </c>
      <c r="AV369" s="1" t="s">
        <v>3782</v>
      </c>
      <c r="AW369" s="1" t="s">
        <v>74</v>
      </c>
      <c r="AX369" s="1" t="s">
        <v>74</v>
      </c>
      <c r="AY369" s="1" t="s">
        <v>74</v>
      </c>
      <c r="AZ369" s="1" t="s">
        <v>74</v>
      </c>
      <c r="BA369" s="1" t="s">
        <v>74</v>
      </c>
      <c r="BB369" s="1">
        <v>350.0</v>
      </c>
      <c r="BC369" s="1">
        <v>356.0</v>
      </c>
      <c r="BD369" s="1" t="s">
        <v>74</v>
      </c>
      <c r="BE369" s="1" t="s">
        <v>3783</v>
      </c>
      <c r="BF369" s="2" t="str">
        <f>HYPERLINK("http://dx.doi.org/10.4028/www.scientific.net/MSF.498-499.350","http://dx.doi.org/10.4028/www.scientific.net/MSF.498-499.350")</f>
        <v>http://dx.doi.org/10.4028/www.scientific.net/MSF.498-499.350</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3784</v>
      </c>
      <c r="BT369" s="1" t="str">
        <f>HYPERLINK("https%3A%2F%2Fwww.webofscience.com%2Fwos%2Fwoscc%2Ffull-record%2FWOS:000233984500056","View Full Record in Web of Science")</f>
        <v>View Full Record in Web of Science</v>
      </c>
    </row>
    <row r="370" ht="12.75" customHeight="1">
      <c r="A370" s="1" t="s">
        <v>72</v>
      </c>
      <c r="B370" s="1" t="s">
        <v>3785</v>
      </c>
      <c r="C370" s="1" t="s">
        <v>74</v>
      </c>
      <c r="D370" s="1" t="s">
        <v>74</v>
      </c>
      <c r="E370" s="1" t="s">
        <v>74</v>
      </c>
      <c r="F370" s="1" t="s">
        <v>3785</v>
      </c>
      <c r="G370" s="1" t="s">
        <v>74</v>
      </c>
      <c r="H370" s="1" t="s">
        <v>74</v>
      </c>
      <c r="I370" s="1" t="s">
        <v>3786</v>
      </c>
      <c r="J370" s="1" t="s">
        <v>412</v>
      </c>
      <c r="K370" s="1" t="s">
        <v>74</v>
      </c>
      <c r="L370" s="1" t="s">
        <v>74</v>
      </c>
      <c r="M370" s="1" t="s">
        <v>74</v>
      </c>
      <c r="N370" s="1" t="s">
        <v>74</v>
      </c>
      <c r="O370" s="1" t="s">
        <v>74</v>
      </c>
      <c r="P370" s="1" t="s">
        <v>74</v>
      </c>
      <c r="Q370" s="1" t="s">
        <v>74</v>
      </c>
      <c r="R370" s="1" t="s">
        <v>74</v>
      </c>
      <c r="S370" s="1" t="s">
        <v>74</v>
      </c>
      <c r="T370" s="1" t="s">
        <v>74</v>
      </c>
      <c r="U370" s="1" t="s">
        <v>74</v>
      </c>
      <c r="V370" s="1" t="s">
        <v>3787</v>
      </c>
      <c r="W370" s="1" t="s">
        <v>74</v>
      </c>
      <c r="X370" s="1" t="s">
        <v>74</v>
      </c>
      <c r="Y370" s="1" t="s">
        <v>74</v>
      </c>
      <c r="Z370" s="1" t="s">
        <v>74</v>
      </c>
      <c r="AA370" s="1" t="s">
        <v>3788</v>
      </c>
      <c r="AB370" s="1" t="s">
        <v>3789</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415</v>
      </c>
      <c r="AP370" s="1" t="s">
        <v>416</v>
      </c>
      <c r="AQ370" s="1" t="s">
        <v>74</v>
      </c>
      <c r="AR370" s="1" t="s">
        <v>74</v>
      </c>
      <c r="AS370" s="1" t="s">
        <v>74</v>
      </c>
      <c r="AT370" s="1" t="s">
        <v>1679</v>
      </c>
      <c r="AU370" s="1">
        <v>2004.0</v>
      </c>
      <c r="AV370" s="1">
        <v>40.0</v>
      </c>
      <c r="AW370" s="1">
        <v>6.0</v>
      </c>
      <c r="AX370" s="1" t="s">
        <v>74</v>
      </c>
      <c r="AY370" s="1" t="s">
        <v>74</v>
      </c>
      <c r="AZ370" s="1" t="s">
        <v>74</v>
      </c>
      <c r="BA370" s="1" t="s">
        <v>74</v>
      </c>
      <c r="BB370" s="1">
        <v>409.0</v>
      </c>
      <c r="BC370" s="1">
        <v>412.0</v>
      </c>
      <c r="BD370" s="1" t="s">
        <v>74</v>
      </c>
      <c r="BE370" s="1" t="s">
        <v>3790</v>
      </c>
      <c r="BF370" s="2" t="str">
        <f>HYPERLINK("http://dx.doi.org/10.3989/revmetalm.2004.v40.i6.297","http://dx.doi.org/10.3989/revmetalm.2004.v40.i6.297")</f>
        <v>http://dx.doi.org/10.3989/revmetalm.2004.v40.i6.297</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3791</v>
      </c>
      <c r="BT370" s="1" t="str">
        <f>HYPERLINK("https%3A%2F%2Fwww.webofscience.com%2Fwos%2Fwoscc%2Ffull-record%2FWOS:000227616500002","View Full Record in Web of Science")</f>
        <v>View Full Record in Web of Science</v>
      </c>
    </row>
    <row r="371" ht="12.75" customHeight="1">
      <c r="A371" s="1" t="s">
        <v>72</v>
      </c>
      <c r="B371" s="1" t="s">
        <v>3792</v>
      </c>
      <c r="C371" s="1" t="s">
        <v>74</v>
      </c>
      <c r="D371" s="1" t="s">
        <v>74</v>
      </c>
      <c r="E371" s="1" t="s">
        <v>74</v>
      </c>
      <c r="F371" s="1" t="s">
        <v>3792</v>
      </c>
      <c r="G371" s="1" t="s">
        <v>74</v>
      </c>
      <c r="H371" s="1" t="s">
        <v>74</v>
      </c>
      <c r="I371" s="1" t="s">
        <v>3793</v>
      </c>
      <c r="J371" s="1" t="s">
        <v>3794</v>
      </c>
      <c r="K371" s="1" t="s">
        <v>74</v>
      </c>
      <c r="L371" s="1" t="s">
        <v>74</v>
      </c>
      <c r="M371" s="1" t="s">
        <v>74</v>
      </c>
      <c r="N371" s="1" t="s">
        <v>74</v>
      </c>
      <c r="O371" s="1" t="s">
        <v>74</v>
      </c>
      <c r="P371" s="1" t="s">
        <v>74</v>
      </c>
      <c r="Q371" s="1" t="s">
        <v>74</v>
      </c>
      <c r="R371" s="1" t="s">
        <v>74</v>
      </c>
      <c r="S371" s="1" t="s">
        <v>74</v>
      </c>
      <c r="T371" s="1" t="s">
        <v>74</v>
      </c>
      <c r="U371" s="1" t="s">
        <v>74</v>
      </c>
      <c r="V371" s="1" t="s">
        <v>3795</v>
      </c>
      <c r="W371" s="1" t="s">
        <v>74</v>
      </c>
      <c r="X371" s="1" t="s">
        <v>74</v>
      </c>
      <c r="Y371" s="1" t="s">
        <v>74</v>
      </c>
      <c r="Z371" s="1" t="s">
        <v>74</v>
      </c>
      <c r="AA371" s="1" t="s">
        <v>2706</v>
      </c>
      <c r="AB371" s="1" t="s">
        <v>3796</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3797</v>
      </c>
      <c r="AP371" s="1" t="s">
        <v>74</v>
      </c>
      <c r="AQ371" s="1" t="s">
        <v>74</v>
      </c>
      <c r="AR371" s="1" t="s">
        <v>74</v>
      </c>
      <c r="AS371" s="1" t="s">
        <v>74</v>
      </c>
      <c r="AT371" s="1" t="s">
        <v>647</v>
      </c>
      <c r="AU371" s="1">
        <v>2003.0</v>
      </c>
      <c r="AV371" s="1">
        <v>19.0</v>
      </c>
      <c r="AW371" s="1">
        <v>8.0</v>
      </c>
      <c r="AX371" s="1" t="s">
        <v>74</v>
      </c>
      <c r="AY371" s="1" t="s">
        <v>74</v>
      </c>
      <c r="AZ371" s="1" t="s">
        <v>74</v>
      </c>
      <c r="BA371" s="1" t="s">
        <v>74</v>
      </c>
      <c r="BB371" s="1">
        <v>623.0</v>
      </c>
      <c r="BC371" s="1">
        <v>635.0</v>
      </c>
      <c r="BD371" s="1" t="s">
        <v>74</v>
      </c>
      <c r="BE371" s="1" t="s">
        <v>3798</v>
      </c>
      <c r="BF371" s="2" t="str">
        <f>HYPERLINK("http://dx.doi.org/10.1002/cnm.616","http://dx.doi.org/10.1002/cnm.616")</f>
        <v>http://dx.doi.org/10.1002/cnm.616</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3799</v>
      </c>
      <c r="BT371" s="1" t="str">
        <f>HYPERLINK("https%3A%2F%2Fwww.webofscience.com%2Fwos%2Fwoscc%2Ffull-record%2FWOS:000184593800005","View Full Record in Web of Science")</f>
        <v>View Full Record in Web of Science</v>
      </c>
    </row>
    <row r="372" ht="12.75" customHeight="1">
      <c r="A372" s="1" t="s">
        <v>72</v>
      </c>
      <c r="B372" s="1" t="s">
        <v>3800</v>
      </c>
      <c r="C372" s="1" t="s">
        <v>74</v>
      </c>
      <c r="D372" s="1" t="s">
        <v>74</v>
      </c>
      <c r="E372" s="1" t="s">
        <v>74</v>
      </c>
      <c r="F372" s="1" t="s">
        <v>3800</v>
      </c>
      <c r="G372" s="1" t="s">
        <v>74</v>
      </c>
      <c r="H372" s="1" t="s">
        <v>74</v>
      </c>
      <c r="I372" s="1" t="s">
        <v>3801</v>
      </c>
      <c r="J372" s="1" t="s">
        <v>3802</v>
      </c>
      <c r="K372" s="1" t="s">
        <v>74</v>
      </c>
      <c r="L372" s="1" t="s">
        <v>74</v>
      </c>
      <c r="M372" s="1" t="s">
        <v>74</v>
      </c>
      <c r="N372" s="1" t="s">
        <v>74</v>
      </c>
      <c r="O372" s="1" t="s">
        <v>74</v>
      </c>
      <c r="P372" s="1" t="s">
        <v>74</v>
      </c>
      <c r="Q372" s="1" t="s">
        <v>74</v>
      </c>
      <c r="R372" s="1" t="s">
        <v>74</v>
      </c>
      <c r="S372" s="1" t="s">
        <v>74</v>
      </c>
      <c r="T372" s="1" t="s">
        <v>74</v>
      </c>
      <c r="U372" s="1" t="s">
        <v>74</v>
      </c>
      <c r="V372" s="1" t="s">
        <v>3803</v>
      </c>
      <c r="W372" s="1" t="s">
        <v>74</v>
      </c>
      <c r="X372" s="1" t="s">
        <v>74</v>
      </c>
      <c r="Y372" s="1" t="s">
        <v>74</v>
      </c>
      <c r="Z372" s="1" t="s">
        <v>74</v>
      </c>
      <c r="AA372" s="1" t="s">
        <v>74</v>
      </c>
      <c r="AB372" s="1" t="s">
        <v>74</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3804</v>
      </c>
      <c r="AP372" s="1" t="s">
        <v>3805</v>
      </c>
      <c r="AQ372" s="1" t="s">
        <v>74</v>
      </c>
      <c r="AR372" s="1" t="s">
        <v>74</v>
      </c>
      <c r="AS372" s="1" t="s">
        <v>74</v>
      </c>
      <c r="AT372" s="1" t="s">
        <v>3806</v>
      </c>
      <c r="AU372" s="1">
        <v>2000.0</v>
      </c>
      <c r="AV372" s="1">
        <v>15.0</v>
      </c>
      <c r="AW372" s="1">
        <v>23.0</v>
      </c>
      <c r="AX372" s="1" t="s">
        <v>74</v>
      </c>
      <c r="AY372" s="1" t="s">
        <v>74</v>
      </c>
      <c r="AZ372" s="1" t="s">
        <v>74</v>
      </c>
      <c r="BA372" s="1" t="s">
        <v>74</v>
      </c>
      <c r="BB372" s="1">
        <v>3679.0</v>
      </c>
      <c r="BC372" s="1">
        <v>3698.0</v>
      </c>
      <c r="BD372" s="1" t="s">
        <v>74</v>
      </c>
      <c r="BE372" s="1" t="s">
        <v>3807</v>
      </c>
      <c r="BF372" s="2" t="str">
        <f>HYPERLINK("http://dx.doi.org/10.1142/S0217751X00001981","http://dx.doi.org/10.1142/S0217751X00001981")</f>
        <v>http://dx.doi.org/10.1142/S0217751X00001981</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3808</v>
      </c>
      <c r="BT372" s="1" t="str">
        <f>HYPERLINK("https%3A%2F%2Fwww.webofscience.com%2Fwos%2Fwoscc%2Ffull-record%2FWOS:000089454000004","View Full Record in Web of Science")</f>
        <v>View Full Record in Web of Science</v>
      </c>
    </row>
    <row r="373" ht="12.75" customHeight="1">
      <c r="A373" s="1" t="s">
        <v>72</v>
      </c>
      <c r="B373" s="1" t="s">
        <v>3809</v>
      </c>
      <c r="C373" s="1" t="s">
        <v>74</v>
      </c>
      <c r="D373" s="1" t="s">
        <v>74</v>
      </c>
      <c r="E373" s="1" t="s">
        <v>74</v>
      </c>
      <c r="F373" s="1" t="s">
        <v>3809</v>
      </c>
      <c r="G373" s="1" t="s">
        <v>74</v>
      </c>
      <c r="H373" s="1" t="s">
        <v>74</v>
      </c>
      <c r="I373" s="1" t="s">
        <v>3810</v>
      </c>
      <c r="J373" s="1" t="s">
        <v>3076</v>
      </c>
      <c r="K373" s="1" t="s">
        <v>74</v>
      </c>
      <c r="L373" s="1" t="s">
        <v>74</v>
      </c>
      <c r="M373" s="1" t="s">
        <v>74</v>
      </c>
      <c r="N373" s="1" t="s">
        <v>74</v>
      </c>
      <c r="O373" s="1" t="s">
        <v>3811</v>
      </c>
      <c r="P373" s="1" t="s">
        <v>3812</v>
      </c>
      <c r="Q373" s="1" t="s">
        <v>3813</v>
      </c>
      <c r="R373" s="1" t="s">
        <v>74</v>
      </c>
      <c r="S373" s="1" t="s">
        <v>74</v>
      </c>
      <c r="T373" s="1" t="s">
        <v>74</v>
      </c>
      <c r="U373" s="1" t="s">
        <v>74</v>
      </c>
      <c r="V373" s="1" t="s">
        <v>3814</v>
      </c>
      <c r="W373" s="1" t="s">
        <v>74</v>
      </c>
      <c r="X373" s="1" t="s">
        <v>74</v>
      </c>
      <c r="Y373" s="1" t="s">
        <v>74</v>
      </c>
      <c r="Z373" s="1" t="s">
        <v>74</v>
      </c>
      <c r="AA373" s="1" t="s">
        <v>3815</v>
      </c>
      <c r="AB373" s="1" t="s">
        <v>3816</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3083</v>
      </c>
      <c r="AP373" s="1" t="s">
        <v>74</v>
      </c>
      <c r="AQ373" s="1" t="s">
        <v>74</v>
      </c>
      <c r="AR373" s="1" t="s">
        <v>74</v>
      </c>
      <c r="AS373" s="1" t="s">
        <v>74</v>
      </c>
      <c r="AT373" s="1" t="s">
        <v>95</v>
      </c>
      <c r="AU373" s="1">
        <v>1998.0</v>
      </c>
      <c r="AV373" s="1">
        <v>44.0</v>
      </c>
      <c r="AW373" s="1" t="s">
        <v>74</v>
      </c>
      <c r="AX373" s="1" t="s">
        <v>74</v>
      </c>
      <c r="AY373" s="1">
        <v>3.0</v>
      </c>
      <c r="AZ373" s="1" t="s">
        <v>74</v>
      </c>
      <c r="BA373" s="1" t="s">
        <v>74</v>
      </c>
      <c r="BB373" s="1">
        <v>158.0</v>
      </c>
      <c r="BC373" s="1">
        <v>160.0</v>
      </c>
      <c r="BD373" s="1" t="s">
        <v>74</v>
      </c>
      <c r="BE373" s="1" t="s">
        <v>74</v>
      </c>
      <c r="BF373" s="1" t="s">
        <v>74</v>
      </c>
      <c r="BG373" s="1" t="s">
        <v>74</v>
      </c>
      <c r="BH373" s="1" t="s">
        <v>74</v>
      </c>
      <c r="BI373" s="1" t="s">
        <v>74</v>
      </c>
      <c r="BJ373" s="1" t="s">
        <v>74</v>
      </c>
      <c r="BK373" s="1" t="s">
        <v>74</v>
      </c>
      <c r="BL373" s="1" t="s">
        <v>74</v>
      </c>
      <c r="BM373" s="1" t="s">
        <v>74</v>
      </c>
      <c r="BN373" s="1" t="s">
        <v>74</v>
      </c>
      <c r="BO373" s="1" t="s">
        <v>74</v>
      </c>
      <c r="BP373" s="1" t="s">
        <v>74</v>
      </c>
      <c r="BQ373" s="1" t="s">
        <v>74</v>
      </c>
      <c r="BR373" s="1" t="s">
        <v>74</v>
      </c>
      <c r="BS373" s="1" t="s">
        <v>3817</v>
      </c>
      <c r="BT373" s="1" t="str">
        <f>HYPERLINK("https%3A%2F%2Fwww.webofscience.com%2Fwos%2Fwoscc%2Ffull-record%2FWOS:000077675900041","View Full Record in Web of Science")</f>
        <v>View Full Record in Web of Science</v>
      </c>
    </row>
    <row r="374" ht="12.75" customHeight="1">
      <c r="A374" s="1" t="s">
        <v>72</v>
      </c>
      <c r="B374" s="1" t="s">
        <v>3089</v>
      </c>
      <c r="C374" s="1" t="s">
        <v>74</v>
      </c>
      <c r="D374" s="1" t="s">
        <v>74</v>
      </c>
      <c r="E374" s="1" t="s">
        <v>74</v>
      </c>
      <c r="F374" s="1" t="s">
        <v>3089</v>
      </c>
      <c r="G374" s="1" t="s">
        <v>74</v>
      </c>
      <c r="H374" s="1" t="s">
        <v>74</v>
      </c>
      <c r="I374" s="1" t="s">
        <v>3818</v>
      </c>
      <c r="J374" s="1" t="s">
        <v>490</v>
      </c>
      <c r="K374" s="1" t="s">
        <v>74</v>
      </c>
      <c r="L374" s="1" t="s">
        <v>74</v>
      </c>
      <c r="M374" s="1" t="s">
        <v>74</v>
      </c>
      <c r="N374" s="1" t="s">
        <v>74</v>
      </c>
      <c r="O374" s="1" t="s">
        <v>74</v>
      </c>
      <c r="P374" s="1" t="s">
        <v>74</v>
      </c>
      <c r="Q374" s="1" t="s">
        <v>74</v>
      </c>
      <c r="R374" s="1" t="s">
        <v>74</v>
      </c>
      <c r="S374" s="1" t="s">
        <v>74</v>
      </c>
      <c r="T374" s="1" t="s">
        <v>74</v>
      </c>
      <c r="U374" s="1" t="s">
        <v>74</v>
      </c>
      <c r="V374" s="1" t="s">
        <v>3819</v>
      </c>
      <c r="W374" s="1" t="s">
        <v>74</v>
      </c>
      <c r="X374" s="1" t="s">
        <v>74</v>
      </c>
      <c r="Y374" s="1" t="s">
        <v>74</v>
      </c>
      <c r="Z374" s="1" t="s">
        <v>74</v>
      </c>
      <c r="AA374" s="1" t="s">
        <v>3093</v>
      </c>
      <c r="AB374" s="1" t="s">
        <v>3094</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494</v>
      </c>
      <c r="AP374" s="1" t="s">
        <v>74</v>
      </c>
      <c r="AQ374" s="1" t="s">
        <v>74</v>
      </c>
      <c r="AR374" s="1" t="s">
        <v>74</v>
      </c>
      <c r="AS374" s="1" t="s">
        <v>74</v>
      </c>
      <c r="AT374" s="1" t="s">
        <v>187</v>
      </c>
      <c r="AU374" s="1">
        <v>1996.0</v>
      </c>
      <c r="AV374" s="1">
        <v>8.0</v>
      </c>
      <c r="AW374" s="1">
        <v>4.0</v>
      </c>
      <c r="AX374" s="1" t="s">
        <v>74</v>
      </c>
      <c r="AY374" s="1" t="s">
        <v>74</v>
      </c>
      <c r="AZ374" s="1" t="s">
        <v>74</v>
      </c>
      <c r="BA374" s="1" t="s">
        <v>74</v>
      </c>
      <c r="BB374" s="1">
        <v>914.0</v>
      </c>
      <c r="BC374" s="1">
        <v>922.0</v>
      </c>
      <c r="BD374" s="1" t="s">
        <v>74</v>
      </c>
      <c r="BE374" s="1" t="s">
        <v>3820</v>
      </c>
      <c r="BF374" s="2" t="str">
        <f>HYPERLINK("http://dx.doi.org/10.1063/1.868871","http://dx.doi.org/10.1063/1.868871")</f>
        <v>http://dx.doi.org/10.1063/1.868871</v>
      </c>
      <c r="BG374" s="1" t="s">
        <v>74</v>
      </c>
      <c r="BH374" s="1" t="s">
        <v>74</v>
      </c>
      <c r="BI374" s="1" t="s">
        <v>74</v>
      </c>
      <c r="BJ374" s="1" t="s">
        <v>74</v>
      </c>
      <c r="BK374" s="1" t="s">
        <v>74</v>
      </c>
      <c r="BL374" s="1" t="s">
        <v>74</v>
      </c>
      <c r="BM374" s="1" t="s">
        <v>74</v>
      </c>
      <c r="BN374" s="1" t="s">
        <v>74</v>
      </c>
      <c r="BO374" s="1" t="s">
        <v>74</v>
      </c>
      <c r="BP374" s="1" t="s">
        <v>74</v>
      </c>
      <c r="BQ374" s="1" t="s">
        <v>74</v>
      </c>
      <c r="BR374" s="1" t="s">
        <v>74</v>
      </c>
      <c r="BS374" s="1" t="s">
        <v>3821</v>
      </c>
      <c r="BT374" s="1" t="str">
        <f>HYPERLINK("https%3A%2F%2Fwww.webofscience.com%2Fwos%2Fwoscc%2Ffull-record%2FWOS:A1996UC21800007","View Full Record in Web of Science")</f>
        <v>View Full Record in Web of Science</v>
      </c>
    </row>
    <row r="375" ht="12.75" customHeight="1">
      <c r="A375" s="1" t="s">
        <v>72</v>
      </c>
      <c r="B375" s="1" t="s">
        <v>3822</v>
      </c>
      <c r="C375" s="1" t="s">
        <v>74</v>
      </c>
      <c r="D375" s="1" t="s">
        <v>74</v>
      </c>
      <c r="E375" s="1" t="s">
        <v>74</v>
      </c>
      <c r="F375" s="1" t="s">
        <v>3822</v>
      </c>
      <c r="G375" s="1" t="s">
        <v>74</v>
      </c>
      <c r="H375" s="1" t="s">
        <v>74</v>
      </c>
      <c r="I375" s="1" t="s">
        <v>3823</v>
      </c>
      <c r="J375" s="1" t="s">
        <v>3824</v>
      </c>
      <c r="K375" s="1" t="s">
        <v>74</v>
      </c>
      <c r="L375" s="1" t="s">
        <v>74</v>
      </c>
      <c r="M375" s="1" t="s">
        <v>74</v>
      </c>
      <c r="N375" s="1" t="s">
        <v>74</v>
      </c>
      <c r="O375" s="1" t="s">
        <v>74</v>
      </c>
      <c r="P375" s="1" t="s">
        <v>74</v>
      </c>
      <c r="Q375" s="1" t="s">
        <v>74</v>
      </c>
      <c r="R375" s="1" t="s">
        <v>74</v>
      </c>
      <c r="S375" s="1" t="s">
        <v>74</v>
      </c>
      <c r="T375" s="1" t="s">
        <v>74</v>
      </c>
      <c r="U375" s="1" t="s">
        <v>74</v>
      </c>
      <c r="V375" s="1" t="s">
        <v>3825</v>
      </c>
      <c r="W375" s="1" t="s">
        <v>74</v>
      </c>
      <c r="X375" s="1" t="s">
        <v>74</v>
      </c>
      <c r="Y375" s="1" t="s">
        <v>74</v>
      </c>
      <c r="Z375" s="1" t="s">
        <v>74</v>
      </c>
      <c r="AA375" s="1" t="s">
        <v>3826</v>
      </c>
      <c r="AB375" s="1" t="s">
        <v>368</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3827</v>
      </c>
      <c r="AP375" s="1" t="s">
        <v>3828</v>
      </c>
      <c r="AQ375" s="1" t="s">
        <v>74</v>
      </c>
      <c r="AR375" s="1" t="s">
        <v>74</v>
      </c>
      <c r="AS375" s="1" t="s">
        <v>74</v>
      </c>
      <c r="AT375" s="1" t="s">
        <v>596</v>
      </c>
      <c r="AU375" s="1">
        <v>1995.0</v>
      </c>
      <c r="AV375" s="1">
        <v>40.0</v>
      </c>
      <c r="AW375" s="1">
        <v>4.0</v>
      </c>
      <c r="AX375" s="1" t="s">
        <v>74</v>
      </c>
      <c r="AY375" s="1" t="s">
        <v>74</v>
      </c>
      <c r="AZ375" s="1" t="s">
        <v>74</v>
      </c>
      <c r="BA375" s="1" t="s">
        <v>74</v>
      </c>
      <c r="BB375" s="1">
        <v>1083.0</v>
      </c>
      <c r="BC375" s="1">
        <v>1088.0</v>
      </c>
      <c r="BD375" s="1" t="s">
        <v>74</v>
      </c>
      <c r="BE375" s="1" t="s">
        <v>3829</v>
      </c>
      <c r="BF375" s="2" t="str">
        <f>HYPERLINK("http://dx.doi.org/10.1016/0031-9422(95)00325-2","http://dx.doi.org/10.1016/0031-9422(95)00325-2")</f>
        <v>http://dx.doi.org/10.1016/0031-9422(95)00325-2</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3830</v>
      </c>
      <c r="BT375" s="1" t="str">
        <f>HYPERLINK("https%3A%2F%2Fwww.webofscience.com%2Fwos%2Fwoscc%2Ffull-record%2FWOS:A1995TB78800010","View Full Record in Web of Science")</f>
        <v>View Full Record in Web of Science</v>
      </c>
    </row>
    <row r="376" ht="12.75" customHeight="1">
      <c r="A376" s="1" t="s">
        <v>72</v>
      </c>
      <c r="B376" s="1" t="s">
        <v>2018</v>
      </c>
      <c r="C376" s="1" t="s">
        <v>74</v>
      </c>
      <c r="D376" s="1" t="s">
        <v>74</v>
      </c>
      <c r="E376" s="1" t="s">
        <v>74</v>
      </c>
      <c r="F376" s="1" t="s">
        <v>2018</v>
      </c>
      <c r="G376" s="1" t="s">
        <v>74</v>
      </c>
      <c r="H376" s="1" t="s">
        <v>74</v>
      </c>
      <c r="I376" s="1" t="s">
        <v>3831</v>
      </c>
      <c r="J376" s="1" t="s">
        <v>412</v>
      </c>
      <c r="K376" s="1" t="s">
        <v>74</v>
      </c>
      <c r="L376" s="1" t="s">
        <v>74</v>
      </c>
      <c r="M376" s="1" t="s">
        <v>74</v>
      </c>
      <c r="N376" s="1" t="s">
        <v>74</v>
      </c>
      <c r="O376" s="1" t="s">
        <v>74</v>
      </c>
      <c r="P376" s="1" t="s">
        <v>74</v>
      </c>
      <c r="Q376" s="1" t="s">
        <v>74</v>
      </c>
      <c r="R376" s="1" t="s">
        <v>74</v>
      </c>
      <c r="S376" s="1" t="s">
        <v>74</v>
      </c>
      <c r="T376" s="1" t="s">
        <v>74</v>
      </c>
      <c r="U376" s="1" t="s">
        <v>74</v>
      </c>
      <c r="V376" s="1" t="s">
        <v>3832</v>
      </c>
      <c r="W376" s="1" t="s">
        <v>74</v>
      </c>
      <c r="X376" s="1" t="s">
        <v>74</v>
      </c>
      <c r="Y376" s="1" t="s">
        <v>74</v>
      </c>
      <c r="Z376" s="1" t="s">
        <v>74</v>
      </c>
      <c r="AA376" s="1" t="s">
        <v>74</v>
      </c>
      <c r="AB376" s="1" t="s">
        <v>74</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415</v>
      </c>
      <c r="AP376" s="1" t="s">
        <v>74</v>
      </c>
      <c r="AQ376" s="1" t="s">
        <v>74</v>
      </c>
      <c r="AR376" s="1" t="s">
        <v>74</v>
      </c>
      <c r="AS376" s="1" t="s">
        <v>74</v>
      </c>
      <c r="AT376" s="1" t="s">
        <v>1679</v>
      </c>
      <c r="AU376" s="1">
        <v>1995.0</v>
      </c>
      <c r="AV376" s="1">
        <v>31.0</v>
      </c>
      <c r="AW376" s="1">
        <v>6.0</v>
      </c>
      <c r="AX376" s="1" t="s">
        <v>74</v>
      </c>
      <c r="AY376" s="1" t="s">
        <v>74</v>
      </c>
      <c r="AZ376" s="1" t="s">
        <v>74</v>
      </c>
      <c r="BA376" s="1" t="s">
        <v>74</v>
      </c>
      <c r="BB376" s="1">
        <v>379.0</v>
      </c>
      <c r="BC376" s="1">
        <v>385.0</v>
      </c>
      <c r="BD376" s="1" t="s">
        <v>74</v>
      </c>
      <c r="BE376" s="1" t="s">
        <v>3833</v>
      </c>
      <c r="BF376" s="2" t="str">
        <f>HYPERLINK("http://dx.doi.org/10.3989/revmetalm.1995.v31.i6.937","http://dx.doi.org/10.3989/revmetalm.1995.v31.i6.937")</f>
        <v>http://dx.doi.org/10.3989/revmetalm.1995.v31.i6.937</v>
      </c>
      <c r="BG376" s="1" t="s">
        <v>74</v>
      </c>
      <c r="BH376" s="1" t="s">
        <v>74</v>
      </c>
      <c r="BI376" s="1" t="s">
        <v>74</v>
      </c>
      <c r="BJ376" s="1" t="s">
        <v>74</v>
      </c>
      <c r="BK376" s="1" t="s">
        <v>74</v>
      </c>
      <c r="BL376" s="1" t="s">
        <v>74</v>
      </c>
      <c r="BM376" s="1" t="s">
        <v>74</v>
      </c>
      <c r="BN376" s="1" t="s">
        <v>74</v>
      </c>
      <c r="BO376" s="1" t="s">
        <v>74</v>
      </c>
      <c r="BP376" s="1" t="s">
        <v>74</v>
      </c>
      <c r="BQ376" s="1" t="s">
        <v>74</v>
      </c>
      <c r="BR376" s="1" t="s">
        <v>74</v>
      </c>
      <c r="BS376" s="1" t="s">
        <v>3834</v>
      </c>
      <c r="BT376" s="1" t="str">
        <f>HYPERLINK("https%3A%2F%2Fwww.webofscience.com%2Fwos%2Fwoscc%2Ffull-record%2FWOS:A1995TN87500004","View Full Record in Web of Science")</f>
        <v>View Full Record in Web of Science</v>
      </c>
    </row>
    <row r="377" ht="12.75" customHeight="1">
      <c r="A377" s="1" t="s">
        <v>72</v>
      </c>
      <c r="B377" s="1" t="s">
        <v>3835</v>
      </c>
      <c r="C377" s="1" t="s">
        <v>74</v>
      </c>
      <c r="D377" s="1" t="s">
        <v>74</v>
      </c>
      <c r="E377" s="1" t="s">
        <v>74</v>
      </c>
      <c r="F377" s="1" t="s">
        <v>3835</v>
      </c>
      <c r="G377" s="1" t="s">
        <v>74</v>
      </c>
      <c r="H377" s="1" t="s">
        <v>74</v>
      </c>
      <c r="I377" s="1" t="s">
        <v>3836</v>
      </c>
      <c r="J377" s="1" t="s">
        <v>3824</v>
      </c>
      <c r="K377" s="1" t="s">
        <v>74</v>
      </c>
      <c r="L377" s="1" t="s">
        <v>74</v>
      </c>
      <c r="M377" s="1" t="s">
        <v>74</v>
      </c>
      <c r="N377" s="1" t="s">
        <v>74</v>
      </c>
      <c r="O377" s="1" t="s">
        <v>74</v>
      </c>
      <c r="P377" s="1" t="s">
        <v>74</v>
      </c>
      <c r="Q377" s="1" t="s">
        <v>74</v>
      </c>
      <c r="R377" s="1" t="s">
        <v>74</v>
      </c>
      <c r="S377" s="1" t="s">
        <v>74</v>
      </c>
      <c r="T377" s="1" t="s">
        <v>74</v>
      </c>
      <c r="U377" s="1" t="s">
        <v>74</v>
      </c>
      <c r="V377" s="1" t="s">
        <v>3837</v>
      </c>
      <c r="W377" s="1" t="s">
        <v>74</v>
      </c>
      <c r="X377" s="1" t="s">
        <v>74</v>
      </c>
      <c r="Y377" s="1" t="s">
        <v>74</v>
      </c>
      <c r="Z377" s="1" t="s">
        <v>74</v>
      </c>
      <c r="AA377" s="1" t="s">
        <v>74</v>
      </c>
      <c r="AB377" s="1" t="s">
        <v>74</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3827</v>
      </c>
      <c r="AP377" s="1" t="s">
        <v>3828</v>
      </c>
      <c r="AQ377" s="1" t="s">
        <v>74</v>
      </c>
      <c r="AR377" s="1" t="s">
        <v>74</v>
      </c>
      <c r="AS377" s="1" t="s">
        <v>74</v>
      </c>
      <c r="AT377" s="1" t="s">
        <v>74</v>
      </c>
      <c r="AU377" s="1">
        <v>1990.0</v>
      </c>
      <c r="AV377" s="1">
        <v>29.0</v>
      </c>
      <c r="AW377" s="1">
        <v>12.0</v>
      </c>
      <c r="AX377" s="1" t="s">
        <v>74</v>
      </c>
      <c r="AY377" s="1" t="s">
        <v>74</v>
      </c>
      <c r="AZ377" s="1" t="s">
        <v>74</v>
      </c>
      <c r="BA377" s="1" t="s">
        <v>74</v>
      </c>
      <c r="BB377" s="1">
        <v>3773.0</v>
      </c>
      <c r="BC377" s="1">
        <v>3775.0</v>
      </c>
      <c r="BD377" s="1" t="s">
        <v>74</v>
      </c>
      <c r="BE377" s="1" t="s">
        <v>3838</v>
      </c>
      <c r="BF377" s="2" t="str">
        <f>HYPERLINK("http://dx.doi.org/10.1016/0031-9422(90)85329-E","http://dx.doi.org/10.1016/0031-9422(90)85329-E")</f>
        <v>http://dx.doi.org/10.1016/0031-9422(90)85329-E</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3839</v>
      </c>
      <c r="BT377" s="1" t="str">
        <f>HYPERLINK("https%3A%2F%2Fwww.webofscience.com%2Fwos%2Fwoscc%2Ffull-record%2FWOS:A1990EG19900015","View Full Record in Web of Science")</f>
        <v>View Full Record in Web of Science</v>
      </c>
    </row>
    <row r="378" ht="12.75" customHeight="1">
      <c r="A378" s="1" t="s">
        <v>72</v>
      </c>
      <c r="B378" s="1" t="s">
        <v>3840</v>
      </c>
      <c r="C378" s="1" t="s">
        <v>74</v>
      </c>
      <c r="D378" s="1" t="s">
        <v>74</v>
      </c>
      <c r="E378" s="1" t="s">
        <v>74</v>
      </c>
      <c r="F378" s="1" t="s">
        <v>3841</v>
      </c>
      <c r="G378" s="1" t="s">
        <v>74</v>
      </c>
      <c r="H378" s="1" t="s">
        <v>74</v>
      </c>
      <c r="I378" s="1" t="s">
        <v>3842</v>
      </c>
      <c r="J378" s="1" t="s">
        <v>3843</v>
      </c>
      <c r="K378" s="1" t="s">
        <v>74</v>
      </c>
      <c r="L378" s="1" t="s">
        <v>74</v>
      </c>
      <c r="M378" s="1" t="s">
        <v>74</v>
      </c>
      <c r="N378" s="1" t="s">
        <v>74</v>
      </c>
      <c r="O378" s="1" t="s">
        <v>74</v>
      </c>
      <c r="P378" s="1" t="s">
        <v>74</v>
      </c>
      <c r="Q378" s="1" t="s">
        <v>74</v>
      </c>
      <c r="R378" s="1" t="s">
        <v>74</v>
      </c>
      <c r="S378" s="1" t="s">
        <v>74</v>
      </c>
      <c r="T378" s="1" t="s">
        <v>74</v>
      </c>
      <c r="U378" s="1" t="s">
        <v>74</v>
      </c>
      <c r="V378" s="1" t="s">
        <v>3844</v>
      </c>
      <c r="W378" s="1" t="s">
        <v>74</v>
      </c>
      <c r="X378" s="1" t="s">
        <v>74</v>
      </c>
      <c r="Y378" s="1" t="s">
        <v>74</v>
      </c>
      <c r="Z378" s="1" t="s">
        <v>74</v>
      </c>
      <c r="AA378" s="1" t="s">
        <v>3845</v>
      </c>
      <c r="AB378" s="1" t="s">
        <v>3846</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3847</v>
      </c>
      <c r="AP378" s="1" t="s">
        <v>74</v>
      </c>
      <c r="AQ378" s="1" t="s">
        <v>74</v>
      </c>
      <c r="AR378" s="1" t="s">
        <v>74</v>
      </c>
      <c r="AS378" s="1" t="s">
        <v>74</v>
      </c>
      <c r="AT378" s="1" t="s">
        <v>83</v>
      </c>
      <c r="AU378" s="1">
        <v>2024.0</v>
      </c>
      <c r="AV378" s="1">
        <v>13.0</v>
      </c>
      <c r="AW378" s="1">
        <v>5.0</v>
      </c>
      <c r="AX378" s="1" t="s">
        <v>74</v>
      </c>
      <c r="AY378" s="1" t="s">
        <v>74</v>
      </c>
      <c r="AZ378" s="1" t="s">
        <v>74</v>
      </c>
      <c r="BA378" s="1" t="s">
        <v>74</v>
      </c>
      <c r="BB378" s="1" t="s">
        <v>74</v>
      </c>
      <c r="BC378" s="1" t="s">
        <v>74</v>
      </c>
      <c r="BD378" s="1">
        <v>711.0</v>
      </c>
      <c r="BE378" s="1" t="s">
        <v>3848</v>
      </c>
      <c r="BF378" s="2" t="str">
        <f>HYPERLINK("http://dx.doi.org/10.3390/plants13050711","http://dx.doi.org/10.3390/plants13050711")</f>
        <v>http://dx.doi.org/10.3390/plants13050711</v>
      </c>
      <c r="BG378" s="1" t="s">
        <v>74</v>
      </c>
      <c r="BH378" s="1" t="s">
        <v>74</v>
      </c>
      <c r="BI378" s="1" t="s">
        <v>74</v>
      </c>
      <c r="BJ378" s="1" t="s">
        <v>74</v>
      </c>
      <c r="BK378" s="1" t="s">
        <v>74</v>
      </c>
      <c r="BL378" s="1" t="s">
        <v>74</v>
      </c>
      <c r="BM378" s="1" t="s">
        <v>74</v>
      </c>
      <c r="BN378" s="1">
        <v>3.8475557E7</v>
      </c>
      <c r="BO378" s="1" t="s">
        <v>74</v>
      </c>
      <c r="BP378" s="1" t="s">
        <v>74</v>
      </c>
      <c r="BQ378" s="1" t="s">
        <v>74</v>
      </c>
      <c r="BR378" s="1" t="s">
        <v>74</v>
      </c>
      <c r="BS378" s="1" t="s">
        <v>3849</v>
      </c>
      <c r="BT378" s="1" t="str">
        <f>HYPERLINK("https%3A%2F%2Fwww.webofscience.com%2Fwos%2Fwoscc%2Ffull-record%2FWOS:001183418600001","View Full Record in Web of Science")</f>
        <v>View Full Record in Web of Science</v>
      </c>
    </row>
    <row r="379" ht="12.75" customHeight="1">
      <c r="A379" s="1" t="s">
        <v>72</v>
      </c>
      <c r="B379" s="1" t="s">
        <v>3850</v>
      </c>
      <c r="C379" s="1" t="s">
        <v>74</v>
      </c>
      <c r="D379" s="1" t="s">
        <v>74</v>
      </c>
      <c r="E379" s="1" t="s">
        <v>74</v>
      </c>
      <c r="F379" s="1" t="s">
        <v>3851</v>
      </c>
      <c r="G379" s="1" t="s">
        <v>74</v>
      </c>
      <c r="H379" s="1" t="s">
        <v>74</v>
      </c>
      <c r="I379" s="1" t="s">
        <v>3852</v>
      </c>
      <c r="J379" s="1" t="s">
        <v>3853</v>
      </c>
      <c r="K379" s="1" t="s">
        <v>74</v>
      </c>
      <c r="L379" s="1" t="s">
        <v>74</v>
      </c>
      <c r="M379" s="1" t="s">
        <v>74</v>
      </c>
      <c r="N379" s="1" t="s">
        <v>74</v>
      </c>
      <c r="O379" s="1" t="s">
        <v>74</v>
      </c>
      <c r="P379" s="1" t="s">
        <v>74</v>
      </c>
      <c r="Q379" s="1" t="s">
        <v>74</v>
      </c>
      <c r="R379" s="1" t="s">
        <v>74</v>
      </c>
      <c r="S379" s="1" t="s">
        <v>74</v>
      </c>
      <c r="T379" s="1" t="s">
        <v>74</v>
      </c>
      <c r="U379" s="1" t="s">
        <v>74</v>
      </c>
      <c r="V379" s="1" t="s">
        <v>3854</v>
      </c>
      <c r="W379" s="1" t="s">
        <v>74</v>
      </c>
      <c r="X379" s="1" t="s">
        <v>74</v>
      </c>
      <c r="Y379" s="1" t="s">
        <v>74</v>
      </c>
      <c r="Z379" s="1" t="s">
        <v>74</v>
      </c>
      <c r="AA379" s="1" t="s">
        <v>3855</v>
      </c>
      <c r="AB379" s="1" t="s">
        <v>3856</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3857</v>
      </c>
      <c r="AP379" s="1" t="s">
        <v>3858</v>
      </c>
      <c r="AQ379" s="1" t="s">
        <v>74</v>
      </c>
      <c r="AR379" s="1" t="s">
        <v>74</v>
      </c>
      <c r="AS379" s="1" t="s">
        <v>74</v>
      </c>
      <c r="AT379" s="1" t="s">
        <v>120</v>
      </c>
      <c r="AU379" s="1">
        <v>2024.0</v>
      </c>
      <c r="AV379" s="1">
        <v>430.0</v>
      </c>
      <c r="AW379" s="1" t="s">
        <v>74</v>
      </c>
      <c r="AX379" s="1" t="s">
        <v>74</v>
      </c>
      <c r="AY379" s="1" t="s">
        <v>74</v>
      </c>
      <c r="AZ379" s="1" t="s">
        <v>74</v>
      </c>
      <c r="BA379" s="1" t="s">
        <v>74</v>
      </c>
      <c r="BB379" s="1" t="s">
        <v>74</v>
      </c>
      <c r="BC379" s="1" t="s">
        <v>74</v>
      </c>
      <c r="BD379" s="1">
        <v>115365.0</v>
      </c>
      <c r="BE379" s="1" t="s">
        <v>3859</v>
      </c>
      <c r="BF379" s="2" t="str">
        <f>HYPERLINK("http://dx.doi.org/10.1016/j.jcat.2024.115365","http://dx.doi.org/10.1016/j.jcat.2024.115365")</f>
        <v>http://dx.doi.org/10.1016/j.jcat.2024.115365</v>
      </c>
      <c r="BG379" s="1" t="s">
        <v>74</v>
      </c>
      <c r="BH379" s="1" t="s">
        <v>122</v>
      </c>
      <c r="BI379" s="1" t="s">
        <v>74</v>
      </c>
      <c r="BJ379" s="1" t="s">
        <v>74</v>
      </c>
      <c r="BK379" s="1" t="s">
        <v>74</v>
      </c>
      <c r="BL379" s="1" t="s">
        <v>74</v>
      </c>
      <c r="BM379" s="1" t="s">
        <v>74</v>
      </c>
      <c r="BN379" s="1" t="s">
        <v>74</v>
      </c>
      <c r="BO379" s="1" t="s">
        <v>74</v>
      </c>
      <c r="BP379" s="1" t="s">
        <v>74</v>
      </c>
      <c r="BQ379" s="1" t="s">
        <v>74</v>
      </c>
      <c r="BR379" s="1" t="s">
        <v>74</v>
      </c>
      <c r="BS379" s="1" t="s">
        <v>3860</v>
      </c>
      <c r="BT379" s="1" t="str">
        <f>HYPERLINK("https%3A%2F%2Fwww.webofscience.com%2Fwos%2Fwoscc%2Ffull-record%2FWOS:001185323400001","View Full Record in Web of Science")</f>
        <v>View Full Record in Web of Science</v>
      </c>
    </row>
    <row r="380" ht="12.75" customHeight="1">
      <c r="A380" s="1" t="s">
        <v>72</v>
      </c>
      <c r="B380" s="1" t="s">
        <v>3861</v>
      </c>
      <c r="C380" s="1" t="s">
        <v>74</v>
      </c>
      <c r="D380" s="1" t="s">
        <v>74</v>
      </c>
      <c r="E380" s="1" t="s">
        <v>74</v>
      </c>
      <c r="F380" s="1" t="s">
        <v>3862</v>
      </c>
      <c r="G380" s="1" t="s">
        <v>74</v>
      </c>
      <c r="H380" s="1" t="s">
        <v>74</v>
      </c>
      <c r="I380" s="1" t="s">
        <v>3863</v>
      </c>
      <c r="J380" s="1" t="s">
        <v>127</v>
      </c>
      <c r="K380" s="1" t="s">
        <v>74</v>
      </c>
      <c r="L380" s="1" t="s">
        <v>74</v>
      </c>
      <c r="M380" s="1" t="s">
        <v>74</v>
      </c>
      <c r="N380" s="1" t="s">
        <v>74</v>
      </c>
      <c r="O380" s="1" t="s">
        <v>74</v>
      </c>
      <c r="P380" s="1" t="s">
        <v>74</v>
      </c>
      <c r="Q380" s="1" t="s">
        <v>74</v>
      </c>
      <c r="R380" s="1" t="s">
        <v>74</v>
      </c>
      <c r="S380" s="1" t="s">
        <v>74</v>
      </c>
      <c r="T380" s="1" t="s">
        <v>74</v>
      </c>
      <c r="U380" s="1" t="s">
        <v>74</v>
      </c>
      <c r="V380" s="1" t="s">
        <v>3864</v>
      </c>
      <c r="W380" s="1" t="s">
        <v>74</v>
      </c>
      <c r="X380" s="1" t="s">
        <v>74</v>
      </c>
      <c r="Y380" s="1" t="s">
        <v>74</v>
      </c>
      <c r="Z380" s="1" t="s">
        <v>74</v>
      </c>
      <c r="AA380" s="1" t="s">
        <v>3865</v>
      </c>
      <c r="AB380" s="1" t="s">
        <v>3866</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131</v>
      </c>
      <c r="AP380" s="1" t="s">
        <v>74</v>
      </c>
      <c r="AQ380" s="1" t="s">
        <v>74</v>
      </c>
      <c r="AR380" s="1" t="s">
        <v>74</v>
      </c>
      <c r="AS380" s="1" t="s">
        <v>74</v>
      </c>
      <c r="AT380" s="1" t="s">
        <v>3867</v>
      </c>
      <c r="AU380" s="1">
        <v>2023.0</v>
      </c>
      <c r="AV380" s="1">
        <v>16.0</v>
      </c>
      <c r="AW380" s="1" t="s">
        <v>74</v>
      </c>
      <c r="AX380" s="1" t="s">
        <v>74</v>
      </c>
      <c r="AY380" s="1" t="s">
        <v>74</v>
      </c>
      <c r="AZ380" s="1" t="s">
        <v>74</v>
      </c>
      <c r="BA380" s="1" t="s">
        <v>74</v>
      </c>
      <c r="BB380" s="1" t="s">
        <v>74</v>
      </c>
      <c r="BC380" s="1" t="s">
        <v>74</v>
      </c>
      <c r="BD380" s="1">
        <v>1249320.0</v>
      </c>
      <c r="BE380" s="1" t="s">
        <v>3868</v>
      </c>
      <c r="BF380" s="2" t="str">
        <f>HYPERLINK("http://dx.doi.org/10.3389/fnmol.2023.1249320","http://dx.doi.org/10.3389/fnmol.2023.1249320")</f>
        <v>http://dx.doi.org/10.3389/fnmol.2023.1249320</v>
      </c>
      <c r="BG380" s="1" t="s">
        <v>74</v>
      </c>
      <c r="BH380" s="1" t="s">
        <v>74</v>
      </c>
      <c r="BI380" s="1" t="s">
        <v>74</v>
      </c>
      <c r="BJ380" s="1" t="s">
        <v>74</v>
      </c>
      <c r="BK380" s="1" t="s">
        <v>74</v>
      </c>
      <c r="BL380" s="1" t="s">
        <v>74</v>
      </c>
      <c r="BM380" s="1" t="s">
        <v>74</v>
      </c>
      <c r="BN380" s="1">
        <v>3.7818457E7</v>
      </c>
      <c r="BO380" s="1" t="s">
        <v>74</v>
      </c>
      <c r="BP380" s="1" t="s">
        <v>74</v>
      </c>
      <c r="BQ380" s="1" t="s">
        <v>74</v>
      </c>
      <c r="BR380" s="1" t="s">
        <v>74</v>
      </c>
      <c r="BS380" s="1" t="s">
        <v>3869</v>
      </c>
      <c r="BT380" s="1" t="str">
        <f>HYPERLINK("https%3A%2F%2Fwww.webofscience.com%2Fwos%2Fwoscc%2Ffull-record%2FWOS:001079723100001","View Full Record in Web of Science")</f>
        <v>View Full Record in Web of Science</v>
      </c>
    </row>
    <row r="381" ht="12.75" customHeight="1">
      <c r="A381" s="1" t="s">
        <v>72</v>
      </c>
      <c r="B381" s="1" t="s">
        <v>3870</v>
      </c>
      <c r="C381" s="1" t="s">
        <v>74</v>
      </c>
      <c r="D381" s="1" t="s">
        <v>74</v>
      </c>
      <c r="E381" s="1" t="s">
        <v>74</v>
      </c>
      <c r="F381" s="1" t="s">
        <v>3871</v>
      </c>
      <c r="G381" s="1" t="s">
        <v>74</v>
      </c>
      <c r="H381" s="1" t="s">
        <v>74</v>
      </c>
      <c r="I381" s="1" t="s">
        <v>3872</v>
      </c>
      <c r="J381" s="1" t="s">
        <v>3873</v>
      </c>
      <c r="K381" s="1" t="s">
        <v>74</v>
      </c>
      <c r="L381" s="1" t="s">
        <v>74</v>
      </c>
      <c r="M381" s="1" t="s">
        <v>74</v>
      </c>
      <c r="N381" s="1" t="s">
        <v>74</v>
      </c>
      <c r="O381" s="1" t="s">
        <v>74</v>
      </c>
      <c r="P381" s="1" t="s">
        <v>74</v>
      </c>
      <c r="Q381" s="1" t="s">
        <v>74</v>
      </c>
      <c r="R381" s="1" t="s">
        <v>74</v>
      </c>
      <c r="S381" s="1" t="s">
        <v>74</v>
      </c>
      <c r="T381" s="1" t="s">
        <v>74</v>
      </c>
      <c r="U381" s="1" t="s">
        <v>74</v>
      </c>
      <c r="V381" s="1" t="s">
        <v>3874</v>
      </c>
      <c r="W381" s="1" t="s">
        <v>74</v>
      </c>
      <c r="X381" s="1" t="s">
        <v>74</v>
      </c>
      <c r="Y381" s="1" t="s">
        <v>74</v>
      </c>
      <c r="Z381" s="1" t="s">
        <v>74</v>
      </c>
      <c r="AA381" s="1" t="s">
        <v>3875</v>
      </c>
      <c r="AB381" s="1" t="s">
        <v>3876</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74</v>
      </c>
      <c r="AP381" s="1" t="s">
        <v>3877</v>
      </c>
      <c r="AQ381" s="1" t="s">
        <v>74</v>
      </c>
      <c r="AR381" s="1" t="s">
        <v>74</v>
      </c>
      <c r="AS381" s="1" t="s">
        <v>74</v>
      </c>
      <c r="AT381" s="1" t="s">
        <v>554</v>
      </c>
      <c r="AU381" s="1">
        <v>2022.0</v>
      </c>
      <c r="AV381" s="1">
        <v>15.0</v>
      </c>
      <c r="AW381" s="1">
        <v>11.0</v>
      </c>
      <c r="AX381" s="1" t="s">
        <v>74</v>
      </c>
      <c r="AY381" s="1" t="s">
        <v>74</v>
      </c>
      <c r="AZ381" s="1" t="s">
        <v>74</v>
      </c>
      <c r="BA381" s="1" t="s">
        <v>74</v>
      </c>
      <c r="BB381" s="1" t="s">
        <v>74</v>
      </c>
      <c r="BC381" s="1" t="s">
        <v>74</v>
      </c>
      <c r="BD381" s="1">
        <v>3954.0</v>
      </c>
      <c r="BE381" s="1" t="s">
        <v>3878</v>
      </c>
      <c r="BF381" s="2" t="str">
        <f>HYPERLINK("http://dx.doi.org/10.3390/ma15113954","http://dx.doi.org/10.3390/ma15113954")</f>
        <v>http://dx.doi.org/10.3390/ma15113954</v>
      </c>
      <c r="BG381" s="1" t="s">
        <v>74</v>
      </c>
      <c r="BH381" s="1" t="s">
        <v>74</v>
      </c>
      <c r="BI381" s="1" t="s">
        <v>74</v>
      </c>
      <c r="BJ381" s="1" t="s">
        <v>74</v>
      </c>
      <c r="BK381" s="1" t="s">
        <v>74</v>
      </c>
      <c r="BL381" s="1" t="s">
        <v>74</v>
      </c>
      <c r="BM381" s="1" t="s">
        <v>74</v>
      </c>
      <c r="BN381" s="1">
        <v>3.5683252E7</v>
      </c>
      <c r="BO381" s="1" t="s">
        <v>74</v>
      </c>
      <c r="BP381" s="1" t="s">
        <v>74</v>
      </c>
      <c r="BQ381" s="1" t="s">
        <v>74</v>
      </c>
      <c r="BR381" s="1" t="s">
        <v>74</v>
      </c>
      <c r="BS381" s="1" t="s">
        <v>3879</v>
      </c>
      <c r="BT381" s="1" t="str">
        <f>HYPERLINK("https%3A%2F%2Fwww.webofscience.com%2Fwos%2Fwoscc%2Ffull-record%2FWOS:000809063400001","View Full Record in Web of Science")</f>
        <v>View Full Record in Web of Science</v>
      </c>
    </row>
    <row r="382" ht="12.75" customHeight="1">
      <c r="A382" s="1" t="s">
        <v>72</v>
      </c>
      <c r="B382" s="1" t="s">
        <v>3880</v>
      </c>
      <c r="C382" s="1" t="s">
        <v>74</v>
      </c>
      <c r="D382" s="1" t="s">
        <v>74</v>
      </c>
      <c r="E382" s="1" t="s">
        <v>74</v>
      </c>
      <c r="F382" s="1" t="s">
        <v>3881</v>
      </c>
      <c r="G382" s="1" t="s">
        <v>74</v>
      </c>
      <c r="H382" s="1" t="s">
        <v>74</v>
      </c>
      <c r="I382" s="1" t="s">
        <v>3882</v>
      </c>
      <c r="J382" s="1" t="s">
        <v>3883</v>
      </c>
      <c r="K382" s="1" t="s">
        <v>74</v>
      </c>
      <c r="L382" s="1" t="s">
        <v>74</v>
      </c>
      <c r="M382" s="1" t="s">
        <v>74</v>
      </c>
      <c r="N382" s="1" t="s">
        <v>74</v>
      </c>
      <c r="O382" s="1" t="s">
        <v>74</v>
      </c>
      <c r="P382" s="1" t="s">
        <v>74</v>
      </c>
      <c r="Q382" s="1" t="s">
        <v>74</v>
      </c>
      <c r="R382" s="1" t="s">
        <v>74</v>
      </c>
      <c r="S382" s="1" t="s">
        <v>74</v>
      </c>
      <c r="T382" s="1" t="s">
        <v>74</v>
      </c>
      <c r="U382" s="1" t="s">
        <v>74</v>
      </c>
      <c r="V382" s="1" t="s">
        <v>3884</v>
      </c>
      <c r="W382" s="1" t="s">
        <v>74</v>
      </c>
      <c r="X382" s="1" t="s">
        <v>74</v>
      </c>
      <c r="Y382" s="1" t="s">
        <v>74</v>
      </c>
      <c r="Z382" s="1" t="s">
        <v>74</v>
      </c>
      <c r="AA382" s="1" t="s">
        <v>3885</v>
      </c>
      <c r="AB382" s="1" t="s">
        <v>3886</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3887</v>
      </c>
      <c r="AP382" s="1" t="s">
        <v>3888</v>
      </c>
      <c r="AQ382" s="1" t="s">
        <v>74</v>
      </c>
      <c r="AR382" s="1" t="s">
        <v>74</v>
      </c>
      <c r="AS382" s="1" t="s">
        <v>74</v>
      </c>
      <c r="AT382" s="1" t="s">
        <v>107</v>
      </c>
      <c r="AU382" s="1">
        <v>2023.0</v>
      </c>
      <c r="AV382" s="1">
        <v>13.0</v>
      </c>
      <c r="AW382" s="1">
        <v>7.0</v>
      </c>
      <c r="AX382" s="1" t="s">
        <v>74</v>
      </c>
      <c r="AY382" s="1" t="s">
        <v>74</v>
      </c>
      <c r="AZ382" s="1" t="s">
        <v>74</v>
      </c>
      <c r="BA382" s="1" t="s">
        <v>74</v>
      </c>
      <c r="BB382" s="1">
        <v>6257.0</v>
      </c>
      <c r="BC382" s="1">
        <v>6279.0</v>
      </c>
      <c r="BD382" s="1" t="s">
        <v>74</v>
      </c>
      <c r="BE382" s="1" t="s">
        <v>3889</v>
      </c>
      <c r="BF382" s="2" t="str">
        <f>HYPERLINK("http://dx.doi.org/10.1007/s13399-022-02494-1","http://dx.doi.org/10.1007/s13399-022-02494-1")</f>
        <v>http://dx.doi.org/10.1007/s13399-022-02494-1</v>
      </c>
      <c r="BG382" s="1" t="s">
        <v>74</v>
      </c>
      <c r="BH382" s="1" t="s">
        <v>3890</v>
      </c>
      <c r="BI382" s="1" t="s">
        <v>74</v>
      </c>
      <c r="BJ382" s="1" t="s">
        <v>74</v>
      </c>
      <c r="BK382" s="1" t="s">
        <v>74</v>
      </c>
      <c r="BL382" s="1" t="s">
        <v>74</v>
      </c>
      <c r="BM382" s="1" t="s">
        <v>74</v>
      </c>
      <c r="BN382" s="1" t="s">
        <v>74</v>
      </c>
      <c r="BO382" s="1" t="s">
        <v>74</v>
      </c>
      <c r="BP382" s="1" t="s">
        <v>74</v>
      </c>
      <c r="BQ382" s="1" t="s">
        <v>74</v>
      </c>
      <c r="BR382" s="1" t="s">
        <v>74</v>
      </c>
      <c r="BS382" s="1" t="s">
        <v>3891</v>
      </c>
      <c r="BT382" s="1" t="str">
        <f>HYPERLINK("https%3A%2F%2Fwww.webofscience.com%2Fwos%2Fwoscc%2Ffull-record%2FWOS:000779715400002","View Full Record in Web of Science")</f>
        <v>View Full Record in Web of Science</v>
      </c>
    </row>
    <row r="383" ht="12.75" customHeight="1">
      <c r="A383" s="1" t="s">
        <v>72</v>
      </c>
      <c r="B383" s="1" t="s">
        <v>3892</v>
      </c>
      <c r="C383" s="1" t="s">
        <v>74</v>
      </c>
      <c r="D383" s="1" t="s">
        <v>74</v>
      </c>
      <c r="E383" s="1" t="s">
        <v>74</v>
      </c>
      <c r="F383" s="1" t="s">
        <v>3893</v>
      </c>
      <c r="G383" s="1" t="s">
        <v>74</v>
      </c>
      <c r="H383" s="1" t="s">
        <v>74</v>
      </c>
      <c r="I383" s="1" t="s">
        <v>3894</v>
      </c>
      <c r="J383" s="1" t="s">
        <v>1735</v>
      </c>
      <c r="K383" s="1" t="s">
        <v>74</v>
      </c>
      <c r="L383" s="1" t="s">
        <v>74</v>
      </c>
      <c r="M383" s="1" t="s">
        <v>74</v>
      </c>
      <c r="N383" s="1" t="s">
        <v>74</v>
      </c>
      <c r="O383" s="1" t="s">
        <v>74</v>
      </c>
      <c r="P383" s="1" t="s">
        <v>74</v>
      </c>
      <c r="Q383" s="1" t="s">
        <v>74</v>
      </c>
      <c r="R383" s="1" t="s">
        <v>74</v>
      </c>
      <c r="S383" s="1" t="s">
        <v>74</v>
      </c>
      <c r="T383" s="1" t="s">
        <v>74</v>
      </c>
      <c r="U383" s="1" t="s">
        <v>74</v>
      </c>
      <c r="V383" s="1" t="s">
        <v>3895</v>
      </c>
      <c r="W383" s="1" t="s">
        <v>74</v>
      </c>
      <c r="X383" s="1" t="s">
        <v>74</v>
      </c>
      <c r="Y383" s="1" t="s">
        <v>74</v>
      </c>
      <c r="Z383" s="1" t="s">
        <v>74</v>
      </c>
      <c r="AA383" s="1" t="s">
        <v>3896</v>
      </c>
      <c r="AB383" s="1" t="s">
        <v>3897</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74</v>
      </c>
      <c r="AP383" s="1" t="s">
        <v>1739</v>
      </c>
      <c r="AQ383" s="1" t="s">
        <v>74</v>
      </c>
      <c r="AR383" s="1" t="s">
        <v>74</v>
      </c>
      <c r="AS383" s="1" t="s">
        <v>74</v>
      </c>
      <c r="AT383" s="1" t="s">
        <v>461</v>
      </c>
      <c r="AU383" s="1">
        <v>2021.0</v>
      </c>
      <c r="AV383" s="1">
        <v>22.0</v>
      </c>
      <c r="AW383" s="1">
        <v>17.0</v>
      </c>
      <c r="AX383" s="1" t="s">
        <v>74</v>
      </c>
      <c r="AY383" s="1" t="s">
        <v>74</v>
      </c>
      <c r="AZ383" s="1" t="s">
        <v>74</v>
      </c>
      <c r="BA383" s="1" t="s">
        <v>74</v>
      </c>
      <c r="BB383" s="1" t="s">
        <v>74</v>
      </c>
      <c r="BC383" s="1" t="s">
        <v>74</v>
      </c>
      <c r="BD383" s="1">
        <v>9166.0</v>
      </c>
      <c r="BE383" s="1" t="s">
        <v>3898</v>
      </c>
      <c r="BF383" s="2" t="str">
        <f>HYPERLINK("http://dx.doi.org/10.3390/ijms22179166","http://dx.doi.org/10.3390/ijms22179166")</f>
        <v>http://dx.doi.org/10.3390/ijms22179166</v>
      </c>
      <c r="BG383" s="1" t="s">
        <v>74</v>
      </c>
      <c r="BH383" s="1" t="s">
        <v>74</v>
      </c>
      <c r="BI383" s="1" t="s">
        <v>74</v>
      </c>
      <c r="BJ383" s="1" t="s">
        <v>74</v>
      </c>
      <c r="BK383" s="1" t="s">
        <v>74</v>
      </c>
      <c r="BL383" s="1" t="s">
        <v>74</v>
      </c>
      <c r="BM383" s="1" t="s">
        <v>74</v>
      </c>
      <c r="BN383" s="1">
        <v>3.4502074E7</v>
      </c>
      <c r="BO383" s="1" t="s">
        <v>74</v>
      </c>
      <c r="BP383" s="1" t="s">
        <v>74</v>
      </c>
      <c r="BQ383" s="1" t="s">
        <v>74</v>
      </c>
      <c r="BR383" s="1" t="s">
        <v>74</v>
      </c>
      <c r="BS383" s="1" t="s">
        <v>3899</v>
      </c>
      <c r="BT383" s="1" t="str">
        <f>HYPERLINK("https%3A%2F%2Fwww.webofscience.com%2Fwos%2Fwoscc%2Ffull-record%2FWOS:000694273600001","View Full Record in Web of Science")</f>
        <v>View Full Record in Web of Science</v>
      </c>
    </row>
    <row r="384" ht="12.75" customHeight="1">
      <c r="A384" s="1" t="s">
        <v>72</v>
      </c>
      <c r="B384" s="1" t="s">
        <v>3900</v>
      </c>
      <c r="C384" s="1" t="s">
        <v>74</v>
      </c>
      <c r="D384" s="1" t="s">
        <v>74</v>
      </c>
      <c r="E384" s="1" t="s">
        <v>74</v>
      </c>
      <c r="F384" s="1" t="s">
        <v>3901</v>
      </c>
      <c r="G384" s="1" t="s">
        <v>74</v>
      </c>
      <c r="H384" s="1" t="s">
        <v>74</v>
      </c>
      <c r="I384" s="1" t="s">
        <v>3902</v>
      </c>
      <c r="J384" s="1" t="s">
        <v>3903</v>
      </c>
      <c r="K384" s="1" t="s">
        <v>74</v>
      </c>
      <c r="L384" s="1" t="s">
        <v>74</v>
      </c>
      <c r="M384" s="1" t="s">
        <v>74</v>
      </c>
      <c r="N384" s="1" t="s">
        <v>74</v>
      </c>
      <c r="O384" s="1" t="s">
        <v>74</v>
      </c>
      <c r="P384" s="1" t="s">
        <v>74</v>
      </c>
      <c r="Q384" s="1" t="s">
        <v>74</v>
      </c>
      <c r="R384" s="1" t="s">
        <v>74</v>
      </c>
      <c r="S384" s="1" t="s">
        <v>74</v>
      </c>
      <c r="T384" s="1" t="s">
        <v>74</v>
      </c>
      <c r="U384" s="1" t="s">
        <v>74</v>
      </c>
      <c r="V384" s="1" t="s">
        <v>3904</v>
      </c>
      <c r="W384" s="1" t="s">
        <v>74</v>
      </c>
      <c r="X384" s="1" t="s">
        <v>74</v>
      </c>
      <c r="Y384" s="1" t="s">
        <v>74</v>
      </c>
      <c r="Z384" s="1" t="s">
        <v>74</v>
      </c>
      <c r="AA384" s="1" t="s">
        <v>3905</v>
      </c>
      <c r="AB384" s="1" t="s">
        <v>74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3906</v>
      </c>
      <c r="AP384" s="1" t="s">
        <v>3907</v>
      </c>
      <c r="AQ384" s="1" t="s">
        <v>74</v>
      </c>
      <c r="AR384" s="1" t="s">
        <v>74</v>
      </c>
      <c r="AS384" s="1" t="s">
        <v>74</v>
      </c>
      <c r="AT384" s="1" t="s">
        <v>3167</v>
      </c>
      <c r="AU384" s="1">
        <v>2021.0</v>
      </c>
      <c r="AV384" s="1" t="s">
        <v>74</v>
      </c>
      <c r="AW384" s="1">
        <v>18.0</v>
      </c>
      <c r="AX384" s="1" t="s">
        <v>74</v>
      </c>
      <c r="AY384" s="1" t="s">
        <v>74</v>
      </c>
      <c r="AZ384" s="1" t="s">
        <v>74</v>
      </c>
      <c r="BA384" s="1" t="s">
        <v>74</v>
      </c>
      <c r="BB384" s="1">
        <v>190.0</v>
      </c>
      <c r="BC384" s="1">
        <v>211.0</v>
      </c>
      <c r="BD384" s="1" t="s">
        <v>74</v>
      </c>
      <c r="BE384" s="1" t="s">
        <v>3908</v>
      </c>
      <c r="BF384" s="2" t="str">
        <f>HYPERLINK("http://dx.doi.org/10.17533/udea.trahs.n18a09","http://dx.doi.org/10.17533/udea.trahs.n18a09")</f>
        <v>http://dx.doi.org/10.17533/udea.trahs.n18a09</v>
      </c>
      <c r="BG384" s="1" t="s">
        <v>74</v>
      </c>
      <c r="BH384" s="1" t="s">
        <v>74</v>
      </c>
      <c r="BI384" s="1" t="s">
        <v>74</v>
      </c>
      <c r="BJ384" s="1" t="s">
        <v>74</v>
      </c>
      <c r="BK384" s="1" t="s">
        <v>74</v>
      </c>
      <c r="BL384" s="1" t="s">
        <v>74</v>
      </c>
      <c r="BM384" s="1" t="s">
        <v>74</v>
      </c>
      <c r="BN384" s="1" t="s">
        <v>74</v>
      </c>
      <c r="BO384" s="1" t="s">
        <v>74</v>
      </c>
      <c r="BP384" s="1" t="s">
        <v>74</v>
      </c>
      <c r="BQ384" s="1" t="s">
        <v>74</v>
      </c>
      <c r="BR384" s="1" t="s">
        <v>74</v>
      </c>
      <c r="BS384" s="1" t="s">
        <v>3909</v>
      </c>
      <c r="BT384" s="1" t="str">
        <f>HYPERLINK("https%3A%2F%2Fwww.webofscience.com%2Fwos%2Fwoscc%2Ffull-record%2FWOS:000680834000009","View Full Record in Web of Science")</f>
        <v>View Full Record in Web of Science</v>
      </c>
    </row>
    <row r="385" ht="12.75" customHeight="1">
      <c r="A385" s="1" t="s">
        <v>72</v>
      </c>
      <c r="B385" s="1" t="s">
        <v>3910</v>
      </c>
      <c r="C385" s="1" t="s">
        <v>74</v>
      </c>
      <c r="D385" s="1" t="s">
        <v>74</v>
      </c>
      <c r="E385" s="1" t="s">
        <v>74</v>
      </c>
      <c r="F385" s="1" t="s">
        <v>3911</v>
      </c>
      <c r="G385" s="1" t="s">
        <v>74</v>
      </c>
      <c r="H385" s="1" t="s">
        <v>74</v>
      </c>
      <c r="I385" s="1" t="s">
        <v>3912</v>
      </c>
      <c r="J385" s="1" t="s">
        <v>2345</v>
      </c>
      <c r="K385" s="1" t="s">
        <v>74</v>
      </c>
      <c r="L385" s="1" t="s">
        <v>74</v>
      </c>
      <c r="M385" s="1" t="s">
        <v>74</v>
      </c>
      <c r="N385" s="1" t="s">
        <v>74</v>
      </c>
      <c r="O385" s="1" t="s">
        <v>74</v>
      </c>
      <c r="P385" s="1" t="s">
        <v>74</v>
      </c>
      <c r="Q385" s="1" t="s">
        <v>74</v>
      </c>
      <c r="R385" s="1" t="s">
        <v>74</v>
      </c>
      <c r="S385" s="1" t="s">
        <v>74</v>
      </c>
      <c r="T385" s="1" t="s">
        <v>74</v>
      </c>
      <c r="U385" s="1" t="s">
        <v>74</v>
      </c>
      <c r="V385" s="1" t="s">
        <v>3913</v>
      </c>
      <c r="W385" s="1" t="s">
        <v>74</v>
      </c>
      <c r="X385" s="1" t="s">
        <v>74</v>
      </c>
      <c r="Y385" s="1" t="s">
        <v>74</v>
      </c>
      <c r="Z385" s="1" t="s">
        <v>74</v>
      </c>
      <c r="AA385" s="1" t="s">
        <v>74</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74</v>
      </c>
      <c r="AP385" s="1" t="s">
        <v>2347</v>
      </c>
      <c r="AQ385" s="1" t="s">
        <v>74</v>
      </c>
      <c r="AR385" s="1" t="s">
        <v>74</v>
      </c>
      <c r="AS385" s="1" t="s">
        <v>74</v>
      </c>
      <c r="AT385" s="1" t="s">
        <v>485</v>
      </c>
      <c r="AU385" s="1">
        <v>2021.0</v>
      </c>
      <c r="AV385" s="1">
        <v>32.0</v>
      </c>
      <c r="AW385" s="1">
        <v>2.0</v>
      </c>
      <c r="AX385" s="1" t="s">
        <v>74</v>
      </c>
      <c r="AY385" s="1" t="s">
        <v>74</v>
      </c>
      <c r="AZ385" s="1" t="s">
        <v>74</v>
      </c>
      <c r="BA385" s="1" t="s">
        <v>74</v>
      </c>
      <c r="BB385" s="1">
        <v>166.0</v>
      </c>
      <c r="BC385" s="1">
        <v>172.0</v>
      </c>
      <c r="BD385" s="1" t="s">
        <v>74</v>
      </c>
      <c r="BE385" s="1" t="s">
        <v>3914</v>
      </c>
      <c r="BF385" s="2" t="str">
        <f>HYPERLINK("http://dx.doi.org/10.1016/j.rmclc.2020.11.005","http://dx.doi.org/10.1016/j.rmclc.2020.11.005")</f>
        <v>http://dx.doi.org/10.1016/j.rmclc.2020.11.005</v>
      </c>
      <c r="BG385" s="1" t="s">
        <v>74</v>
      </c>
      <c r="BH385" s="1" t="s">
        <v>556</v>
      </c>
      <c r="BI385" s="1" t="s">
        <v>74</v>
      </c>
      <c r="BJ385" s="1" t="s">
        <v>74</v>
      </c>
      <c r="BK385" s="1" t="s">
        <v>74</v>
      </c>
      <c r="BL385" s="1" t="s">
        <v>74</v>
      </c>
      <c r="BM385" s="1" t="s">
        <v>74</v>
      </c>
      <c r="BN385" s="1" t="s">
        <v>74</v>
      </c>
      <c r="BO385" s="1" t="s">
        <v>74</v>
      </c>
      <c r="BP385" s="1" t="s">
        <v>74</v>
      </c>
      <c r="BQ385" s="1" t="s">
        <v>74</v>
      </c>
      <c r="BR385" s="1" t="s">
        <v>74</v>
      </c>
      <c r="BS385" s="1" t="s">
        <v>3915</v>
      </c>
      <c r="BT385" s="1" t="str">
        <f>HYPERLINK("https%3A%2F%2Fwww.webofscience.com%2Fwos%2Fwoscc%2Ffull-record%2FWOS:000647284400004","View Full Record in Web of Science")</f>
        <v>View Full Record in Web of Science</v>
      </c>
    </row>
    <row r="386" ht="12.75" customHeight="1">
      <c r="A386" s="1" t="s">
        <v>346</v>
      </c>
      <c r="B386" s="1" t="s">
        <v>3916</v>
      </c>
      <c r="C386" s="1" t="s">
        <v>74</v>
      </c>
      <c r="D386" s="1" t="s">
        <v>74</v>
      </c>
      <c r="E386" s="1" t="s">
        <v>3917</v>
      </c>
      <c r="F386" s="1" t="s">
        <v>3918</v>
      </c>
      <c r="G386" s="1" t="s">
        <v>74</v>
      </c>
      <c r="H386" s="1" t="s">
        <v>74</v>
      </c>
      <c r="I386" s="1" t="s">
        <v>3919</v>
      </c>
      <c r="J386" s="1" t="s">
        <v>3920</v>
      </c>
      <c r="K386" s="1" t="s">
        <v>74</v>
      </c>
      <c r="L386" s="1" t="s">
        <v>74</v>
      </c>
      <c r="M386" s="1" t="s">
        <v>74</v>
      </c>
      <c r="N386" s="1" t="s">
        <v>74</v>
      </c>
      <c r="O386" s="1" t="s">
        <v>3921</v>
      </c>
      <c r="P386" s="1" t="s">
        <v>3922</v>
      </c>
      <c r="Q386" s="1" t="s">
        <v>3923</v>
      </c>
      <c r="R386" s="1" t="s">
        <v>3917</v>
      </c>
      <c r="S386" s="1" t="s">
        <v>74</v>
      </c>
      <c r="T386" s="1" t="s">
        <v>74</v>
      </c>
      <c r="U386" s="1" t="s">
        <v>74</v>
      </c>
      <c r="V386" s="1" t="s">
        <v>3924</v>
      </c>
      <c r="W386" s="1" t="s">
        <v>74</v>
      </c>
      <c r="X386" s="1" t="s">
        <v>74</v>
      </c>
      <c r="Y386" s="1" t="s">
        <v>74</v>
      </c>
      <c r="Z386" s="1" t="s">
        <v>74</v>
      </c>
      <c r="AA386" s="1" t="s">
        <v>74</v>
      </c>
      <c r="AB386" s="1" t="s">
        <v>74</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74</v>
      </c>
      <c r="AP386" s="1" t="s">
        <v>74</v>
      </c>
      <c r="AQ386" s="1" t="s">
        <v>3925</v>
      </c>
      <c r="AR386" s="1" t="s">
        <v>74</v>
      </c>
      <c r="AS386" s="1" t="s">
        <v>74</v>
      </c>
      <c r="AT386" s="1" t="s">
        <v>74</v>
      </c>
      <c r="AU386" s="1">
        <v>2020.0</v>
      </c>
      <c r="AV386" s="1" t="s">
        <v>74</v>
      </c>
      <c r="AW386" s="1" t="s">
        <v>74</v>
      </c>
      <c r="AX386" s="1" t="s">
        <v>74</v>
      </c>
      <c r="AY386" s="1" t="s">
        <v>74</v>
      </c>
      <c r="AZ386" s="1" t="s">
        <v>74</v>
      </c>
      <c r="BA386" s="1" t="s">
        <v>74</v>
      </c>
      <c r="BB386" s="1" t="s">
        <v>74</v>
      </c>
      <c r="BC386" s="1" t="s">
        <v>74</v>
      </c>
      <c r="BD386" s="1" t="s">
        <v>3926</v>
      </c>
      <c r="BE386" s="1" t="s">
        <v>74</v>
      </c>
      <c r="BF386" s="1" t="s">
        <v>74</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3927</v>
      </c>
      <c r="BT386" s="1" t="str">
        <f>HYPERLINK("https%3A%2F%2Fwww.webofscience.com%2Fwos%2Fwoscc%2Ffull-record%2FWOS:001254322800029","View Full Record in Web of Science")</f>
        <v>View Full Record in Web of Science</v>
      </c>
    </row>
    <row r="387" ht="12.75" customHeight="1">
      <c r="A387" s="1" t="s">
        <v>72</v>
      </c>
      <c r="B387" s="1" t="s">
        <v>3928</v>
      </c>
      <c r="C387" s="1" t="s">
        <v>74</v>
      </c>
      <c r="D387" s="1" t="s">
        <v>74</v>
      </c>
      <c r="E387" s="1" t="s">
        <v>74</v>
      </c>
      <c r="F387" s="1" t="s">
        <v>3929</v>
      </c>
      <c r="G387" s="1" t="s">
        <v>74</v>
      </c>
      <c r="H387" s="1" t="s">
        <v>74</v>
      </c>
      <c r="I387" s="1" t="s">
        <v>3930</v>
      </c>
      <c r="J387" s="1" t="s">
        <v>3931</v>
      </c>
      <c r="K387" s="1" t="s">
        <v>74</v>
      </c>
      <c r="L387" s="1" t="s">
        <v>74</v>
      </c>
      <c r="M387" s="1" t="s">
        <v>74</v>
      </c>
      <c r="N387" s="1" t="s">
        <v>74</v>
      </c>
      <c r="O387" s="1" t="s">
        <v>74</v>
      </c>
      <c r="P387" s="1" t="s">
        <v>74</v>
      </c>
      <c r="Q387" s="1" t="s">
        <v>74</v>
      </c>
      <c r="R387" s="1" t="s">
        <v>74</v>
      </c>
      <c r="S387" s="1" t="s">
        <v>74</v>
      </c>
      <c r="T387" s="1" t="s">
        <v>74</v>
      </c>
      <c r="U387" s="1" t="s">
        <v>74</v>
      </c>
      <c r="V387" s="1" t="s">
        <v>74</v>
      </c>
      <c r="W387" s="1" t="s">
        <v>74</v>
      </c>
      <c r="X387" s="1" t="s">
        <v>74</v>
      </c>
      <c r="Y387" s="1" t="s">
        <v>74</v>
      </c>
      <c r="Z387" s="1" t="s">
        <v>74</v>
      </c>
      <c r="AA387" s="1" t="s">
        <v>3932</v>
      </c>
      <c r="AB387" s="1" t="s">
        <v>3933</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3934</v>
      </c>
      <c r="AP387" s="1" t="s">
        <v>3935</v>
      </c>
      <c r="AQ387" s="1" t="s">
        <v>74</v>
      </c>
      <c r="AR387" s="1" t="s">
        <v>74</v>
      </c>
      <c r="AS387" s="1" t="s">
        <v>74</v>
      </c>
      <c r="AT387" s="1" t="s">
        <v>461</v>
      </c>
      <c r="AU387" s="1">
        <v>2019.0</v>
      </c>
      <c r="AV387" s="1">
        <v>46.0</v>
      </c>
      <c r="AW387" s="1">
        <v>3.0</v>
      </c>
      <c r="AX387" s="1" t="s">
        <v>74</v>
      </c>
      <c r="AY387" s="1" t="s">
        <v>74</v>
      </c>
      <c r="AZ387" s="1" t="s">
        <v>297</v>
      </c>
      <c r="BA387" s="1" t="s">
        <v>74</v>
      </c>
      <c r="BB387" s="1">
        <v>201.0</v>
      </c>
      <c r="BC387" s="1">
        <v>204.0</v>
      </c>
      <c r="BD387" s="1" t="s">
        <v>3936</v>
      </c>
      <c r="BE387" s="1" t="s">
        <v>3937</v>
      </c>
      <c r="BF387" s="2" t="str">
        <f>HYPERLINK("http://dx.doi.org/10.1017/S0376892919000122","http://dx.doi.org/10.1017/S0376892919000122")</f>
        <v>http://dx.doi.org/10.1017/S0376892919000122</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3938</v>
      </c>
      <c r="BT387" s="1" t="str">
        <f>HYPERLINK("https%3A%2F%2Fwww.webofscience.com%2Fwos%2Fwoscc%2Ffull-record%2FWOS:000484393100004","View Full Record in Web of Science")</f>
        <v>View Full Record in Web of Science</v>
      </c>
    </row>
    <row r="388" ht="12.75" customHeight="1">
      <c r="A388" s="1" t="s">
        <v>72</v>
      </c>
      <c r="B388" s="1" t="s">
        <v>3939</v>
      </c>
      <c r="C388" s="1" t="s">
        <v>74</v>
      </c>
      <c r="D388" s="1" t="s">
        <v>74</v>
      </c>
      <c r="E388" s="1" t="s">
        <v>74</v>
      </c>
      <c r="F388" s="1" t="s">
        <v>3940</v>
      </c>
      <c r="G388" s="1" t="s">
        <v>74</v>
      </c>
      <c r="H388" s="1" t="s">
        <v>74</v>
      </c>
      <c r="I388" s="1" t="s">
        <v>3941</v>
      </c>
      <c r="J388" s="1" t="s">
        <v>3942</v>
      </c>
      <c r="K388" s="1" t="s">
        <v>74</v>
      </c>
      <c r="L388" s="1" t="s">
        <v>74</v>
      </c>
      <c r="M388" s="1" t="s">
        <v>74</v>
      </c>
      <c r="N388" s="1" t="s">
        <v>74</v>
      </c>
      <c r="O388" s="1" t="s">
        <v>74</v>
      </c>
      <c r="P388" s="1" t="s">
        <v>74</v>
      </c>
      <c r="Q388" s="1" t="s">
        <v>74</v>
      </c>
      <c r="R388" s="1" t="s">
        <v>74</v>
      </c>
      <c r="S388" s="1" t="s">
        <v>74</v>
      </c>
      <c r="T388" s="1" t="s">
        <v>74</v>
      </c>
      <c r="U388" s="1" t="s">
        <v>74</v>
      </c>
      <c r="V388" s="1" t="s">
        <v>3943</v>
      </c>
      <c r="W388" s="1" t="s">
        <v>74</v>
      </c>
      <c r="X388" s="1" t="s">
        <v>74</v>
      </c>
      <c r="Y388" s="1" t="s">
        <v>74</v>
      </c>
      <c r="Z388" s="1" t="s">
        <v>74</v>
      </c>
      <c r="AA388" s="1" t="s">
        <v>3944</v>
      </c>
      <c r="AB388" s="1" t="s">
        <v>3945</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3946</v>
      </c>
      <c r="AP388" s="1" t="s">
        <v>3947</v>
      </c>
      <c r="AQ388" s="1" t="s">
        <v>74</v>
      </c>
      <c r="AR388" s="1" t="s">
        <v>74</v>
      </c>
      <c r="AS388" s="1" t="s">
        <v>74</v>
      </c>
      <c r="AT388" s="1" t="s">
        <v>164</v>
      </c>
      <c r="AU388" s="1">
        <v>2019.0</v>
      </c>
      <c r="AV388" s="1">
        <v>342.0</v>
      </c>
      <c r="AW388" s="1">
        <v>7.0</v>
      </c>
      <c r="AX388" s="1" t="s">
        <v>74</v>
      </c>
      <c r="AY388" s="1" t="s">
        <v>74</v>
      </c>
      <c r="AZ388" s="1" t="s">
        <v>74</v>
      </c>
      <c r="BA388" s="1" t="s">
        <v>74</v>
      </c>
      <c r="BB388" s="1">
        <v>1885.0</v>
      </c>
      <c r="BC388" s="1">
        <v>1893.0</v>
      </c>
      <c r="BD388" s="1" t="s">
        <v>74</v>
      </c>
      <c r="BE388" s="1" t="s">
        <v>3948</v>
      </c>
      <c r="BF388" s="2" t="str">
        <f>HYPERLINK("http://dx.doi.org/10.1016/j.disc.2019.03.003","http://dx.doi.org/10.1016/j.disc.2019.03.003")</f>
        <v>http://dx.doi.org/10.1016/j.disc.2019.03.003</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3949</v>
      </c>
      <c r="BT388" s="1" t="str">
        <f>HYPERLINK("https%3A%2F%2Fwww.webofscience.com%2Fwos%2Fwoscc%2Ffull-record%2FWOS:000471088300002","View Full Record in Web of Science")</f>
        <v>View Full Record in Web of Science</v>
      </c>
    </row>
    <row r="389" ht="12.75" customHeight="1">
      <c r="A389" s="1" t="s">
        <v>72</v>
      </c>
      <c r="B389" s="1" t="s">
        <v>2142</v>
      </c>
      <c r="C389" s="1" t="s">
        <v>74</v>
      </c>
      <c r="D389" s="1" t="s">
        <v>74</v>
      </c>
      <c r="E389" s="1" t="s">
        <v>74</v>
      </c>
      <c r="F389" s="1" t="s">
        <v>2143</v>
      </c>
      <c r="G389" s="1" t="s">
        <v>74</v>
      </c>
      <c r="H389" s="1" t="s">
        <v>74</v>
      </c>
      <c r="I389" s="1" t="s">
        <v>3950</v>
      </c>
      <c r="J389" s="1" t="s">
        <v>502</v>
      </c>
      <c r="K389" s="1" t="s">
        <v>74</v>
      </c>
      <c r="L389" s="1" t="s">
        <v>74</v>
      </c>
      <c r="M389" s="1" t="s">
        <v>74</v>
      </c>
      <c r="N389" s="1" t="s">
        <v>74</v>
      </c>
      <c r="O389" s="1" t="s">
        <v>74</v>
      </c>
      <c r="P389" s="1" t="s">
        <v>74</v>
      </c>
      <c r="Q389" s="1" t="s">
        <v>74</v>
      </c>
      <c r="R389" s="1" t="s">
        <v>74</v>
      </c>
      <c r="S389" s="1" t="s">
        <v>74</v>
      </c>
      <c r="T389" s="1" t="s">
        <v>74</v>
      </c>
      <c r="U389" s="1" t="s">
        <v>74</v>
      </c>
      <c r="V389" s="1" t="s">
        <v>74</v>
      </c>
      <c r="W389" s="1" t="s">
        <v>74</v>
      </c>
      <c r="X389" s="1" t="s">
        <v>74</v>
      </c>
      <c r="Y389" s="1" t="s">
        <v>74</v>
      </c>
      <c r="Z389" s="1" t="s">
        <v>74</v>
      </c>
      <c r="AA389" s="1" t="s">
        <v>74</v>
      </c>
      <c r="AB389" s="1" t="s">
        <v>74</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503</v>
      </c>
      <c r="AP389" s="1" t="s">
        <v>504</v>
      </c>
      <c r="AQ389" s="1" t="s">
        <v>74</v>
      </c>
      <c r="AR389" s="1" t="s">
        <v>74</v>
      </c>
      <c r="AS389" s="1" t="s">
        <v>74</v>
      </c>
      <c r="AT389" s="1" t="s">
        <v>496</v>
      </c>
      <c r="AU389" s="1">
        <v>2019.0</v>
      </c>
      <c r="AV389" s="1">
        <v>76.0</v>
      </c>
      <c r="AW389" s="1">
        <v>1.0</v>
      </c>
      <c r="AX389" s="1" t="s">
        <v>74</v>
      </c>
      <c r="AY389" s="1" t="s">
        <v>74</v>
      </c>
      <c r="AZ389" s="1" t="s">
        <v>74</v>
      </c>
      <c r="BA389" s="1" t="s">
        <v>74</v>
      </c>
      <c r="BB389" s="1">
        <v>207.0</v>
      </c>
      <c r="BC389" s="1">
        <v>208.0</v>
      </c>
      <c r="BD389" s="1" t="s">
        <v>74</v>
      </c>
      <c r="BE389" s="1" t="s">
        <v>3951</v>
      </c>
      <c r="BF389" s="2" t="str">
        <f>HYPERLINK("http://dx.doi.org/10.1017/tam.2018.130","http://dx.doi.org/10.1017/tam.2018.130")</f>
        <v>http://dx.doi.org/10.1017/tam.2018.130</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3952</v>
      </c>
      <c r="BT389" s="1" t="str">
        <f>HYPERLINK("https%3A%2F%2Fwww.webofscience.com%2Fwos%2Fwoscc%2Ffull-record%2FWOS:000458113400040","View Full Record in Web of Science")</f>
        <v>View Full Record in Web of Science</v>
      </c>
    </row>
    <row r="390" ht="12.75" customHeight="1">
      <c r="A390" s="1" t="s">
        <v>72</v>
      </c>
      <c r="B390" s="1" t="s">
        <v>3953</v>
      </c>
      <c r="C390" s="1" t="s">
        <v>74</v>
      </c>
      <c r="D390" s="1" t="s">
        <v>74</v>
      </c>
      <c r="E390" s="1" t="s">
        <v>74</v>
      </c>
      <c r="F390" s="1" t="s">
        <v>3954</v>
      </c>
      <c r="G390" s="1" t="s">
        <v>74</v>
      </c>
      <c r="H390" s="1" t="s">
        <v>74</v>
      </c>
      <c r="I390" s="1" t="s">
        <v>3955</v>
      </c>
      <c r="J390" s="1" t="s">
        <v>3956</v>
      </c>
      <c r="K390" s="1" t="s">
        <v>74</v>
      </c>
      <c r="L390" s="1" t="s">
        <v>74</v>
      </c>
      <c r="M390" s="1" t="s">
        <v>74</v>
      </c>
      <c r="N390" s="1" t="s">
        <v>74</v>
      </c>
      <c r="O390" s="1" t="s">
        <v>74</v>
      </c>
      <c r="P390" s="1" t="s">
        <v>74</v>
      </c>
      <c r="Q390" s="1" t="s">
        <v>74</v>
      </c>
      <c r="R390" s="1" t="s">
        <v>74</v>
      </c>
      <c r="S390" s="1" t="s">
        <v>74</v>
      </c>
      <c r="T390" s="1" t="s">
        <v>74</v>
      </c>
      <c r="U390" s="1" t="s">
        <v>74</v>
      </c>
      <c r="V390" s="1" t="s">
        <v>3957</v>
      </c>
      <c r="W390" s="1" t="s">
        <v>74</v>
      </c>
      <c r="X390" s="1" t="s">
        <v>74</v>
      </c>
      <c r="Y390" s="1" t="s">
        <v>74</v>
      </c>
      <c r="Z390" s="1" t="s">
        <v>74</v>
      </c>
      <c r="AA390" s="1" t="s">
        <v>3958</v>
      </c>
      <c r="AB390" s="1" t="s">
        <v>3959</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3960</v>
      </c>
      <c r="AP390" s="1" t="s">
        <v>3961</v>
      </c>
      <c r="AQ390" s="1" t="s">
        <v>74</v>
      </c>
      <c r="AR390" s="1" t="s">
        <v>74</v>
      </c>
      <c r="AS390" s="1" t="s">
        <v>74</v>
      </c>
      <c r="AT390" s="1" t="s">
        <v>461</v>
      </c>
      <c r="AU390" s="1">
        <v>2018.0</v>
      </c>
      <c r="AV390" s="1">
        <v>110.0</v>
      </c>
      <c r="AW390" s="1" t="s">
        <v>74</v>
      </c>
      <c r="AX390" s="1" t="s">
        <v>74</v>
      </c>
      <c r="AY390" s="1" t="s">
        <v>74</v>
      </c>
      <c r="AZ390" s="1" t="s">
        <v>74</v>
      </c>
      <c r="BA390" s="1" t="s">
        <v>74</v>
      </c>
      <c r="BB390" s="1">
        <v>73.0</v>
      </c>
      <c r="BC390" s="1">
        <v>78.0</v>
      </c>
      <c r="BD390" s="1" t="s">
        <v>74</v>
      </c>
      <c r="BE390" s="1" t="s">
        <v>3962</v>
      </c>
      <c r="BF390" s="2" t="str">
        <f>HYPERLINK("http://dx.doi.org/10.1016/j.exger.2018.05.014","http://dx.doi.org/10.1016/j.exger.2018.05.014")</f>
        <v>http://dx.doi.org/10.1016/j.exger.2018.05.014</v>
      </c>
      <c r="BG390" s="1" t="s">
        <v>74</v>
      </c>
      <c r="BH390" s="1" t="s">
        <v>74</v>
      </c>
      <c r="BI390" s="1" t="s">
        <v>74</v>
      </c>
      <c r="BJ390" s="1" t="s">
        <v>74</v>
      </c>
      <c r="BK390" s="1" t="s">
        <v>74</v>
      </c>
      <c r="BL390" s="1" t="s">
        <v>74</v>
      </c>
      <c r="BM390" s="1" t="s">
        <v>74</v>
      </c>
      <c r="BN390" s="1">
        <v>2.9782967E7</v>
      </c>
      <c r="BO390" s="1" t="s">
        <v>74</v>
      </c>
      <c r="BP390" s="1" t="s">
        <v>74</v>
      </c>
      <c r="BQ390" s="1" t="s">
        <v>74</v>
      </c>
      <c r="BR390" s="1" t="s">
        <v>74</v>
      </c>
      <c r="BS390" s="1" t="s">
        <v>3963</v>
      </c>
      <c r="BT390" s="1" t="str">
        <f>HYPERLINK("https%3A%2F%2Fwww.webofscience.com%2Fwos%2Fwoscc%2Ffull-record%2FWOS:000442386400011","View Full Record in Web of Science")</f>
        <v>View Full Record in Web of Science</v>
      </c>
    </row>
    <row r="391" ht="12.75" customHeight="1">
      <c r="A391" s="1" t="s">
        <v>72</v>
      </c>
      <c r="B391" s="1" t="s">
        <v>3964</v>
      </c>
      <c r="C391" s="1" t="s">
        <v>74</v>
      </c>
      <c r="D391" s="1" t="s">
        <v>74</v>
      </c>
      <c r="E391" s="1" t="s">
        <v>74</v>
      </c>
      <c r="F391" s="1" t="s">
        <v>3965</v>
      </c>
      <c r="G391" s="1" t="s">
        <v>74</v>
      </c>
      <c r="H391" s="1" t="s">
        <v>74</v>
      </c>
      <c r="I391" s="1" t="s">
        <v>3966</v>
      </c>
      <c r="J391" s="1" t="s">
        <v>3967</v>
      </c>
      <c r="K391" s="1" t="s">
        <v>74</v>
      </c>
      <c r="L391" s="1" t="s">
        <v>74</v>
      </c>
      <c r="M391" s="1" t="s">
        <v>74</v>
      </c>
      <c r="N391" s="1" t="s">
        <v>74</v>
      </c>
      <c r="O391" s="1" t="s">
        <v>74</v>
      </c>
      <c r="P391" s="1" t="s">
        <v>74</v>
      </c>
      <c r="Q391" s="1" t="s">
        <v>74</v>
      </c>
      <c r="R391" s="1" t="s">
        <v>74</v>
      </c>
      <c r="S391" s="1" t="s">
        <v>74</v>
      </c>
      <c r="T391" s="1" t="s">
        <v>74</v>
      </c>
      <c r="U391" s="1" t="s">
        <v>74</v>
      </c>
      <c r="V391" s="1" t="s">
        <v>3968</v>
      </c>
      <c r="W391" s="1" t="s">
        <v>74</v>
      </c>
      <c r="X391" s="1" t="s">
        <v>74</v>
      </c>
      <c r="Y391" s="1" t="s">
        <v>74</v>
      </c>
      <c r="Z391" s="1" t="s">
        <v>74</v>
      </c>
      <c r="AA391" s="1" t="s">
        <v>74</v>
      </c>
      <c r="AB391" s="1" t="s">
        <v>3969</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3970</v>
      </c>
      <c r="AP391" s="1" t="s">
        <v>3971</v>
      </c>
      <c r="AQ391" s="1" t="s">
        <v>74</v>
      </c>
      <c r="AR391" s="1" t="s">
        <v>74</v>
      </c>
      <c r="AS391" s="1" t="s">
        <v>74</v>
      </c>
      <c r="AT391" s="1" t="s">
        <v>554</v>
      </c>
      <c r="AU391" s="1">
        <v>2017.0</v>
      </c>
      <c r="AV391" s="1">
        <v>95.0</v>
      </c>
      <c r="AW391" s="1" t="s">
        <v>74</v>
      </c>
      <c r="AX391" s="1">
        <v>3.0</v>
      </c>
      <c r="AY391" s="1" t="s">
        <v>74</v>
      </c>
      <c r="AZ391" s="1" t="s">
        <v>74</v>
      </c>
      <c r="BA391" s="1" t="s">
        <v>74</v>
      </c>
      <c r="BB391" s="1">
        <v>919.0</v>
      </c>
      <c r="BC391" s="1">
        <v>941.0</v>
      </c>
      <c r="BD391" s="1" t="s">
        <v>74</v>
      </c>
      <c r="BE391" s="1" t="s">
        <v>3972</v>
      </c>
      <c r="BF391" s="2" t="str">
        <f>HYPERLINK("http://dx.doi.org/10.1112/jlms.12044","http://dx.doi.org/10.1112/jlms.12044")</f>
        <v>http://dx.doi.org/10.1112/jlms.12044</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3973</v>
      </c>
      <c r="BT391" s="1" t="str">
        <f>HYPERLINK("https%3A%2F%2Fwww.webofscience.com%2Fwos%2Fwoscc%2Ffull-record%2FWOS:000407971300011","View Full Record in Web of Science")</f>
        <v>View Full Record in Web of Science</v>
      </c>
    </row>
    <row r="392" ht="12.75" customHeight="1">
      <c r="A392" s="1" t="s">
        <v>72</v>
      </c>
      <c r="B392" s="1" t="s">
        <v>3974</v>
      </c>
      <c r="C392" s="1" t="s">
        <v>74</v>
      </c>
      <c r="D392" s="1" t="s">
        <v>74</v>
      </c>
      <c r="E392" s="1" t="s">
        <v>74</v>
      </c>
      <c r="F392" s="1" t="s">
        <v>3975</v>
      </c>
      <c r="G392" s="1" t="s">
        <v>74</v>
      </c>
      <c r="H392" s="1" t="s">
        <v>74</v>
      </c>
      <c r="I392" s="1" t="s">
        <v>3976</v>
      </c>
      <c r="J392" s="1" t="s">
        <v>3977</v>
      </c>
      <c r="K392" s="1" t="s">
        <v>74</v>
      </c>
      <c r="L392" s="1" t="s">
        <v>74</v>
      </c>
      <c r="M392" s="1" t="s">
        <v>74</v>
      </c>
      <c r="N392" s="1" t="s">
        <v>74</v>
      </c>
      <c r="O392" s="1" t="s">
        <v>74</v>
      </c>
      <c r="P392" s="1" t="s">
        <v>74</v>
      </c>
      <c r="Q392" s="1" t="s">
        <v>74</v>
      </c>
      <c r="R392" s="1" t="s">
        <v>74</v>
      </c>
      <c r="S392" s="1" t="s">
        <v>74</v>
      </c>
      <c r="T392" s="1" t="s">
        <v>74</v>
      </c>
      <c r="U392" s="1" t="s">
        <v>74</v>
      </c>
      <c r="V392" s="1" t="s">
        <v>3978</v>
      </c>
      <c r="W392" s="1" t="s">
        <v>74</v>
      </c>
      <c r="X392" s="1" t="s">
        <v>74</v>
      </c>
      <c r="Y392" s="1" t="s">
        <v>74</v>
      </c>
      <c r="Z392" s="1" t="s">
        <v>74</v>
      </c>
      <c r="AA392" s="1" t="s">
        <v>3979</v>
      </c>
      <c r="AB392" s="1" t="s">
        <v>3980</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3981</v>
      </c>
      <c r="AP392" s="1" t="s">
        <v>3982</v>
      </c>
      <c r="AQ392" s="1" t="s">
        <v>74</v>
      </c>
      <c r="AR392" s="1" t="s">
        <v>74</v>
      </c>
      <c r="AS392" s="1" t="s">
        <v>74</v>
      </c>
      <c r="AT392" s="1" t="s">
        <v>74</v>
      </c>
      <c r="AU392" s="1">
        <v>2017.0</v>
      </c>
      <c r="AV392" s="1">
        <v>15.0</v>
      </c>
      <c r="AW392" s="1">
        <v>3.0</v>
      </c>
      <c r="AX392" s="1" t="s">
        <v>74</v>
      </c>
      <c r="AY392" s="1" t="s">
        <v>74</v>
      </c>
      <c r="AZ392" s="1" t="s">
        <v>74</v>
      </c>
      <c r="BA392" s="1" t="s">
        <v>74</v>
      </c>
      <c r="BB392" s="1">
        <v>457.0</v>
      </c>
      <c r="BC392" s="1">
        <v>465.0</v>
      </c>
      <c r="BD392" s="1" t="s">
        <v>74</v>
      </c>
      <c r="BE392" s="1" t="s">
        <v>3983</v>
      </c>
      <c r="BF392" s="2" t="str">
        <f>HYPERLINK("http://dx.doi.org/10.1080/19476337.2017.1297961","http://dx.doi.org/10.1080/19476337.2017.1297961")</f>
        <v>http://dx.doi.org/10.1080/19476337.2017.1297961</v>
      </c>
      <c r="BG392" s="1" t="s">
        <v>74</v>
      </c>
      <c r="BH392" s="1" t="s">
        <v>74</v>
      </c>
      <c r="BI392" s="1" t="s">
        <v>74</v>
      </c>
      <c r="BJ392" s="1" t="s">
        <v>74</v>
      </c>
      <c r="BK392" s="1" t="s">
        <v>74</v>
      </c>
      <c r="BL392" s="1" t="s">
        <v>74</v>
      </c>
      <c r="BM392" s="1" t="s">
        <v>74</v>
      </c>
      <c r="BN392" s="1" t="s">
        <v>74</v>
      </c>
      <c r="BO392" s="1" t="s">
        <v>74</v>
      </c>
      <c r="BP392" s="1" t="s">
        <v>74</v>
      </c>
      <c r="BQ392" s="1" t="s">
        <v>74</v>
      </c>
      <c r="BR392" s="1" t="s">
        <v>74</v>
      </c>
      <c r="BS392" s="1" t="s">
        <v>3984</v>
      </c>
      <c r="BT392" s="1" t="str">
        <f>HYPERLINK("https%3A%2F%2Fwww.webofscience.com%2Fwos%2Fwoscc%2Ffull-record%2FWOS:000402612300018","View Full Record in Web of Science")</f>
        <v>View Full Record in Web of Science</v>
      </c>
    </row>
    <row r="393" ht="12.75" customHeight="1">
      <c r="A393" s="1" t="s">
        <v>346</v>
      </c>
      <c r="B393" s="1" t="s">
        <v>3985</v>
      </c>
      <c r="C393" s="1" t="s">
        <v>74</v>
      </c>
      <c r="D393" s="1" t="s">
        <v>3986</v>
      </c>
      <c r="E393" s="1" t="s">
        <v>74</v>
      </c>
      <c r="F393" s="1" t="s">
        <v>3987</v>
      </c>
      <c r="G393" s="1" t="s">
        <v>74</v>
      </c>
      <c r="H393" s="1" t="s">
        <v>74</v>
      </c>
      <c r="I393" s="1" t="s">
        <v>3988</v>
      </c>
      <c r="J393" s="1" t="s">
        <v>3989</v>
      </c>
      <c r="K393" s="1" t="s">
        <v>3990</v>
      </c>
      <c r="L393" s="1" t="s">
        <v>74</v>
      </c>
      <c r="M393" s="1" t="s">
        <v>74</v>
      </c>
      <c r="N393" s="1" t="s">
        <v>74</v>
      </c>
      <c r="O393" s="1" t="s">
        <v>3991</v>
      </c>
      <c r="P393" s="1" t="s">
        <v>3992</v>
      </c>
      <c r="Q393" s="1" t="s">
        <v>3993</v>
      </c>
      <c r="R393" s="1" t="s">
        <v>3994</v>
      </c>
      <c r="S393" s="1" t="s">
        <v>74</v>
      </c>
      <c r="T393" s="1" t="s">
        <v>74</v>
      </c>
      <c r="U393" s="1" t="s">
        <v>74</v>
      </c>
      <c r="V393" s="1" t="s">
        <v>3995</v>
      </c>
      <c r="W393" s="1" t="s">
        <v>74</v>
      </c>
      <c r="X393" s="1" t="s">
        <v>74</v>
      </c>
      <c r="Y393" s="1" t="s">
        <v>74</v>
      </c>
      <c r="Z393" s="1" t="s">
        <v>74</v>
      </c>
      <c r="AA393" s="1" t="s">
        <v>3996</v>
      </c>
      <c r="AB393" s="1" t="s">
        <v>3997</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3998</v>
      </c>
      <c r="AP393" s="1" t="s">
        <v>3999</v>
      </c>
      <c r="AQ393" s="1" t="s">
        <v>4000</v>
      </c>
      <c r="AR393" s="1" t="s">
        <v>74</v>
      </c>
      <c r="AS393" s="1" t="s">
        <v>74</v>
      </c>
      <c r="AT393" s="1" t="s">
        <v>74</v>
      </c>
      <c r="AU393" s="1">
        <v>2017.0</v>
      </c>
      <c r="AV393" s="1" t="s">
        <v>74</v>
      </c>
      <c r="AW393" s="1" t="s">
        <v>74</v>
      </c>
      <c r="AX393" s="1" t="s">
        <v>74</v>
      </c>
      <c r="AY393" s="1" t="s">
        <v>74</v>
      </c>
      <c r="AZ393" s="1" t="s">
        <v>74</v>
      </c>
      <c r="BA393" s="1" t="s">
        <v>74</v>
      </c>
      <c r="BB393" s="1">
        <v>153.0</v>
      </c>
      <c r="BC393" s="1">
        <v>158.0</v>
      </c>
      <c r="BD393" s="1" t="s">
        <v>74</v>
      </c>
      <c r="BE393" s="1" t="s">
        <v>4001</v>
      </c>
      <c r="BF393" s="2" t="str">
        <f>HYPERLINK("http://dx.doi.org/10.1007/978-3-319-28513-9_21","http://dx.doi.org/10.1007/978-3-319-28513-9_21")</f>
        <v>http://dx.doi.org/10.1007/978-3-319-28513-9_21</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4002</v>
      </c>
      <c r="BT393" s="1" t="str">
        <f>HYPERLINK("https%3A%2F%2Fwww.webofscience.com%2Fwos%2Fwoscc%2Ffull-record%2FWOS:000405231500021","View Full Record in Web of Science")</f>
        <v>View Full Record in Web of Science</v>
      </c>
    </row>
    <row r="394" ht="12.75" customHeight="1">
      <c r="A394" s="1" t="s">
        <v>72</v>
      </c>
      <c r="B394" s="1" t="s">
        <v>4003</v>
      </c>
      <c r="C394" s="1" t="s">
        <v>74</v>
      </c>
      <c r="D394" s="1" t="s">
        <v>74</v>
      </c>
      <c r="E394" s="1" t="s">
        <v>74</v>
      </c>
      <c r="F394" s="1" t="s">
        <v>4004</v>
      </c>
      <c r="G394" s="1" t="s">
        <v>74</v>
      </c>
      <c r="H394" s="1" t="s">
        <v>74</v>
      </c>
      <c r="I394" s="1" t="s">
        <v>4005</v>
      </c>
      <c r="J394" s="1" t="s">
        <v>4006</v>
      </c>
      <c r="K394" s="1" t="s">
        <v>74</v>
      </c>
      <c r="L394" s="1" t="s">
        <v>74</v>
      </c>
      <c r="M394" s="1" t="s">
        <v>74</v>
      </c>
      <c r="N394" s="1" t="s">
        <v>74</v>
      </c>
      <c r="O394" s="1" t="s">
        <v>74</v>
      </c>
      <c r="P394" s="1" t="s">
        <v>74</v>
      </c>
      <c r="Q394" s="1" t="s">
        <v>74</v>
      </c>
      <c r="R394" s="1" t="s">
        <v>74</v>
      </c>
      <c r="S394" s="1" t="s">
        <v>74</v>
      </c>
      <c r="T394" s="1" t="s">
        <v>74</v>
      </c>
      <c r="U394" s="1" t="s">
        <v>74</v>
      </c>
      <c r="V394" s="1" t="s">
        <v>4007</v>
      </c>
      <c r="W394" s="1" t="s">
        <v>74</v>
      </c>
      <c r="X394" s="1" t="s">
        <v>74</v>
      </c>
      <c r="Y394" s="1" t="s">
        <v>74</v>
      </c>
      <c r="Z394" s="1" t="s">
        <v>74</v>
      </c>
      <c r="AA394" s="1" t="s">
        <v>4008</v>
      </c>
      <c r="AB394" s="1" t="s">
        <v>4009</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74</v>
      </c>
      <c r="AP394" s="1" t="s">
        <v>4010</v>
      </c>
      <c r="AQ394" s="1" t="s">
        <v>74</v>
      </c>
      <c r="AR394" s="1" t="s">
        <v>74</v>
      </c>
      <c r="AS394" s="1" t="s">
        <v>74</v>
      </c>
      <c r="AT394" s="1" t="s">
        <v>4011</v>
      </c>
      <c r="AU394" s="1">
        <v>2013.0</v>
      </c>
      <c r="AV394" s="1">
        <v>12.0</v>
      </c>
      <c r="AW394" s="1" t="s">
        <v>74</v>
      </c>
      <c r="AX394" s="1" t="s">
        <v>74</v>
      </c>
      <c r="AY394" s="1" t="s">
        <v>74</v>
      </c>
      <c r="AZ394" s="1" t="s">
        <v>74</v>
      </c>
      <c r="BA394" s="1" t="s">
        <v>74</v>
      </c>
      <c r="BB394" s="1" t="s">
        <v>74</v>
      </c>
      <c r="BC394" s="1" t="s">
        <v>74</v>
      </c>
      <c r="BD394" s="1">
        <v>75.0</v>
      </c>
      <c r="BE394" s="1" t="s">
        <v>4012</v>
      </c>
      <c r="BF394" s="2" t="str">
        <f>HYPERLINK("http://dx.doi.org/10.1186/1475-2859-12-75","http://dx.doi.org/10.1186/1475-2859-12-75")</f>
        <v>http://dx.doi.org/10.1186/1475-2859-12-75</v>
      </c>
      <c r="BG394" s="1" t="s">
        <v>74</v>
      </c>
      <c r="BH394" s="1" t="s">
        <v>74</v>
      </c>
      <c r="BI394" s="1" t="s">
        <v>74</v>
      </c>
      <c r="BJ394" s="1" t="s">
        <v>74</v>
      </c>
      <c r="BK394" s="1" t="s">
        <v>74</v>
      </c>
      <c r="BL394" s="1" t="s">
        <v>74</v>
      </c>
      <c r="BM394" s="1" t="s">
        <v>74</v>
      </c>
      <c r="BN394" s="1">
        <v>2.3919572E7</v>
      </c>
      <c r="BO394" s="1" t="s">
        <v>74</v>
      </c>
      <c r="BP394" s="1" t="s">
        <v>74</v>
      </c>
      <c r="BQ394" s="1" t="s">
        <v>74</v>
      </c>
      <c r="BR394" s="1" t="s">
        <v>74</v>
      </c>
      <c r="BS394" s="1" t="s">
        <v>4013</v>
      </c>
      <c r="BT394" s="1" t="str">
        <f>HYPERLINK("https%3A%2F%2Fwww.webofscience.com%2Fwos%2Fwoscc%2Ffull-record%2FWOS:000323154100001","View Full Record in Web of Science")</f>
        <v>View Full Record in Web of Science</v>
      </c>
    </row>
    <row r="395" ht="12.75" customHeight="1">
      <c r="A395" s="1" t="s">
        <v>72</v>
      </c>
      <c r="B395" s="1" t="s">
        <v>4014</v>
      </c>
      <c r="C395" s="1" t="s">
        <v>74</v>
      </c>
      <c r="D395" s="1" t="s">
        <v>74</v>
      </c>
      <c r="E395" s="1" t="s">
        <v>74</v>
      </c>
      <c r="F395" s="1" t="s">
        <v>4015</v>
      </c>
      <c r="G395" s="1" t="s">
        <v>74</v>
      </c>
      <c r="H395" s="1" t="s">
        <v>74</v>
      </c>
      <c r="I395" s="1" t="s">
        <v>4016</v>
      </c>
      <c r="J395" s="1" t="s">
        <v>2767</v>
      </c>
      <c r="K395" s="1" t="s">
        <v>74</v>
      </c>
      <c r="L395" s="1" t="s">
        <v>74</v>
      </c>
      <c r="M395" s="1" t="s">
        <v>74</v>
      </c>
      <c r="N395" s="1" t="s">
        <v>74</v>
      </c>
      <c r="O395" s="1" t="s">
        <v>74</v>
      </c>
      <c r="P395" s="1" t="s">
        <v>74</v>
      </c>
      <c r="Q395" s="1" t="s">
        <v>74</v>
      </c>
      <c r="R395" s="1" t="s">
        <v>74</v>
      </c>
      <c r="S395" s="1" t="s">
        <v>74</v>
      </c>
      <c r="T395" s="1" t="s">
        <v>74</v>
      </c>
      <c r="U395" s="1" t="s">
        <v>74</v>
      </c>
      <c r="V395" s="1" t="s">
        <v>74</v>
      </c>
      <c r="W395" s="1" t="s">
        <v>74</v>
      </c>
      <c r="X395" s="1" t="s">
        <v>74</v>
      </c>
      <c r="Y395" s="1" t="s">
        <v>74</v>
      </c>
      <c r="Z395" s="1" t="s">
        <v>74</v>
      </c>
      <c r="AA395" s="1" t="s">
        <v>4017</v>
      </c>
      <c r="AB395" s="1" t="s">
        <v>74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2771</v>
      </c>
      <c r="AP395" s="1" t="s">
        <v>74</v>
      </c>
      <c r="AQ395" s="1" t="s">
        <v>74</v>
      </c>
      <c r="AR395" s="1" t="s">
        <v>74</v>
      </c>
      <c r="AS395" s="1" t="s">
        <v>74</v>
      </c>
      <c r="AT395" s="1" t="s">
        <v>554</v>
      </c>
      <c r="AU395" s="1">
        <v>2013.0</v>
      </c>
      <c r="AV395" s="1">
        <v>34.0</v>
      </c>
      <c r="AW395" s="1">
        <v>6.0</v>
      </c>
      <c r="AX395" s="1" t="s">
        <v>74</v>
      </c>
      <c r="AY395" s="1" t="s">
        <v>74</v>
      </c>
      <c r="AZ395" s="1" t="s">
        <v>74</v>
      </c>
      <c r="BA395" s="1" t="s">
        <v>74</v>
      </c>
      <c r="BB395" s="1">
        <v>1733.0</v>
      </c>
      <c r="BC395" s="1">
        <v>1734.0</v>
      </c>
      <c r="BD395" s="1" t="s">
        <v>74</v>
      </c>
      <c r="BE395" s="1" t="s">
        <v>4018</v>
      </c>
      <c r="BF395" s="2" t="str">
        <f>HYPERLINK("http://dx.doi.org/10.1016/j.fsi.2013.03.299","http://dx.doi.org/10.1016/j.fsi.2013.03.299")</f>
        <v>http://dx.doi.org/10.1016/j.fsi.2013.03.299</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4019</v>
      </c>
      <c r="BT395" s="1" t="str">
        <f>HYPERLINK("https%3A%2F%2Fwww.webofscience.com%2Fwos%2Fwoscc%2Ffull-record%2FWOS:000319646100322","View Full Record in Web of Science")</f>
        <v>View Full Record in Web of Science</v>
      </c>
    </row>
    <row r="396" ht="12.75" customHeight="1">
      <c r="A396" s="1" t="s">
        <v>72</v>
      </c>
      <c r="B396" s="1" t="s">
        <v>4020</v>
      </c>
      <c r="C396" s="1" t="s">
        <v>74</v>
      </c>
      <c r="D396" s="1" t="s">
        <v>74</v>
      </c>
      <c r="E396" s="1" t="s">
        <v>74</v>
      </c>
      <c r="F396" s="1" t="s">
        <v>4021</v>
      </c>
      <c r="G396" s="1" t="s">
        <v>74</v>
      </c>
      <c r="H396" s="1" t="s">
        <v>74</v>
      </c>
      <c r="I396" s="1" t="s">
        <v>4022</v>
      </c>
      <c r="J396" s="1" t="s">
        <v>4023</v>
      </c>
      <c r="K396" s="1" t="s">
        <v>74</v>
      </c>
      <c r="L396" s="1" t="s">
        <v>74</v>
      </c>
      <c r="M396" s="1" t="s">
        <v>74</v>
      </c>
      <c r="N396" s="1" t="s">
        <v>74</v>
      </c>
      <c r="O396" s="1" t="s">
        <v>74</v>
      </c>
      <c r="P396" s="1" t="s">
        <v>74</v>
      </c>
      <c r="Q396" s="1" t="s">
        <v>74</v>
      </c>
      <c r="R396" s="1" t="s">
        <v>74</v>
      </c>
      <c r="S396" s="1" t="s">
        <v>74</v>
      </c>
      <c r="T396" s="1" t="s">
        <v>74</v>
      </c>
      <c r="U396" s="1" t="s">
        <v>74</v>
      </c>
      <c r="V396" s="1" t="s">
        <v>4024</v>
      </c>
      <c r="W396" s="1" t="s">
        <v>74</v>
      </c>
      <c r="X396" s="1" t="s">
        <v>74</v>
      </c>
      <c r="Y396" s="1" t="s">
        <v>74</v>
      </c>
      <c r="Z396" s="1" t="s">
        <v>74</v>
      </c>
      <c r="AA396" s="1" t="s">
        <v>4025</v>
      </c>
      <c r="AB396" s="1" t="s">
        <v>74</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4026</v>
      </c>
      <c r="AP396" s="1" t="s">
        <v>4027</v>
      </c>
      <c r="AQ396" s="1" t="s">
        <v>74</v>
      </c>
      <c r="AR396" s="1" t="s">
        <v>74</v>
      </c>
      <c r="AS396" s="1" t="s">
        <v>74</v>
      </c>
      <c r="AT396" s="1" t="s">
        <v>107</v>
      </c>
      <c r="AU396" s="1">
        <v>2010.0</v>
      </c>
      <c r="AV396" s="1">
        <v>12.0</v>
      </c>
      <c r="AW396" s="1">
        <v>5.0</v>
      </c>
      <c r="AX396" s="1" t="s">
        <v>74</v>
      </c>
      <c r="AY396" s="1" t="s">
        <v>74</v>
      </c>
      <c r="AZ396" s="1" t="s">
        <v>74</v>
      </c>
      <c r="BA396" s="1" t="s">
        <v>74</v>
      </c>
      <c r="BB396" s="1">
        <v>628.0</v>
      </c>
      <c r="BC396" s="1">
        <v>631.0</v>
      </c>
      <c r="BD396" s="1" t="s">
        <v>74</v>
      </c>
      <c r="BE396" s="1" t="s">
        <v>4028</v>
      </c>
      <c r="BF396" s="2" t="str">
        <f>HYPERLINK("http://dx.doi.org/10.1016/j.elecom.2010.02.016","http://dx.doi.org/10.1016/j.elecom.2010.02.016")</f>
        <v>http://dx.doi.org/10.1016/j.elecom.2010.02.016</v>
      </c>
      <c r="BG396" s="1" t="s">
        <v>74</v>
      </c>
      <c r="BH396" s="1" t="s">
        <v>74</v>
      </c>
      <c r="BI396" s="1" t="s">
        <v>74</v>
      </c>
      <c r="BJ396" s="1" t="s">
        <v>74</v>
      </c>
      <c r="BK396" s="1" t="s">
        <v>74</v>
      </c>
      <c r="BL396" s="1" t="s">
        <v>74</v>
      </c>
      <c r="BM396" s="1" t="s">
        <v>74</v>
      </c>
      <c r="BN396" s="1" t="s">
        <v>74</v>
      </c>
      <c r="BO396" s="1" t="s">
        <v>74</v>
      </c>
      <c r="BP396" s="1" t="s">
        <v>74</v>
      </c>
      <c r="BQ396" s="1" t="s">
        <v>74</v>
      </c>
      <c r="BR396" s="1" t="s">
        <v>74</v>
      </c>
      <c r="BS396" s="1" t="s">
        <v>4029</v>
      </c>
      <c r="BT396" s="1" t="str">
        <f>HYPERLINK("https%3A%2F%2Fwww.webofscience.com%2Fwos%2Fwoscc%2Ffull-record%2FWOS:000278218700005","View Full Record in Web of Science")</f>
        <v>View Full Record in Web of Science</v>
      </c>
    </row>
    <row r="397" ht="12.75" customHeight="1">
      <c r="A397" s="1" t="s">
        <v>72</v>
      </c>
      <c r="B397" s="1" t="s">
        <v>4030</v>
      </c>
      <c r="C397" s="1" t="s">
        <v>74</v>
      </c>
      <c r="D397" s="1" t="s">
        <v>74</v>
      </c>
      <c r="E397" s="1" t="s">
        <v>74</v>
      </c>
      <c r="F397" s="1" t="s">
        <v>4031</v>
      </c>
      <c r="G397" s="1" t="s">
        <v>74</v>
      </c>
      <c r="H397" s="1" t="s">
        <v>74</v>
      </c>
      <c r="I397" s="1" t="s">
        <v>4032</v>
      </c>
      <c r="J397" s="1" t="s">
        <v>3967</v>
      </c>
      <c r="K397" s="1" t="s">
        <v>74</v>
      </c>
      <c r="L397" s="1" t="s">
        <v>74</v>
      </c>
      <c r="M397" s="1" t="s">
        <v>74</v>
      </c>
      <c r="N397" s="1" t="s">
        <v>74</v>
      </c>
      <c r="O397" s="1" t="s">
        <v>74</v>
      </c>
      <c r="P397" s="1" t="s">
        <v>74</v>
      </c>
      <c r="Q397" s="1" t="s">
        <v>74</v>
      </c>
      <c r="R397" s="1" t="s">
        <v>74</v>
      </c>
      <c r="S397" s="1" t="s">
        <v>74</v>
      </c>
      <c r="T397" s="1" t="s">
        <v>74</v>
      </c>
      <c r="U397" s="1" t="s">
        <v>74</v>
      </c>
      <c r="V397" s="1" t="s">
        <v>4033</v>
      </c>
      <c r="W397" s="1" t="s">
        <v>74</v>
      </c>
      <c r="X397" s="1" t="s">
        <v>74</v>
      </c>
      <c r="Y397" s="1" t="s">
        <v>74</v>
      </c>
      <c r="Z397" s="1" t="s">
        <v>74</v>
      </c>
      <c r="AA397" s="1" t="s">
        <v>74</v>
      </c>
      <c r="AB397" s="1" t="s">
        <v>4034</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3970</v>
      </c>
      <c r="AP397" s="1" t="s">
        <v>74</v>
      </c>
      <c r="AQ397" s="1" t="s">
        <v>74</v>
      </c>
      <c r="AR397" s="1" t="s">
        <v>74</v>
      </c>
      <c r="AS397" s="1" t="s">
        <v>74</v>
      </c>
      <c r="AT397" s="1" t="s">
        <v>647</v>
      </c>
      <c r="AU397" s="1">
        <v>2008.0</v>
      </c>
      <c r="AV397" s="1">
        <v>78.0</v>
      </c>
      <c r="AW397" s="1" t="s">
        <v>74</v>
      </c>
      <c r="AX397" s="1">
        <v>1.0</v>
      </c>
      <c r="AY397" s="1" t="s">
        <v>74</v>
      </c>
      <c r="AZ397" s="1" t="s">
        <v>74</v>
      </c>
      <c r="BA397" s="1" t="s">
        <v>74</v>
      </c>
      <c r="BB397" s="1">
        <v>1.0</v>
      </c>
      <c r="BC397" s="1">
        <v>20.0</v>
      </c>
      <c r="BD397" s="1" t="s">
        <v>74</v>
      </c>
      <c r="BE397" s="1" t="s">
        <v>4035</v>
      </c>
      <c r="BF397" s="2" t="str">
        <f>HYPERLINK("http://dx.doi.org/10.1112/jlms/jdn002","http://dx.doi.org/10.1112/jlms/jdn002")</f>
        <v>http://dx.doi.org/10.1112/jlms/jdn002</v>
      </c>
      <c r="BG397" s="1" t="s">
        <v>74</v>
      </c>
      <c r="BH397" s="1" t="s">
        <v>74</v>
      </c>
      <c r="BI397" s="1" t="s">
        <v>74</v>
      </c>
      <c r="BJ397" s="1" t="s">
        <v>74</v>
      </c>
      <c r="BK397" s="1" t="s">
        <v>74</v>
      </c>
      <c r="BL397" s="1" t="s">
        <v>74</v>
      </c>
      <c r="BM397" s="1" t="s">
        <v>74</v>
      </c>
      <c r="BN397" s="1" t="s">
        <v>74</v>
      </c>
      <c r="BO397" s="1" t="s">
        <v>74</v>
      </c>
      <c r="BP397" s="1" t="s">
        <v>74</v>
      </c>
      <c r="BQ397" s="1" t="s">
        <v>74</v>
      </c>
      <c r="BR397" s="1" t="s">
        <v>74</v>
      </c>
      <c r="BS397" s="1" t="s">
        <v>4036</v>
      </c>
      <c r="BT397" s="1" t="str">
        <f>HYPERLINK("https%3A%2F%2Fwww.webofscience.com%2Fwos%2Fwoscc%2Ffull-record%2FWOS:000258238800001","View Full Record in Web of Science")</f>
        <v>View Full Record in Web of Science</v>
      </c>
    </row>
    <row r="398" ht="12.75" customHeight="1">
      <c r="A398" s="1" t="s">
        <v>72</v>
      </c>
      <c r="B398" s="1" t="s">
        <v>4037</v>
      </c>
      <c r="C398" s="1" t="s">
        <v>74</v>
      </c>
      <c r="D398" s="1" t="s">
        <v>74</v>
      </c>
      <c r="E398" s="1" t="s">
        <v>74</v>
      </c>
      <c r="F398" s="1" t="s">
        <v>4038</v>
      </c>
      <c r="G398" s="1" t="s">
        <v>74</v>
      </c>
      <c r="H398" s="1" t="s">
        <v>74</v>
      </c>
      <c r="I398" s="1" t="s">
        <v>4039</v>
      </c>
      <c r="J398" s="1" t="s">
        <v>4040</v>
      </c>
      <c r="K398" s="1" t="s">
        <v>74</v>
      </c>
      <c r="L398" s="1" t="s">
        <v>74</v>
      </c>
      <c r="M398" s="1" t="s">
        <v>74</v>
      </c>
      <c r="N398" s="1" t="s">
        <v>74</v>
      </c>
      <c r="O398" s="1" t="s">
        <v>74</v>
      </c>
      <c r="P398" s="1" t="s">
        <v>74</v>
      </c>
      <c r="Q398" s="1" t="s">
        <v>74</v>
      </c>
      <c r="R398" s="1" t="s">
        <v>74</v>
      </c>
      <c r="S398" s="1" t="s">
        <v>74</v>
      </c>
      <c r="T398" s="1" t="s">
        <v>74</v>
      </c>
      <c r="U398" s="1" t="s">
        <v>74</v>
      </c>
      <c r="V398" s="1" t="s">
        <v>4041</v>
      </c>
      <c r="W398" s="1" t="s">
        <v>74</v>
      </c>
      <c r="X398" s="1" t="s">
        <v>74</v>
      </c>
      <c r="Y398" s="1" t="s">
        <v>74</v>
      </c>
      <c r="Z398" s="1" t="s">
        <v>74</v>
      </c>
      <c r="AA398" s="1" t="s">
        <v>4042</v>
      </c>
      <c r="AB398" s="1" t="s">
        <v>4043</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74</v>
      </c>
      <c r="AP398" s="1" t="s">
        <v>4044</v>
      </c>
      <c r="AQ398" s="1" t="s">
        <v>74</v>
      </c>
      <c r="AR398" s="1" t="s">
        <v>74</v>
      </c>
      <c r="AS398" s="1" t="s">
        <v>74</v>
      </c>
      <c r="AT398" s="1" t="s">
        <v>2610</v>
      </c>
      <c r="AU398" s="1">
        <v>2007.0</v>
      </c>
      <c r="AV398" s="1">
        <v>282.0</v>
      </c>
      <c r="AW398" s="1">
        <v>51.0</v>
      </c>
      <c r="AX398" s="1" t="s">
        <v>74</v>
      </c>
      <c r="AY398" s="1" t="s">
        <v>74</v>
      </c>
      <c r="AZ398" s="1" t="s">
        <v>74</v>
      </c>
      <c r="BA398" s="1" t="s">
        <v>74</v>
      </c>
      <c r="BB398" s="1">
        <v>36879.0</v>
      </c>
      <c r="BC398" s="1">
        <v>36886.0</v>
      </c>
      <c r="BD398" s="1" t="s">
        <v>74</v>
      </c>
      <c r="BE398" s="1" t="s">
        <v>4045</v>
      </c>
      <c r="BF398" s="2" t="str">
        <f>HYPERLINK("http://dx.doi.org/10.1074/jbc.M706925200","http://dx.doi.org/10.1074/jbc.M706925200")</f>
        <v>http://dx.doi.org/10.1074/jbc.M706925200</v>
      </c>
      <c r="BG398" s="1" t="s">
        <v>74</v>
      </c>
      <c r="BH398" s="1" t="s">
        <v>74</v>
      </c>
      <c r="BI398" s="1" t="s">
        <v>74</v>
      </c>
      <c r="BJ398" s="1" t="s">
        <v>74</v>
      </c>
      <c r="BK398" s="1" t="s">
        <v>74</v>
      </c>
      <c r="BL398" s="1" t="s">
        <v>74</v>
      </c>
      <c r="BM398" s="1" t="s">
        <v>74</v>
      </c>
      <c r="BN398" s="1">
        <v>1.7962187E7</v>
      </c>
      <c r="BO398" s="1" t="s">
        <v>74</v>
      </c>
      <c r="BP398" s="1" t="s">
        <v>74</v>
      </c>
      <c r="BQ398" s="1" t="s">
        <v>74</v>
      </c>
      <c r="BR398" s="1" t="s">
        <v>74</v>
      </c>
      <c r="BS398" s="1" t="s">
        <v>4046</v>
      </c>
      <c r="BT398" s="1" t="str">
        <f>HYPERLINK("https%3A%2F%2Fwww.webofscience.com%2Fwos%2Fwoscc%2Ffull-record%2FWOS:000251646000013","View Full Record in Web of Science")</f>
        <v>View Full Record in Web of Science</v>
      </c>
    </row>
    <row r="399" ht="12.75" customHeight="1">
      <c r="A399" s="1" t="s">
        <v>72</v>
      </c>
      <c r="B399" s="1" t="s">
        <v>4047</v>
      </c>
      <c r="C399" s="1" t="s">
        <v>74</v>
      </c>
      <c r="D399" s="1" t="s">
        <v>74</v>
      </c>
      <c r="E399" s="1" t="s">
        <v>74</v>
      </c>
      <c r="F399" s="1" t="s">
        <v>4048</v>
      </c>
      <c r="G399" s="1" t="s">
        <v>74</v>
      </c>
      <c r="H399" s="1" t="s">
        <v>74</v>
      </c>
      <c r="I399" s="1" t="s">
        <v>4049</v>
      </c>
      <c r="J399" s="1" t="s">
        <v>4050</v>
      </c>
      <c r="K399" s="1" t="s">
        <v>74</v>
      </c>
      <c r="L399" s="1" t="s">
        <v>74</v>
      </c>
      <c r="M399" s="1" t="s">
        <v>74</v>
      </c>
      <c r="N399" s="1" t="s">
        <v>74</v>
      </c>
      <c r="O399" s="1" t="s">
        <v>74</v>
      </c>
      <c r="P399" s="1" t="s">
        <v>74</v>
      </c>
      <c r="Q399" s="1" t="s">
        <v>74</v>
      </c>
      <c r="R399" s="1" t="s">
        <v>74</v>
      </c>
      <c r="S399" s="1" t="s">
        <v>74</v>
      </c>
      <c r="T399" s="1" t="s">
        <v>74</v>
      </c>
      <c r="U399" s="1" t="s">
        <v>74</v>
      </c>
      <c r="V399" s="1" t="s">
        <v>4051</v>
      </c>
      <c r="W399" s="1" t="s">
        <v>74</v>
      </c>
      <c r="X399" s="1" t="s">
        <v>74</v>
      </c>
      <c r="Y399" s="1" t="s">
        <v>74</v>
      </c>
      <c r="Z399" s="1" t="s">
        <v>74</v>
      </c>
      <c r="AA399" s="1" t="s">
        <v>4052</v>
      </c>
      <c r="AB399" s="1" t="s">
        <v>4053</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4054</v>
      </c>
      <c r="AP399" s="1" t="s">
        <v>74</v>
      </c>
      <c r="AQ399" s="1" t="s">
        <v>74</v>
      </c>
      <c r="AR399" s="1" t="s">
        <v>74</v>
      </c>
      <c r="AS399" s="1" t="s">
        <v>74</v>
      </c>
      <c r="AT399" s="1" t="s">
        <v>4055</v>
      </c>
      <c r="AU399" s="1">
        <v>2006.0</v>
      </c>
      <c r="AV399" s="1">
        <v>174.0</v>
      </c>
      <c r="AW399" s="1">
        <v>1.0</v>
      </c>
      <c r="AX399" s="1" t="s">
        <v>74</v>
      </c>
      <c r="AY399" s="1" t="s">
        <v>74</v>
      </c>
      <c r="AZ399" s="1" t="s">
        <v>74</v>
      </c>
      <c r="BA399" s="1" t="s">
        <v>74</v>
      </c>
      <c r="BB399" s="1">
        <v>92.0</v>
      </c>
      <c r="BC399" s="1">
        <v>101.0</v>
      </c>
      <c r="BD399" s="1" t="s">
        <v>74</v>
      </c>
      <c r="BE399" s="1" t="s">
        <v>4056</v>
      </c>
      <c r="BF399" s="2" t="str">
        <f>HYPERLINK("http://dx.doi.org/10.1016/j.ejor.2005.02.051","http://dx.doi.org/10.1016/j.ejor.2005.02.051")</f>
        <v>http://dx.doi.org/10.1016/j.ejor.2005.02.051</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4057</v>
      </c>
      <c r="BT399" s="1" t="str">
        <f>HYPERLINK("https%3A%2F%2Fwww.webofscience.com%2Fwos%2Fwoscc%2Ffull-record%2FWOS:000239252600007","View Full Record in Web of Science")</f>
        <v>View Full Record in Web of Science</v>
      </c>
    </row>
    <row r="400" ht="12.75" customHeight="1">
      <c r="A400" s="1" t="s">
        <v>475</v>
      </c>
      <c r="B400" s="1" t="s">
        <v>4058</v>
      </c>
      <c r="C400" s="1" t="s">
        <v>74</v>
      </c>
      <c r="D400" s="1" t="s">
        <v>4059</v>
      </c>
      <c r="E400" s="1" t="s">
        <v>74</v>
      </c>
      <c r="F400" s="1" t="s">
        <v>4060</v>
      </c>
      <c r="G400" s="1" t="s">
        <v>74</v>
      </c>
      <c r="H400" s="1" t="s">
        <v>74</v>
      </c>
      <c r="I400" s="1" t="s">
        <v>4061</v>
      </c>
      <c r="J400" s="1" t="s">
        <v>2559</v>
      </c>
      <c r="K400" s="1" t="s">
        <v>2560</v>
      </c>
      <c r="L400" s="1" t="s">
        <v>74</v>
      </c>
      <c r="M400" s="1" t="s">
        <v>74</v>
      </c>
      <c r="N400" s="1" t="s">
        <v>74</v>
      </c>
      <c r="O400" s="1" t="s">
        <v>4062</v>
      </c>
      <c r="P400" s="1" t="s">
        <v>4063</v>
      </c>
      <c r="Q400" s="1" t="s">
        <v>1483</v>
      </c>
      <c r="R400" s="1" t="s">
        <v>4064</v>
      </c>
      <c r="S400" s="1" t="s">
        <v>74</v>
      </c>
      <c r="T400" s="1" t="s">
        <v>74</v>
      </c>
      <c r="U400" s="1" t="s">
        <v>74</v>
      </c>
      <c r="V400" s="1" t="s">
        <v>4065</v>
      </c>
      <c r="W400" s="1" t="s">
        <v>74</v>
      </c>
      <c r="X400" s="1" t="s">
        <v>74</v>
      </c>
      <c r="Y400" s="1" t="s">
        <v>74</v>
      </c>
      <c r="Z400" s="1" t="s">
        <v>74</v>
      </c>
      <c r="AA400" s="1" t="s">
        <v>74</v>
      </c>
      <c r="AB400" s="1" t="s">
        <v>74</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1903</v>
      </c>
      <c r="AP400" s="1" t="s">
        <v>1904</v>
      </c>
      <c r="AQ400" s="1" t="s">
        <v>4066</v>
      </c>
      <c r="AR400" s="1" t="s">
        <v>74</v>
      </c>
      <c r="AS400" s="1" t="s">
        <v>74</v>
      </c>
      <c r="AT400" s="1" t="s">
        <v>74</v>
      </c>
      <c r="AU400" s="1">
        <v>2006.0</v>
      </c>
      <c r="AV400" s="1">
        <v>4225.0</v>
      </c>
      <c r="AW400" s="1" t="s">
        <v>74</v>
      </c>
      <c r="AX400" s="1" t="s">
        <v>74</v>
      </c>
      <c r="AY400" s="1" t="s">
        <v>74</v>
      </c>
      <c r="AZ400" s="1" t="s">
        <v>74</v>
      </c>
      <c r="BA400" s="1" t="s">
        <v>74</v>
      </c>
      <c r="BB400" s="1">
        <v>954.0</v>
      </c>
      <c r="BC400" s="1">
        <v>963.0</v>
      </c>
      <c r="BD400" s="1" t="s">
        <v>74</v>
      </c>
      <c r="BE400" s="1" t="s">
        <v>74</v>
      </c>
      <c r="BF400" s="1" t="s">
        <v>74</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4067</v>
      </c>
      <c r="BT400" s="1" t="str">
        <f>HYPERLINK("https%3A%2F%2Fwww.webofscience.com%2Fwos%2Fwoscc%2Ffull-record%2FWOS:000241598400099","View Full Record in Web of Science")</f>
        <v>View Full Record in Web of Science</v>
      </c>
    </row>
    <row r="401" ht="12.75" customHeight="1">
      <c r="A401" s="1" t="s">
        <v>72</v>
      </c>
      <c r="B401" s="1" t="s">
        <v>4068</v>
      </c>
      <c r="C401" s="1" t="s">
        <v>74</v>
      </c>
      <c r="D401" s="1" t="s">
        <v>74</v>
      </c>
      <c r="E401" s="1" t="s">
        <v>74</v>
      </c>
      <c r="F401" s="1" t="s">
        <v>4068</v>
      </c>
      <c r="G401" s="1" t="s">
        <v>74</v>
      </c>
      <c r="H401" s="1" t="s">
        <v>74</v>
      </c>
      <c r="I401" s="1" t="s">
        <v>4069</v>
      </c>
      <c r="J401" s="1" t="s">
        <v>4070</v>
      </c>
      <c r="K401" s="1" t="s">
        <v>74</v>
      </c>
      <c r="L401" s="1" t="s">
        <v>74</v>
      </c>
      <c r="M401" s="1" t="s">
        <v>74</v>
      </c>
      <c r="N401" s="1" t="s">
        <v>74</v>
      </c>
      <c r="O401" s="1" t="s">
        <v>74</v>
      </c>
      <c r="P401" s="1" t="s">
        <v>74</v>
      </c>
      <c r="Q401" s="1" t="s">
        <v>74</v>
      </c>
      <c r="R401" s="1" t="s">
        <v>74</v>
      </c>
      <c r="S401" s="1" t="s">
        <v>74</v>
      </c>
      <c r="T401" s="1" t="s">
        <v>74</v>
      </c>
      <c r="U401" s="1" t="s">
        <v>74</v>
      </c>
      <c r="V401" s="1" t="s">
        <v>4071</v>
      </c>
      <c r="W401" s="1" t="s">
        <v>74</v>
      </c>
      <c r="X401" s="1" t="s">
        <v>74</v>
      </c>
      <c r="Y401" s="1" t="s">
        <v>74</v>
      </c>
      <c r="Z401" s="1" t="s">
        <v>74</v>
      </c>
      <c r="AA401" s="1" t="s">
        <v>4072</v>
      </c>
      <c r="AB401" s="1" t="s">
        <v>4073</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4074</v>
      </c>
      <c r="AP401" s="1" t="s">
        <v>74</v>
      </c>
      <c r="AQ401" s="1" t="s">
        <v>74</v>
      </c>
      <c r="AR401" s="1" t="s">
        <v>74</v>
      </c>
      <c r="AS401" s="1" t="s">
        <v>74</v>
      </c>
      <c r="AT401" s="1" t="s">
        <v>164</v>
      </c>
      <c r="AU401" s="1">
        <v>2004.0</v>
      </c>
      <c r="AV401" s="1">
        <v>54.0</v>
      </c>
      <c r="AW401" s="1">
        <v>7.0</v>
      </c>
      <c r="AX401" s="1" t="s">
        <v>74</v>
      </c>
      <c r="AY401" s="1" t="s">
        <v>74</v>
      </c>
      <c r="AZ401" s="1" t="s">
        <v>74</v>
      </c>
      <c r="BA401" s="1" t="s">
        <v>74</v>
      </c>
      <c r="BB401" s="1">
        <v>799.0</v>
      </c>
      <c r="BC401" s="1">
        <v>808.0</v>
      </c>
      <c r="BD401" s="1" t="s">
        <v>74</v>
      </c>
      <c r="BE401" s="1" t="s">
        <v>4075</v>
      </c>
      <c r="BF401" s="2" t="str">
        <f>HYPERLINK("http://dx.doi.org/10.1080/10473289.2004.10470956","http://dx.doi.org/10.1080/10473289.2004.10470956")</f>
        <v>http://dx.doi.org/10.1080/10473289.2004.10470956</v>
      </c>
      <c r="BG401" s="1" t="s">
        <v>74</v>
      </c>
      <c r="BH401" s="1" t="s">
        <v>74</v>
      </c>
      <c r="BI401" s="1" t="s">
        <v>74</v>
      </c>
      <c r="BJ401" s="1" t="s">
        <v>74</v>
      </c>
      <c r="BK401" s="1" t="s">
        <v>74</v>
      </c>
      <c r="BL401" s="1" t="s">
        <v>74</v>
      </c>
      <c r="BM401" s="1" t="s">
        <v>74</v>
      </c>
      <c r="BN401" s="1">
        <v>1.5303292E7</v>
      </c>
      <c r="BO401" s="1" t="s">
        <v>74</v>
      </c>
      <c r="BP401" s="1" t="s">
        <v>74</v>
      </c>
      <c r="BQ401" s="1" t="s">
        <v>74</v>
      </c>
      <c r="BR401" s="1" t="s">
        <v>74</v>
      </c>
      <c r="BS401" s="1" t="s">
        <v>4076</v>
      </c>
      <c r="BT401" s="1" t="str">
        <f>HYPERLINK("https%3A%2F%2Fwww.webofscience.com%2Fwos%2Fwoscc%2Ffull-record%2FWOS:000222513600005","View Full Record in Web of Science")</f>
        <v>View Full Record in Web of Science</v>
      </c>
    </row>
    <row r="402" ht="12.75" customHeight="1">
      <c r="A402" s="1" t="s">
        <v>72</v>
      </c>
      <c r="B402" s="1" t="s">
        <v>4077</v>
      </c>
      <c r="C402" s="1" t="s">
        <v>74</v>
      </c>
      <c r="D402" s="1" t="s">
        <v>74</v>
      </c>
      <c r="E402" s="1" t="s">
        <v>74</v>
      </c>
      <c r="F402" s="1" t="s">
        <v>4077</v>
      </c>
      <c r="G402" s="1" t="s">
        <v>74</v>
      </c>
      <c r="H402" s="1" t="s">
        <v>74</v>
      </c>
      <c r="I402" s="1" t="s">
        <v>4078</v>
      </c>
      <c r="J402" s="1" t="s">
        <v>1216</v>
      </c>
      <c r="K402" s="1" t="s">
        <v>74</v>
      </c>
      <c r="L402" s="1" t="s">
        <v>74</v>
      </c>
      <c r="M402" s="1" t="s">
        <v>74</v>
      </c>
      <c r="N402" s="1" t="s">
        <v>74</v>
      </c>
      <c r="O402" s="1" t="s">
        <v>74</v>
      </c>
      <c r="P402" s="1" t="s">
        <v>74</v>
      </c>
      <c r="Q402" s="1" t="s">
        <v>74</v>
      </c>
      <c r="R402" s="1" t="s">
        <v>74</v>
      </c>
      <c r="S402" s="1" t="s">
        <v>74</v>
      </c>
      <c r="T402" s="1" t="s">
        <v>74</v>
      </c>
      <c r="U402" s="1" t="s">
        <v>74</v>
      </c>
      <c r="V402" s="1" t="s">
        <v>4079</v>
      </c>
      <c r="W402" s="1" t="s">
        <v>74</v>
      </c>
      <c r="X402" s="1" t="s">
        <v>74</v>
      </c>
      <c r="Y402" s="1" t="s">
        <v>74</v>
      </c>
      <c r="Z402" s="1" t="s">
        <v>74</v>
      </c>
      <c r="AA402" s="1" t="s">
        <v>74</v>
      </c>
      <c r="AB402" s="1" t="s">
        <v>4080</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1220</v>
      </c>
      <c r="AP402" s="1" t="s">
        <v>4081</v>
      </c>
      <c r="AQ402" s="1" t="s">
        <v>74</v>
      </c>
      <c r="AR402" s="1" t="s">
        <v>74</v>
      </c>
      <c r="AS402" s="1" t="s">
        <v>74</v>
      </c>
      <c r="AT402" s="1" t="s">
        <v>4082</v>
      </c>
      <c r="AU402" s="1">
        <v>2003.0</v>
      </c>
      <c r="AV402" s="1">
        <v>572.0</v>
      </c>
      <c r="AW402" s="1" t="s">
        <v>1222</v>
      </c>
      <c r="AX402" s="1" t="s">
        <v>74</v>
      </c>
      <c r="AY402" s="1" t="s">
        <v>74</v>
      </c>
      <c r="AZ402" s="1" t="s">
        <v>74</v>
      </c>
      <c r="BA402" s="1" t="s">
        <v>74</v>
      </c>
      <c r="BB402" s="1">
        <v>202.0</v>
      </c>
      <c r="BC402" s="1">
        <v>209.0</v>
      </c>
      <c r="BD402" s="1" t="s">
        <v>74</v>
      </c>
      <c r="BE402" s="1" t="s">
        <v>4083</v>
      </c>
      <c r="BF402" s="2" t="str">
        <f>HYPERLINK("http://dx.doi.org/10.1016/j.physletb.2003.08.030","http://dx.doi.org/10.1016/j.physletb.2003.08.030")</f>
        <v>http://dx.doi.org/10.1016/j.physletb.2003.08.030</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4084</v>
      </c>
      <c r="BT402" s="1" t="str">
        <f>HYPERLINK("https%3A%2F%2Fwww.webofscience.com%2Fwos%2Fwoscc%2Ffull-record%2FWOS:000186084600013","View Full Record in Web of Science")</f>
        <v>View Full Record in Web of Science</v>
      </c>
    </row>
    <row r="403" ht="12.75" customHeight="1">
      <c r="A403" s="1" t="s">
        <v>72</v>
      </c>
      <c r="B403" s="1" t="s">
        <v>4085</v>
      </c>
      <c r="C403" s="1" t="s">
        <v>74</v>
      </c>
      <c r="D403" s="1" t="s">
        <v>74</v>
      </c>
      <c r="E403" s="1" t="s">
        <v>74</v>
      </c>
      <c r="F403" s="1" t="s">
        <v>4085</v>
      </c>
      <c r="G403" s="1" t="s">
        <v>74</v>
      </c>
      <c r="H403" s="1" t="s">
        <v>74</v>
      </c>
      <c r="I403" s="1" t="s">
        <v>4086</v>
      </c>
      <c r="J403" s="1" t="s">
        <v>412</v>
      </c>
      <c r="K403" s="1" t="s">
        <v>74</v>
      </c>
      <c r="L403" s="1" t="s">
        <v>74</v>
      </c>
      <c r="M403" s="1" t="s">
        <v>74</v>
      </c>
      <c r="N403" s="1" t="s">
        <v>74</v>
      </c>
      <c r="O403" s="1" t="s">
        <v>74</v>
      </c>
      <c r="P403" s="1" t="s">
        <v>74</v>
      </c>
      <c r="Q403" s="1" t="s">
        <v>74</v>
      </c>
      <c r="R403" s="1" t="s">
        <v>74</v>
      </c>
      <c r="S403" s="1" t="s">
        <v>74</v>
      </c>
      <c r="T403" s="1" t="s">
        <v>74</v>
      </c>
      <c r="U403" s="1" t="s">
        <v>74</v>
      </c>
      <c r="V403" s="1" t="s">
        <v>4087</v>
      </c>
      <c r="W403" s="1" t="s">
        <v>74</v>
      </c>
      <c r="X403" s="1" t="s">
        <v>74</v>
      </c>
      <c r="Y403" s="1" t="s">
        <v>74</v>
      </c>
      <c r="Z403" s="1" t="s">
        <v>74</v>
      </c>
      <c r="AA403" s="1" t="s">
        <v>4088</v>
      </c>
      <c r="AB403" s="1" t="s">
        <v>4089</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415</v>
      </c>
      <c r="AP403" s="1" t="s">
        <v>74</v>
      </c>
      <c r="AQ403" s="1" t="s">
        <v>74</v>
      </c>
      <c r="AR403" s="1" t="s">
        <v>74</v>
      </c>
      <c r="AS403" s="1" t="s">
        <v>74</v>
      </c>
      <c r="AT403" s="1" t="s">
        <v>705</v>
      </c>
      <c r="AU403" s="1">
        <v>2002.0</v>
      </c>
      <c r="AV403" s="1">
        <v>38.0</v>
      </c>
      <c r="AW403" s="1">
        <v>5.0</v>
      </c>
      <c r="AX403" s="1" t="s">
        <v>74</v>
      </c>
      <c r="AY403" s="1" t="s">
        <v>74</v>
      </c>
      <c r="AZ403" s="1" t="s">
        <v>74</v>
      </c>
      <c r="BA403" s="1" t="s">
        <v>74</v>
      </c>
      <c r="BB403" s="1">
        <v>339.0</v>
      </c>
      <c r="BC403" s="1">
        <v>347.0</v>
      </c>
      <c r="BD403" s="1" t="s">
        <v>74</v>
      </c>
      <c r="BE403" s="1" t="s">
        <v>4090</v>
      </c>
      <c r="BF403" s="2" t="str">
        <f>HYPERLINK("http://dx.doi.org/10.3989/revmetalm.2002.v38.i5.417","http://dx.doi.org/10.3989/revmetalm.2002.v38.i5.417")</f>
        <v>http://dx.doi.org/10.3989/revmetalm.2002.v38.i5.417</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4091</v>
      </c>
      <c r="BT403" s="1" t="str">
        <f>HYPERLINK("https%3A%2F%2Fwww.webofscience.com%2Fwos%2Fwoscc%2Ffull-record%2FWOS:000180304400004","View Full Record in Web of Science")</f>
        <v>View Full Record in Web of Science</v>
      </c>
    </row>
    <row r="404" ht="12.75" customHeight="1">
      <c r="A404" s="1" t="s">
        <v>72</v>
      </c>
      <c r="B404" s="1" t="s">
        <v>4092</v>
      </c>
      <c r="C404" s="1" t="s">
        <v>74</v>
      </c>
      <c r="D404" s="1" t="s">
        <v>74</v>
      </c>
      <c r="E404" s="1" t="s">
        <v>74</v>
      </c>
      <c r="F404" s="1" t="s">
        <v>4092</v>
      </c>
      <c r="G404" s="1" t="s">
        <v>74</v>
      </c>
      <c r="H404" s="1" t="s">
        <v>74</v>
      </c>
      <c r="I404" s="1" t="s">
        <v>4093</v>
      </c>
      <c r="J404" s="1" t="s">
        <v>797</v>
      </c>
      <c r="K404" s="1" t="s">
        <v>74</v>
      </c>
      <c r="L404" s="1" t="s">
        <v>74</v>
      </c>
      <c r="M404" s="1" t="s">
        <v>74</v>
      </c>
      <c r="N404" s="1" t="s">
        <v>74</v>
      </c>
      <c r="O404" s="1" t="s">
        <v>74</v>
      </c>
      <c r="P404" s="1" t="s">
        <v>74</v>
      </c>
      <c r="Q404" s="1" t="s">
        <v>74</v>
      </c>
      <c r="R404" s="1" t="s">
        <v>74</v>
      </c>
      <c r="S404" s="1" t="s">
        <v>74</v>
      </c>
      <c r="T404" s="1" t="s">
        <v>74</v>
      </c>
      <c r="U404" s="1" t="s">
        <v>74</v>
      </c>
      <c r="V404" s="1" t="s">
        <v>74</v>
      </c>
      <c r="W404" s="1" t="s">
        <v>74</v>
      </c>
      <c r="X404" s="1" t="s">
        <v>74</v>
      </c>
      <c r="Y404" s="1" t="s">
        <v>74</v>
      </c>
      <c r="Z404" s="1" t="s">
        <v>74</v>
      </c>
      <c r="AA404" s="1" t="s">
        <v>4094</v>
      </c>
      <c r="AB404" s="1" t="s">
        <v>4095</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801</v>
      </c>
      <c r="AP404" s="1" t="s">
        <v>74</v>
      </c>
      <c r="AQ404" s="1" t="s">
        <v>74</v>
      </c>
      <c r="AR404" s="1" t="s">
        <v>74</v>
      </c>
      <c r="AS404" s="1" t="s">
        <v>74</v>
      </c>
      <c r="AT404" s="1" t="s">
        <v>74</v>
      </c>
      <c r="AU404" s="1">
        <v>2000.0</v>
      </c>
      <c r="AV404" s="1">
        <v>62.0</v>
      </c>
      <c r="AW404" s="1" t="s">
        <v>74</v>
      </c>
      <c r="AX404" s="1" t="s">
        <v>74</v>
      </c>
      <c r="AY404" s="1">
        <v>1.0</v>
      </c>
      <c r="AZ404" s="1" t="s">
        <v>74</v>
      </c>
      <c r="BA404" s="1">
        <v>400.0</v>
      </c>
      <c r="BB404" s="1">
        <v>264.0</v>
      </c>
      <c r="BC404" s="1">
        <v>264.0</v>
      </c>
      <c r="BD404" s="1" t="s">
        <v>74</v>
      </c>
      <c r="BE404" s="1" t="s">
        <v>74</v>
      </c>
      <c r="BF404" s="1" t="s">
        <v>74</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4096</v>
      </c>
      <c r="BT404" s="1" t="str">
        <f>HYPERLINK("https%3A%2F%2Fwww.webofscience.com%2Fwos%2Fwoscc%2Ffull-record%2FWOS:000087862300465","View Full Record in Web of Science")</f>
        <v>View Full Record in Web of Science</v>
      </c>
    </row>
    <row r="405" ht="12.75" customHeight="1">
      <c r="A405" s="1" t="s">
        <v>72</v>
      </c>
      <c r="B405" s="1" t="s">
        <v>4097</v>
      </c>
      <c r="C405" s="1" t="s">
        <v>74</v>
      </c>
      <c r="D405" s="1" t="s">
        <v>74</v>
      </c>
      <c r="E405" s="1" t="s">
        <v>74</v>
      </c>
      <c r="F405" s="1" t="s">
        <v>4097</v>
      </c>
      <c r="G405" s="1" t="s">
        <v>74</v>
      </c>
      <c r="H405" s="1" t="s">
        <v>74</v>
      </c>
      <c r="I405" s="1" t="s">
        <v>4098</v>
      </c>
      <c r="J405" s="1" t="s">
        <v>453</v>
      </c>
      <c r="K405" s="1" t="s">
        <v>74</v>
      </c>
      <c r="L405" s="1" t="s">
        <v>74</v>
      </c>
      <c r="M405" s="1" t="s">
        <v>74</v>
      </c>
      <c r="N405" s="1" t="s">
        <v>74</v>
      </c>
      <c r="O405" s="1" t="s">
        <v>74</v>
      </c>
      <c r="P405" s="1" t="s">
        <v>74</v>
      </c>
      <c r="Q405" s="1" t="s">
        <v>74</v>
      </c>
      <c r="R405" s="1" t="s">
        <v>74</v>
      </c>
      <c r="S405" s="1" t="s">
        <v>74</v>
      </c>
      <c r="T405" s="1" t="s">
        <v>74</v>
      </c>
      <c r="U405" s="1" t="s">
        <v>74</v>
      </c>
      <c r="V405" s="1" t="s">
        <v>74</v>
      </c>
      <c r="W405" s="1" t="s">
        <v>74</v>
      </c>
      <c r="X405" s="1" t="s">
        <v>74</v>
      </c>
      <c r="Y405" s="1" t="s">
        <v>74</v>
      </c>
      <c r="Z405" s="1" t="s">
        <v>74</v>
      </c>
      <c r="AA405" s="1" t="s">
        <v>74</v>
      </c>
      <c r="AB405" s="1" t="s">
        <v>74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460</v>
      </c>
      <c r="AP405" s="1" t="s">
        <v>74</v>
      </c>
      <c r="AQ405" s="1" t="s">
        <v>74</v>
      </c>
      <c r="AR405" s="1" t="s">
        <v>74</v>
      </c>
      <c r="AS405" s="1" t="s">
        <v>74</v>
      </c>
      <c r="AT405" s="1" t="s">
        <v>95</v>
      </c>
      <c r="AU405" s="1">
        <v>1998.0</v>
      </c>
      <c r="AV405" s="1">
        <v>43.0</v>
      </c>
      <c r="AW405" s="1">
        <v>4.0</v>
      </c>
      <c r="AX405" s="1" t="s">
        <v>74</v>
      </c>
      <c r="AY405" s="1" t="s">
        <v>74</v>
      </c>
      <c r="AZ405" s="1" t="s">
        <v>74</v>
      </c>
      <c r="BA405" s="1" t="s">
        <v>74</v>
      </c>
      <c r="BB405" s="1">
        <v>510.0</v>
      </c>
      <c r="BC405" s="1">
        <v>510.0</v>
      </c>
      <c r="BD405" s="1" t="s">
        <v>74</v>
      </c>
      <c r="BE405" s="1" t="s">
        <v>74</v>
      </c>
      <c r="BF405" s="1" t="s">
        <v>74</v>
      </c>
      <c r="BG405" s="1" t="s">
        <v>74</v>
      </c>
      <c r="BH405" s="1" t="s">
        <v>74</v>
      </c>
      <c r="BI405" s="1" t="s">
        <v>74</v>
      </c>
      <c r="BJ405" s="1" t="s">
        <v>74</v>
      </c>
      <c r="BK405" s="1" t="s">
        <v>74</v>
      </c>
      <c r="BL405" s="1" t="s">
        <v>74</v>
      </c>
      <c r="BM405" s="1" t="s">
        <v>74</v>
      </c>
      <c r="BN405" s="1" t="s">
        <v>74</v>
      </c>
      <c r="BO405" s="1" t="s">
        <v>74</v>
      </c>
      <c r="BP405" s="1" t="s">
        <v>74</v>
      </c>
      <c r="BQ405" s="1" t="s">
        <v>74</v>
      </c>
      <c r="BR405" s="1" t="s">
        <v>74</v>
      </c>
      <c r="BS405" s="1" t="s">
        <v>4099</v>
      </c>
      <c r="BT405" s="1" t="str">
        <f>HYPERLINK("https%3A%2F%2Fwww.webofscience.com%2Fwos%2Fwoscc%2Ffull-record%2FWOS:000078428600019","View Full Record in Web of Science")</f>
        <v>View Full Record in Web of Science</v>
      </c>
    </row>
    <row r="406" ht="12.75" customHeight="1">
      <c r="A406" s="1" t="s">
        <v>72</v>
      </c>
      <c r="B406" s="1" t="s">
        <v>4100</v>
      </c>
      <c r="C406" s="1" t="s">
        <v>74</v>
      </c>
      <c r="D406" s="1" t="s">
        <v>74</v>
      </c>
      <c r="E406" s="1" t="s">
        <v>74</v>
      </c>
      <c r="F406" s="1" t="s">
        <v>4100</v>
      </c>
      <c r="G406" s="1" t="s">
        <v>74</v>
      </c>
      <c r="H406" s="1" t="s">
        <v>74</v>
      </c>
      <c r="I406" s="1" t="s">
        <v>4101</v>
      </c>
      <c r="J406" s="1" t="s">
        <v>4102</v>
      </c>
      <c r="K406" s="1" t="s">
        <v>74</v>
      </c>
      <c r="L406" s="1" t="s">
        <v>74</v>
      </c>
      <c r="M406" s="1" t="s">
        <v>74</v>
      </c>
      <c r="N406" s="1" t="s">
        <v>74</v>
      </c>
      <c r="O406" s="1" t="s">
        <v>74</v>
      </c>
      <c r="P406" s="1" t="s">
        <v>74</v>
      </c>
      <c r="Q406" s="1" t="s">
        <v>74</v>
      </c>
      <c r="R406" s="1" t="s">
        <v>74</v>
      </c>
      <c r="S406" s="1" t="s">
        <v>74</v>
      </c>
      <c r="T406" s="1" t="s">
        <v>74</v>
      </c>
      <c r="U406" s="1" t="s">
        <v>74</v>
      </c>
      <c r="V406" s="1" t="s">
        <v>4103</v>
      </c>
      <c r="W406" s="1" t="s">
        <v>74</v>
      </c>
      <c r="X406" s="1" t="s">
        <v>74</v>
      </c>
      <c r="Y406" s="1" t="s">
        <v>74</v>
      </c>
      <c r="Z406" s="1" t="s">
        <v>74</v>
      </c>
      <c r="AA406" s="1" t="s">
        <v>74</v>
      </c>
      <c r="AB406" s="1" t="s">
        <v>467</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4104</v>
      </c>
      <c r="AP406" s="1" t="s">
        <v>74</v>
      </c>
      <c r="AQ406" s="1" t="s">
        <v>74</v>
      </c>
      <c r="AR406" s="1" t="s">
        <v>74</v>
      </c>
      <c r="AS406" s="1" t="s">
        <v>74</v>
      </c>
      <c r="AT406" s="1" t="s">
        <v>74</v>
      </c>
      <c r="AU406" s="1">
        <v>1998.0</v>
      </c>
      <c r="AV406" s="1">
        <v>17.0</v>
      </c>
      <c r="AW406" s="1" t="s">
        <v>1398</v>
      </c>
      <c r="AX406" s="1" t="s">
        <v>74</v>
      </c>
      <c r="AY406" s="1" t="s">
        <v>74</v>
      </c>
      <c r="AZ406" s="1" t="s">
        <v>74</v>
      </c>
      <c r="BA406" s="1" t="s">
        <v>74</v>
      </c>
      <c r="BB406" s="1">
        <v>2289.0</v>
      </c>
      <c r="BC406" s="1">
        <v>2293.0</v>
      </c>
      <c r="BD406" s="1" t="s">
        <v>74</v>
      </c>
      <c r="BE406" s="1" t="s">
        <v>4105</v>
      </c>
      <c r="BF406" s="2" t="str">
        <f>HYPERLINK("http://dx.doi.org/10.1016/S0277-5387(98)00004-7","http://dx.doi.org/10.1016/S0277-5387(98)00004-7")</f>
        <v>http://dx.doi.org/10.1016/S0277-5387(98)00004-7</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4106</v>
      </c>
      <c r="BT406" s="1" t="str">
        <f>HYPERLINK("https%3A%2F%2Fwww.webofscience.com%2Fwos%2Fwoscc%2Ffull-record%2FWOS:000074378200021","View Full Record in Web of Science")</f>
        <v>View Full Record in Web of Science</v>
      </c>
    </row>
    <row r="407" ht="12.75" customHeight="1">
      <c r="A407" s="1" t="s">
        <v>72</v>
      </c>
      <c r="B407" s="1" t="s">
        <v>4107</v>
      </c>
      <c r="C407" s="1" t="s">
        <v>74</v>
      </c>
      <c r="D407" s="1" t="s">
        <v>74</v>
      </c>
      <c r="E407" s="1" t="s">
        <v>74</v>
      </c>
      <c r="F407" s="1" t="s">
        <v>4107</v>
      </c>
      <c r="G407" s="1" t="s">
        <v>74</v>
      </c>
      <c r="H407" s="1" t="s">
        <v>74</v>
      </c>
      <c r="I407" s="1" t="s">
        <v>4108</v>
      </c>
      <c r="J407" s="1" t="s">
        <v>873</v>
      </c>
      <c r="K407" s="1" t="s">
        <v>74</v>
      </c>
      <c r="L407" s="1" t="s">
        <v>74</v>
      </c>
      <c r="M407" s="1" t="s">
        <v>74</v>
      </c>
      <c r="N407" s="1" t="s">
        <v>74</v>
      </c>
      <c r="O407" s="1" t="s">
        <v>74</v>
      </c>
      <c r="P407" s="1" t="s">
        <v>74</v>
      </c>
      <c r="Q407" s="1" t="s">
        <v>74</v>
      </c>
      <c r="R407" s="1" t="s">
        <v>74</v>
      </c>
      <c r="S407" s="1" t="s">
        <v>74</v>
      </c>
      <c r="T407" s="1" t="s">
        <v>74</v>
      </c>
      <c r="U407" s="1" t="s">
        <v>74</v>
      </c>
      <c r="V407" s="1" t="s">
        <v>4109</v>
      </c>
      <c r="W407" s="1" t="s">
        <v>74</v>
      </c>
      <c r="X407" s="1" t="s">
        <v>74</v>
      </c>
      <c r="Y407" s="1" t="s">
        <v>74</v>
      </c>
      <c r="Z407" s="1" t="s">
        <v>74</v>
      </c>
      <c r="AA407" s="1" t="s">
        <v>4110</v>
      </c>
      <c r="AB407" s="1" t="s">
        <v>2991</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877</v>
      </c>
      <c r="AP407" s="1" t="s">
        <v>74</v>
      </c>
      <c r="AQ407" s="1" t="s">
        <v>74</v>
      </c>
      <c r="AR407" s="1" t="s">
        <v>74</v>
      </c>
      <c r="AS407" s="1" t="s">
        <v>74</v>
      </c>
      <c r="AT407" s="1" t="s">
        <v>4111</v>
      </c>
      <c r="AU407" s="1">
        <v>1997.0</v>
      </c>
      <c r="AV407" s="1">
        <v>311.0</v>
      </c>
      <c r="AW407" s="1" t="s">
        <v>428</v>
      </c>
      <c r="AX407" s="1" t="s">
        <v>74</v>
      </c>
      <c r="AY407" s="1" t="s">
        <v>74</v>
      </c>
      <c r="AZ407" s="1" t="s">
        <v>74</v>
      </c>
      <c r="BA407" s="1" t="s">
        <v>74</v>
      </c>
      <c r="BB407" s="1">
        <v>51.0</v>
      </c>
      <c r="BC407" s="1">
        <v>57.0</v>
      </c>
      <c r="BD407" s="1" t="s">
        <v>74</v>
      </c>
      <c r="BE407" s="1" t="s">
        <v>4112</v>
      </c>
      <c r="BF407" s="2" t="str">
        <f>HYPERLINK("http://dx.doi.org/10.1016/S0040-6090(97)00463-X","http://dx.doi.org/10.1016/S0040-6090(97)00463-X")</f>
        <v>http://dx.doi.org/10.1016/S0040-6090(97)00463-X</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4113</v>
      </c>
      <c r="BT407" s="1" t="str">
        <f>HYPERLINK("https%3A%2F%2Fwww.webofscience.com%2Fwos%2Fwoscc%2Ffull-record%2FWOS:000072708600009","View Full Record in Web of Science")</f>
        <v>View Full Record in Web of Science</v>
      </c>
    </row>
    <row r="408" ht="12.75" customHeight="1">
      <c r="A408" s="1" t="s">
        <v>72</v>
      </c>
      <c r="B408" s="1" t="s">
        <v>4114</v>
      </c>
      <c r="C408" s="1" t="s">
        <v>74</v>
      </c>
      <c r="D408" s="1" t="s">
        <v>74</v>
      </c>
      <c r="E408" s="1" t="s">
        <v>74</v>
      </c>
      <c r="F408" s="1" t="s">
        <v>4114</v>
      </c>
      <c r="G408" s="1" t="s">
        <v>74</v>
      </c>
      <c r="H408" s="1" t="s">
        <v>74</v>
      </c>
      <c r="I408" s="1" t="s">
        <v>4115</v>
      </c>
      <c r="J408" s="1" t="s">
        <v>4116</v>
      </c>
      <c r="K408" s="1" t="s">
        <v>74</v>
      </c>
      <c r="L408" s="1" t="s">
        <v>74</v>
      </c>
      <c r="M408" s="1" t="s">
        <v>74</v>
      </c>
      <c r="N408" s="1" t="s">
        <v>74</v>
      </c>
      <c r="O408" s="1" t="s">
        <v>74</v>
      </c>
      <c r="P408" s="1" t="s">
        <v>74</v>
      </c>
      <c r="Q408" s="1" t="s">
        <v>74</v>
      </c>
      <c r="R408" s="1" t="s">
        <v>74</v>
      </c>
      <c r="S408" s="1" t="s">
        <v>74</v>
      </c>
      <c r="T408" s="1" t="s">
        <v>74</v>
      </c>
      <c r="U408" s="1" t="s">
        <v>74</v>
      </c>
      <c r="V408" s="1" t="s">
        <v>4117</v>
      </c>
      <c r="W408" s="1" t="s">
        <v>74</v>
      </c>
      <c r="X408" s="1" t="s">
        <v>74</v>
      </c>
      <c r="Y408" s="1" t="s">
        <v>74</v>
      </c>
      <c r="Z408" s="1" t="s">
        <v>74</v>
      </c>
      <c r="AA408" s="1" t="s">
        <v>4118</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4119</v>
      </c>
      <c r="AP408" s="1" t="s">
        <v>4120</v>
      </c>
      <c r="AQ408" s="1" t="s">
        <v>74</v>
      </c>
      <c r="AR408" s="1" t="s">
        <v>74</v>
      </c>
      <c r="AS408" s="1" t="s">
        <v>74</v>
      </c>
      <c r="AT408" s="1" t="s">
        <v>107</v>
      </c>
      <c r="AU408" s="1">
        <v>1997.0</v>
      </c>
      <c r="AV408" s="1">
        <v>11.0</v>
      </c>
      <c r="AW408" s="1">
        <v>3.0</v>
      </c>
      <c r="AX408" s="1" t="s">
        <v>74</v>
      </c>
      <c r="AY408" s="1" t="s">
        <v>74</v>
      </c>
      <c r="AZ408" s="1" t="s">
        <v>74</v>
      </c>
      <c r="BA408" s="1" t="s">
        <v>74</v>
      </c>
      <c r="BB408" s="1">
        <v>246.0</v>
      </c>
      <c r="BC408" s="1">
        <v>248.0</v>
      </c>
      <c r="BD408" s="1" t="s">
        <v>74</v>
      </c>
      <c r="BE408" s="1" t="s">
        <v>4121</v>
      </c>
      <c r="BF408" s="2" t="str">
        <f>HYPERLINK("http://dx.doi.org/10.1002/(SICI)1099-1573(199705)11:3&lt;246::AID-PTR62&gt;3.0.CO;2-J","http://dx.doi.org/10.1002/(SICI)1099-1573(199705)11:3&lt;246::AID-PTR62&gt;3.0.CO;2-J")</f>
        <v>http://dx.doi.org/10.1002/(SICI)1099-1573(199705)11:3&lt;246::AID-PTR62&gt;3.0.CO;2-J</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4122</v>
      </c>
      <c r="BT408" s="1" t="str">
        <f>HYPERLINK("https%3A%2F%2Fwww.webofscience.com%2Fwos%2Fwoscc%2Ffull-record%2FWOS:A1997WX04200016","View Full Record in Web of Science")</f>
        <v>View Full Record in Web of Science</v>
      </c>
    </row>
    <row r="409" ht="12.75" customHeight="1">
      <c r="A409" s="1" t="s">
        <v>72</v>
      </c>
      <c r="B409" s="1" t="s">
        <v>4123</v>
      </c>
      <c r="C409" s="1" t="s">
        <v>74</v>
      </c>
      <c r="D409" s="1" t="s">
        <v>74</v>
      </c>
      <c r="E409" s="1" t="s">
        <v>74</v>
      </c>
      <c r="F409" s="1" t="s">
        <v>4124</v>
      </c>
      <c r="G409" s="1" t="s">
        <v>74</v>
      </c>
      <c r="H409" s="1" t="s">
        <v>74</v>
      </c>
      <c r="I409" s="1" t="s">
        <v>4125</v>
      </c>
      <c r="J409" s="1" t="s">
        <v>4126</v>
      </c>
      <c r="K409" s="1" t="s">
        <v>74</v>
      </c>
      <c r="L409" s="1" t="s">
        <v>74</v>
      </c>
      <c r="M409" s="1" t="s">
        <v>74</v>
      </c>
      <c r="N409" s="1" t="s">
        <v>74</v>
      </c>
      <c r="O409" s="1" t="s">
        <v>74</v>
      </c>
      <c r="P409" s="1" t="s">
        <v>74</v>
      </c>
      <c r="Q409" s="1" t="s">
        <v>74</v>
      </c>
      <c r="R409" s="1" t="s">
        <v>74</v>
      </c>
      <c r="S409" s="1" t="s">
        <v>74</v>
      </c>
      <c r="T409" s="1" t="s">
        <v>74</v>
      </c>
      <c r="U409" s="1" t="s">
        <v>74</v>
      </c>
      <c r="V409" s="1" t="s">
        <v>4127</v>
      </c>
      <c r="W409" s="1" t="s">
        <v>74</v>
      </c>
      <c r="X409" s="1" t="s">
        <v>74</v>
      </c>
      <c r="Y409" s="1" t="s">
        <v>74</v>
      </c>
      <c r="Z409" s="1" t="s">
        <v>74</v>
      </c>
      <c r="AA409" s="1" t="s">
        <v>4128</v>
      </c>
      <c r="AB409" s="1" t="s">
        <v>4129</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4130</v>
      </c>
      <c r="AP409" s="1" t="s">
        <v>4131</v>
      </c>
      <c r="AQ409" s="1" t="s">
        <v>74</v>
      </c>
      <c r="AR409" s="1" t="s">
        <v>74</v>
      </c>
      <c r="AS409" s="1" t="s">
        <v>74</v>
      </c>
      <c r="AT409" s="1" t="s">
        <v>83</v>
      </c>
      <c r="AU409" s="1">
        <v>2025.0</v>
      </c>
      <c r="AV409" s="1">
        <v>19.0</v>
      </c>
      <c r="AW409" s="1">
        <v>3.0</v>
      </c>
      <c r="AX409" s="1" t="s">
        <v>74</v>
      </c>
      <c r="AY409" s="1" t="s">
        <v>74</v>
      </c>
      <c r="AZ409" s="1" t="s">
        <v>74</v>
      </c>
      <c r="BA409" s="1" t="s">
        <v>74</v>
      </c>
      <c r="BB409" s="1" t="s">
        <v>74</v>
      </c>
      <c r="BC409" s="1" t="s">
        <v>74</v>
      </c>
      <c r="BD409" s="1" t="s">
        <v>74</v>
      </c>
      <c r="BE409" s="1" t="s">
        <v>4132</v>
      </c>
      <c r="BF409" s="2" t="str">
        <f>HYPERLINK("http://dx.doi.org/10.1002/pssr.202400292","http://dx.doi.org/10.1002/pssr.202400292")</f>
        <v>http://dx.doi.org/10.1002/pssr.202400292</v>
      </c>
      <c r="BG409" s="1" t="s">
        <v>74</v>
      </c>
      <c r="BH409" s="1" t="s">
        <v>4133</v>
      </c>
      <c r="BI409" s="1" t="s">
        <v>74</v>
      </c>
      <c r="BJ409" s="1" t="s">
        <v>74</v>
      </c>
      <c r="BK409" s="1" t="s">
        <v>74</v>
      </c>
      <c r="BL409" s="1" t="s">
        <v>74</v>
      </c>
      <c r="BM409" s="1" t="s">
        <v>74</v>
      </c>
      <c r="BN409" s="1" t="s">
        <v>74</v>
      </c>
      <c r="BO409" s="1" t="s">
        <v>74</v>
      </c>
      <c r="BP409" s="1" t="s">
        <v>74</v>
      </c>
      <c r="BQ409" s="1" t="s">
        <v>74</v>
      </c>
      <c r="BR409" s="1" t="s">
        <v>74</v>
      </c>
      <c r="BS409" s="1" t="s">
        <v>4134</v>
      </c>
      <c r="BT409" s="1" t="str">
        <f>HYPERLINK("https%3A%2F%2Fwww.webofscience.com%2Fwos%2Fwoscc%2Ffull-record%2FWOS:001356931700001","View Full Record in Web of Science")</f>
        <v>View Full Record in Web of Science</v>
      </c>
    </row>
    <row r="410" ht="12.75" customHeight="1">
      <c r="A410" s="1" t="s">
        <v>72</v>
      </c>
      <c r="B410" s="1" t="s">
        <v>4135</v>
      </c>
      <c r="C410" s="1" t="s">
        <v>74</v>
      </c>
      <c r="D410" s="1" t="s">
        <v>74</v>
      </c>
      <c r="E410" s="1" t="s">
        <v>74</v>
      </c>
      <c r="F410" s="1" t="s">
        <v>4136</v>
      </c>
      <c r="G410" s="1" t="s">
        <v>74</v>
      </c>
      <c r="H410" s="1" t="s">
        <v>74</v>
      </c>
      <c r="I410" s="1" t="s">
        <v>4137</v>
      </c>
      <c r="J410" s="1" t="s">
        <v>836</v>
      </c>
      <c r="K410" s="1" t="s">
        <v>74</v>
      </c>
      <c r="L410" s="1" t="s">
        <v>74</v>
      </c>
      <c r="M410" s="1" t="s">
        <v>74</v>
      </c>
      <c r="N410" s="1" t="s">
        <v>74</v>
      </c>
      <c r="O410" s="1" t="s">
        <v>74</v>
      </c>
      <c r="P410" s="1" t="s">
        <v>74</v>
      </c>
      <c r="Q410" s="1" t="s">
        <v>74</v>
      </c>
      <c r="R410" s="1" t="s">
        <v>74</v>
      </c>
      <c r="S410" s="1" t="s">
        <v>74</v>
      </c>
      <c r="T410" s="1" t="s">
        <v>74</v>
      </c>
      <c r="U410" s="1" t="s">
        <v>74</v>
      </c>
      <c r="V410" s="1" t="s">
        <v>4138</v>
      </c>
      <c r="W410" s="1" t="s">
        <v>74</v>
      </c>
      <c r="X410" s="1" t="s">
        <v>74</v>
      </c>
      <c r="Y410" s="1" t="s">
        <v>74</v>
      </c>
      <c r="Z410" s="1" t="s">
        <v>74</v>
      </c>
      <c r="AA410" s="1" t="s">
        <v>4139</v>
      </c>
      <c r="AB410" s="1" t="s">
        <v>4140</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838</v>
      </c>
      <c r="AP410" s="1" t="s">
        <v>4141</v>
      </c>
      <c r="AQ410" s="1" t="s">
        <v>74</v>
      </c>
      <c r="AR410" s="1" t="s">
        <v>74</v>
      </c>
      <c r="AS410" s="1" t="s">
        <v>74</v>
      </c>
      <c r="AT410" s="1" t="s">
        <v>2298</v>
      </c>
      <c r="AU410" s="1">
        <v>2024.0</v>
      </c>
      <c r="AV410" s="1">
        <v>57.0</v>
      </c>
      <c r="AW410" s="1">
        <v>1.0</v>
      </c>
      <c r="AX410" s="1" t="s">
        <v>74</v>
      </c>
      <c r="AY410" s="1" t="s">
        <v>74</v>
      </c>
      <c r="AZ410" s="1" t="s">
        <v>74</v>
      </c>
      <c r="BA410" s="1" t="s">
        <v>74</v>
      </c>
      <c r="BB410" s="1" t="s">
        <v>74</v>
      </c>
      <c r="BC410" s="1" t="s">
        <v>74</v>
      </c>
      <c r="BD410" s="1">
        <v>82.0</v>
      </c>
      <c r="BE410" s="1" t="s">
        <v>4142</v>
      </c>
      <c r="BF410" s="2" t="str">
        <f>HYPERLINK("http://dx.doi.org/10.1186/s40659-024-00563-5","http://dx.doi.org/10.1186/s40659-024-00563-5")</f>
        <v>http://dx.doi.org/10.1186/s40659-024-00563-5</v>
      </c>
      <c r="BG410" s="1" t="s">
        <v>74</v>
      </c>
      <c r="BH410" s="1" t="s">
        <v>74</v>
      </c>
      <c r="BI410" s="1" t="s">
        <v>74</v>
      </c>
      <c r="BJ410" s="1" t="s">
        <v>74</v>
      </c>
      <c r="BK410" s="1" t="s">
        <v>74</v>
      </c>
      <c r="BL410" s="1" t="s">
        <v>74</v>
      </c>
      <c r="BM410" s="1" t="s">
        <v>74</v>
      </c>
      <c r="BN410" s="1">
        <v>3.9511644E7</v>
      </c>
      <c r="BO410" s="1" t="s">
        <v>74</v>
      </c>
      <c r="BP410" s="1" t="s">
        <v>74</v>
      </c>
      <c r="BQ410" s="1" t="s">
        <v>74</v>
      </c>
      <c r="BR410" s="1" t="s">
        <v>74</v>
      </c>
      <c r="BS410" s="1" t="s">
        <v>4143</v>
      </c>
      <c r="BT410" s="1" t="str">
        <f>HYPERLINK("https%3A%2F%2Fwww.webofscience.com%2Fwos%2Fwoscc%2Ffull-record%2FWOS:001351590100001","View Full Record in Web of Science")</f>
        <v>View Full Record in Web of Science</v>
      </c>
    </row>
    <row r="411" ht="12.75" customHeight="1">
      <c r="A411" s="1" t="s">
        <v>72</v>
      </c>
      <c r="B411" s="1" t="s">
        <v>4144</v>
      </c>
      <c r="C411" s="1" t="s">
        <v>74</v>
      </c>
      <c r="D411" s="1" t="s">
        <v>74</v>
      </c>
      <c r="E411" s="1" t="s">
        <v>74</v>
      </c>
      <c r="F411" s="1" t="s">
        <v>4145</v>
      </c>
      <c r="G411" s="1" t="s">
        <v>74</v>
      </c>
      <c r="H411" s="1" t="s">
        <v>74</v>
      </c>
      <c r="I411" s="1" t="s">
        <v>4146</v>
      </c>
      <c r="J411" s="1" t="s">
        <v>654</v>
      </c>
      <c r="K411" s="1" t="s">
        <v>74</v>
      </c>
      <c r="L411" s="1" t="s">
        <v>74</v>
      </c>
      <c r="M411" s="1" t="s">
        <v>74</v>
      </c>
      <c r="N411" s="1" t="s">
        <v>74</v>
      </c>
      <c r="O411" s="1" t="s">
        <v>74</v>
      </c>
      <c r="P411" s="1" t="s">
        <v>74</v>
      </c>
      <c r="Q411" s="1" t="s">
        <v>74</v>
      </c>
      <c r="R411" s="1" t="s">
        <v>74</v>
      </c>
      <c r="S411" s="1" t="s">
        <v>74</v>
      </c>
      <c r="T411" s="1" t="s">
        <v>74</v>
      </c>
      <c r="U411" s="1" t="s">
        <v>74</v>
      </c>
      <c r="V411" s="1" t="s">
        <v>4147</v>
      </c>
      <c r="W411" s="1" t="s">
        <v>74</v>
      </c>
      <c r="X411" s="1" t="s">
        <v>74</v>
      </c>
      <c r="Y411" s="1" t="s">
        <v>74</v>
      </c>
      <c r="Z411" s="1" t="s">
        <v>74</v>
      </c>
      <c r="AA411" s="1" t="s">
        <v>4148</v>
      </c>
      <c r="AB411" s="1" t="s">
        <v>4149</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657</v>
      </c>
      <c r="AP411" s="1" t="s">
        <v>658</v>
      </c>
      <c r="AQ411" s="1" t="s">
        <v>74</v>
      </c>
      <c r="AR411" s="1" t="s">
        <v>74</v>
      </c>
      <c r="AS411" s="1" t="s">
        <v>74</v>
      </c>
      <c r="AT411" s="1" t="s">
        <v>461</v>
      </c>
      <c r="AU411" s="1">
        <v>2024.0</v>
      </c>
      <c r="AV411" s="1">
        <v>147.0</v>
      </c>
      <c r="AW411" s="1" t="s">
        <v>74</v>
      </c>
      <c r="AX411" s="1" t="s">
        <v>74</v>
      </c>
      <c r="AY411" s="1" t="s">
        <v>74</v>
      </c>
      <c r="AZ411" s="1" t="s">
        <v>74</v>
      </c>
      <c r="BA411" s="1" t="s">
        <v>74</v>
      </c>
      <c r="BB411" s="1">
        <v>474.0</v>
      </c>
      <c r="BC411" s="1">
        <v>482.0</v>
      </c>
      <c r="BD411" s="1" t="s">
        <v>74</v>
      </c>
      <c r="BE411" s="1" t="s">
        <v>4150</v>
      </c>
      <c r="BF411" s="2" t="str">
        <f>HYPERLINK("http://dx.doi.org/10.1016/j.fbp.2024.08.002","http://dx.doi.org/10.1016/j.fbp.2024.08.002")</f>
        <v>http://dx.doi.org/10.1016/j.fbp.2024.08.002</v>
      </c>
      <c r="BG411" s="1" t="s">
        <v>74</v>
      </c>
      <c r="BH411" s="1" t="s">
        <v>2350</v>
      </c>
      <c r="BI411" s="1" t="s">
        <v>74</v>
      </c>
      <c r="BJ411" s="1" t="s">
        <v>74</v>
      </c>
      <c r="BK411" s="1" t="s">
        <v>74</v>
      </c>
      <c r="BL411" s="1" t="s">
        <v>74</v>
      </c>
      <c r="BM411" s="1" t="s">
        <v>74</v>
      </c>
      <c r="BN411" s="1" t="s">
        <v>74</v>
      </c>
      <c r="BO411" s="1" t="s">
        <v>74</v>
      </c>
      <c r="BP411" s="1" t="s">
        <v>74</v>
      </c>
      <c r="BQ411" s="1" t="s">
        <v>74</v>
      </c>
      <c r="BR411" s="1" t="s">
        <v>74</v>
      </c>
      <c r="BS411" s="1" t="s">
        <v>4151</v>
      </c>
      <c r="BT411" s="1" t="str">
        <f>HYPERLINK("https%3A%2F%2Fwww.webofscience.com%2Fwos%2Fwoscc%2Ffull-record%2FWOS:001298916700001","View Full Record in Web of Science")</f>
        <v>View Full Record in Web of Science</v>
      </c>
    </row>
    <row r="412" ht="12.75" customHeight="1">
      <c r="A412" s="1" t="s">
        <v>72</v>
      </c>
      <c r="B412" s="1" t="s">
        <v>4152</v>
      </c>
      <c r="C412" s="1" t="s">
        <v>74</v>
      </c>
      <c r="D412" s="1" t="s">
        <v>74</v>
      </c>
      <c r="E412" s="1" t="s">
        <v>74</v>
      </c>
      <c r="F412" s="1" t="s">
        <v>4153</v>
      </c>
      <c r="G412" s="1" t="s">
        <v>74</v>
      </c>
      <c r="H412" s="1" t="s">
        <v>74</v>
      </c>
      <c r="I412" s="1" t="s">
        <v>4154</v>
      </c>
      <c r="J412" s="1" t="s">
        <v>4155</v>
      </c>
      <c r="K412" s="1" t="s">
        <v>74</v>
      </c>
      <c r="L412" s="1" t="s">
        <v>74</v>
      </c>
      <c r="M412" s="1" t="s">
        <v>74</v>
      </c>
      <c r="N412" s="1" t="s">
        <v>74</v>
      </c>
      <c r="O412" s="1" t="s">
        <v>74</v>
      </c>
      <c r="P412" s="1" t="s">
        <v>74</v>
      </c>
      <c r="Q412" s="1" t="s">
        <v>74</v>
      </c>
      <c r="R412" s="1" t="s">
        <v>74</v>
      </c>
      <c r="S412" s="1" t="s">
        <v>74</v>
      </c>
      <c r="T412" s="1" t="s">
        <v>74</v>
      </c>
      <c r="U412" s="1" t="s">
        <v>74</v>
      </c>
      <c r="V412" s="1" t="s">
        <v>4156</v>
      </c>
      <c r="W412" s="1" t="s">
        <v>74</v>
      </c>
      <c r="X412" s="1" t="s">
        <v>74</v>
      </c>
      <c r="Y412" s="1" t="s">
        <v>74</v>
      </c>
      <c r="Z412" s="1" t="s">
        <v>74</v>
      </c>
      <c r="AA412" s="1" t="s">
        <v>4157</v>
      </c>
      <c r="AB412" s="1" t="s">
        <v>4158</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4159</v>
      </c>
      <c r="AP412" s="1" t="s">
        <v>4160</v>
      </c>
      <c r="AQ412" s="1" t="s">
        <v>74</v>
      </c>
      <c r="AR412" s="1" t="s">
        <v>74</v>
      </c>
      <c r="AS412" s="1" t="s">
        <v>74</v>
      </c>
      <c r="AT412" s="1" t="s">
        <v>647</v>
      </c>
      <c r="AU412" s="1">
        <v>2024.0</v>
      </c>
      <c r="AV412" s="1">
        <v>191.0</v>
      </c>
      <c r="AW412" s="1">
        <v>8.0</v>
      </c>
      <c r="AX412" s="1" t="s">
        <v>74</v>
      </c>
      <c r="AY412" s="1" t="s">
        <v>74</v>
      </c>
      <c r="AZ412" s="1" t="s">
        <v>74</v>
      </c>
      <c r="BA412" s="1" t="s">
        <v>74</v>
      </c>
      <c r="BB412" s="1" t="s">
        <v>74</v>
      </c>
      <c r="BC412" s="1" t="s">
        <v>74</v>
      </c>
      <c r="BD412" s="1">
        <v>449.0</v>
      </c>
      <c r="BE412" s="1" t="s">
        <v>4161</v>
      </c>
      <c r="BF412" s="2" t="str">
        <f>HYPERLINK("http://dx.doi.org/10.1007/s00604-024-06515-w","http://dx.doi.org/10.1007/s00604-024-06515-w")</f>
        <v>http://dx.doi.org/10.1007/s00604-024-06515-w</v>
      </c>
      <c r="BG412" s="1" t="s">
        <v>74</v>
      </c>
      <c r="BH412" s="1" t="s">
        <v>74</v>
      </c>
      <c r="BI412" s="1" t="s">
        <v>74</v>
      </c>
      <c r="BJ412" s="1" t="s">
        <v>74</v>
      </c>
      <c r="BK412" s="1" t="s">
        <v>74</v>
      </c>
      <c r="BL412" s="1" t="s">
        <v>74</v>
      </c>
      <c r="BM412" s="1" t="s">
        <v>74</v>
      </c>
      <c r="BN412" s="1">
        <v>3.8967877E7</v>
      </c>
      <c r="BO412" s="1" t="s">
        <v>74</v>
      </c>
      <c r="BP412" s="1" t="s">
        <v>74</v>
      </c>
      <c r="BQ412" s="1" t="s">
        <v>74</v>
      </c>
      <c r="BR412" s="1" t="s">
        <v>74</v>
      </c>
      <c r="BS412" s="1" t="s">
        <v>4162</v>
      </c>
      <c r="BT412" s="1" t="str">
        <f>HYPERLINK("https%3A%2F%2Fwww.webofscience.com%2Fwos%2Fwoscc%2Ffull-record%2FWOS:001262955200002","View Full Record in Web of Science")</f>
        <v>View Full Record in Web of Science</v>
      </c>
    </row>
    <row r="413" ht="12.75" customHeight="1">
      <c r="A413" s="1" t="s">
        <v>72</v>
      </c>
      <c r="B413" s="1" t="s">
        <v>4163</v>
      </c>
      <c r="C413" s="1" t="s">
        <v>74</v>
      </c>
      <c r="D413" s="1" t="s">
        <v>74</v>
      </c>
      <c r="E413" s="1" t="s">
        <v>74</v>
      </c>
      <c r="F413" s="1" t="s">
        <v>4164</v>
      </c>
      <c r="G413" s="1" t="s">
        <v>74</v>
      </c>
      <c r="H413" s="1" t="s">
        <v>74</v>
      </c>
      <c r="I413" s="1" t="s">
        <v>4165</v>
      </c>
      <c r="J413" s="1" t="s">
        <v>4166</v>
      </c>
      <c r="K413" s="1" t="s">
        <v>74</v>
      </c>
      <c r="L413" s="1" t="s">
        <v>74</v>
      </c>
      <c r="M413" s="1" t="s">
        <v>74</v>
      </c>
      <c r="N413" s="1" t="s">
        <v>74</v>
      </c>
      <c r="O413" s="1" t="s">
        <v>74</v>
      </c>
      <c r="P413" s="1" t="s">
        <v>74</v>
      </c>
      <c r="Q413" s="1" t="s">
        <v>74</v>
      </c>
      <c r="R413" s="1" t="s">
        <v>74</v>
      </c>
      <c r="S413" s="1" t="s">
        <v>74</v>
      </c>
      <c r="T413" s="1" t="s">
        <v>74</v>
      </c>
      <c r="U413" s="1" t="s">
        <v>74</v>
      </c>
      <c r="V413" s="1" t="s">
        <v>4167</v>
      </c>
      <c r="W413" s="1" t="s">
        <v>74</v>
      </c>
      <c r="X413" s="1" t="s">
        <v>74</v>
      </c>
      <c r="Y413" s="1" t="s">
        <v>74</v>
      </c>
      <c r="Z413" s="1" t="s">
        <v>74</v>
      </c>
      <c r="AA413" s="1" t="s">
        <v>4168</v>
      </c>
      <c r="AB413" s="1" t="s">
        <v>4169</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4170</v>
      </c>
      <c r="AP413" s="1" t="s">
        <v>4171</v>
      </c>
      <c r="AQ413" s="1" t="s">
        <v>74</v>
      </c>
      <c r="AR413" s="1" t="s">
        <v>74</v>
      </c>
      <c r="AS413" s="1" t="s">
        <v>74</v>
      </c>
      <c r="AT413" s="1" t="s">
        <v>2625</v>
      </c>
      <c r="AU413" s="1">
        <v>2024.0</v>
      </c>
      <c r="AV413" s="1">
        <v>505.0</v>
      </c>
      <c r="AW413" s="1" t="s">
        <v>74</v>
      </c>
      <c r="AX413" s="1" t="s">
        <v>74</v>
      </c>
      <c r="AY413" s="1" t="s">
        <v>74</v>
      </c>
      <c r="AZ413" s="1" t="s">
        <v>74</v>
      </c>
      <c r="BA413" s="1" t="s">
        <v>74</v>
      </c>
      <c r="BB413" s="1" t="s">
        <v>74</v>
      </c>
      <c r="BC413" s="1" t="s">
        <v>74</v>
      </c>
      <c r="BD413" s="1">
        <v>215675.0</v>
      </c>
      <c r="BE413" s="1" t="s">
        <v>4172</v>
      </c>
      <c r="BF413" s="2" t="str">
        <f>HYPERLINK("http://dx.doi.org/10.1016/j.ccr.2024.215675","http://dx.doi.org/10.1016/j.ccr.2024.215675")</f>
        <v>http://dx.doi.org/10.1016/j.ccr.2024.215675</v>
      </c>
      <c r="BG413" s="1" t="s">
        <v>74</v>
      </c>
      <c r="BH413" s="1" t="s">
        <v>122</v>
      </c>
      <c r="BI413" s="1" t="s">
        <v>74</v>
      </c>
      <c r="BJ413" s="1" t="s">
        <v>74</v>
      </c>
      <c r="BK413" s="1" t="s">
        <v>74</v>
      </c>
      <c r="BL413" s="1" t="s">
        <v>74</v>
      </c>
      <c r="BM413" s="1" t="s">
        <v>74</v>
      </c>
      <c r="BN413" s="1" t="s">
        <v>74</v>
      </c>
      <c r="BO413" s="1" t="s">
        <v>74</v>
      </c>
      <c r="BP413" s="1" t="s">
        <v>74</v>
      </c>
      <c r="BQ413" s="1" t="s">
        <v>74</v>
      </c>
      <c r="BR413" s="1" t="s">
        <v>74</v>
      </c>
      <c r="BS413" s="1" t="s">
        <v>4173</v>
      </c>
      <c r="BT413" s="1" t="str">
        <f>HYPERLINK("https%3A%2F%2Fwww.webofscience.com%2Fwos%2Fwoscc%2Ffull-record%2FWOS:001181296900001","View Full Record in Web of Science")</f>
        <v>View Full Record in Web of Science</v>
      </c>
    </row>
    <row r="414" ht="12.75" customHeight="1">
      <c r="A414" s="1" t="s">
        <v>72</v>
      </c>
      <c r="B414" s="1" t="s">
        <v>4174</v>
      </c>
      <c r="C414" s="1" t="s">
        <v>74</v>
      </c>
      <c r="D414" s="1" t="s">
        <v>74</v>
      </c>
      <c r="E414" s="1" t="s">
        <v>74</v>
      </c>
      <c r="F414" s="1" t="s">
        <v>4175</v>
      </c>
      <c r="G414" s="1" t="s">
        <v>74</v>
      </c>
      <c r="H414" s="1" t="s">
        <v>74</v>
      </c>
      <c r="I414" s="1" t="s">
        <v>4176</v>
      </c>
      <c r="J414" s="1" t="s">
        <v>4177</v>
      </c>
      <c r="K414" s="1" t="s">
        <v>74</v>
      </c>
      <c r="L414" s="1" t="s">
        <v>74</v>
      </c>
      <c r="M414" s="1" t="s">
        <v>74</v>
      </c>
      <c r="N414" s="1" t="s">
        <v>74</v>
      </c>
      <c r="O414" s="1" t="s">
        <v>74</v>
      </c>
      <c r="P414" s="1" t="s">
        <v>74</v>
      </c>
      <c r="Q414" s="1" t="s">
        <v>74</v>
      </c>
      <c r="R414" s="1" t="s">
        <v>74</v>
      </c>
      <c r="S414" s="1" t="s">
        <v>74</v>
      </c>
      <c r="T414" s="1" t="s">
        <v>74</v>
      </c>
      <c r="U414" s="1" t="s">
        <v>74</v>
      </c>
      <c r="V414" s="1" t="s">
        <v>4178</v>
      </c>
      <c r="W414" s="1" t="s">
        <v>74</v>
      </c>
      <c r="X414" s="1" t="s">
        <v>74</v>
      </c>
      <c r="Y414" s="1" t="s">
        <v>74</v>
      </c>
      <c r="Z414" s="1" t="s">
        <v>74</v>
      </c>
      <c r="AA414" s="1" t="s">
        <v>4179</v>
      </c>
      <c r="AB414" s="1" t="s">
        <v>4180</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74</v>
      </c>
      <c r="AP414" s="1" t="s">
        <v>4181</v>
      </c>
      <c r="AQ414" s="1" t="s">
        <v>74</v>
      </c>
      <c r="AR414" s="1" t="s">
        <v>74</v>
      </c>
      <c r="AS414" s="1" t="s">
        <v>74</v>
      </c>
      <c r="AT414" s="1" t="s">
        <v>647</v>
      </c>
      <c r="AU414" s="1">
        <v>2023.0</v>
      </c>
      <c r="AV414" s="1">
        <v>16.0</v>
      </c>
      <c r="AW414" s="1">
        <v>8.0</v>
      </c>
      <c r="AX414" s="1" t="s">
        <v>74</v>
      </c>
      <c r="AY414" s="1" t="s">
        <v>74</v>
      </c>
      <c r="AZ414" s="1" t="s">
        <v>74</v>
      </c>
      <c r="BA414" s="1" t="s">
        <v>74</v>
      </c>
      <c r="BB414" s="1" t="s">
        <v>74</v>
      </c>
      <c r="BC414" s="1" t="s">
        <v>74</v>
      </c>
      <c r="BD414" s="1">
        <v>386.0</v>
      </c>
      <c r="BE414" s="1" t="s">
        <v>4182</v>
      </c>
      <c r="BF414" s="2" t="str">
        <f>HYPERLINK("http://dx.doi.org/10.3390/a16080386","http://dx.doi.org/10.3390/a16080386")</f>
        <v>http://dx.doi.org/10.3390/a16080386</v>
      </c>
      <c r="BG414" s="1" t="s">
        <v>74</v>
      </c>
      <c r="BH414" s="1" t="s">
        <v>74</v>
      </c>
      <c r="BI414" s="1" t="s">
        <v>74</v>
      </c>
      <c r="BJ414" s="1" t="s">
        <v>74</v>
      </c>
      <c r="BK414" s="1" t="s">
        <v>74</v>
      </c>
      <c r="BL414" s="1" t="s">
        <v>74</v>
      </c>
      <c r="BM414" s="1" t="s">
        <v>74</v>
      </c>
      <c r="BN414" s="1" t="s">
        <v>74</v>
      </c>
      <c r="BO414" s="1" t="s">
        <v>74</v>
      </c>
      <c r="BP414" s="1" t="s">
        <v>74</v>
      </c>
      <c r="BQ414" s="1" t="s">
        <v>74</v>
      </c>
      <c r="BR414" s="1" t="s">
        <v>74</v>
      </c>
      <c r="BS414" s="1" t="s">
        <v>4183</v>
      </c>
      <c r="BT414" s="1" t="str">
        <f>HYPERLINK("https%3A%2F%2Fwww.webofscience.com%2Fwos%2Fwoscc%2Ffull-record%2FWOS:001056694400001","View Full Record in Web of Science")</f>
        <v>View Full Record in Web of Science</v>
      </c>
    </row>
    <row r="415" ht="12.75" customHeight="1">
      <c r="A415" s="1" t="s">
        <v>346</v>
      </c>
      <c r="B415" s="1" t="s">
        <v>4184</v>
      </c>
      <c r="C415" s="1" t="s">
        <v>74</v>
      </c>
      <c r="D415" s="1" t="s">
        <v>4185</v>
      </c>
      <c r="E415" s="1" t="s">
        <v>74</v>
      </c>
      <c r="F415" s="1" t="s">
        <v>4186</v>
      </c>
      <c r="G415" s="1" t="s">
        <v>74</v>
      </c>
      <c r="H415" s="1" t="s">
        <v>74</v>
      </c>
      <c r="I415" s="1" t="s">
        <v>4187</v>
      </c>
      <c r="J415" s="1" t="s">
        <v>4188</v>
      </c>
      <c r="K415" s="1" t="s">
        <v>4189</v>
      </c>
      <c r="L415" s="1" t="s">
        <v>74</v>
      </c>
      <c r="M415" s="1" t="s">
        <v>74</v>
      </c>
      <c r="N415" s="1" t="s">
        <v>74</v>
      </c>
      <c r="O415" s="1" t="s">
        <v>4190</v>
      </c>
      <c r="P415" s="1" t="s">
        <v>4191</v>
      </c>
      <c r="Q415" s="1" t="s">
        <v>4192</v>
      </c>
      <c r="R415" s="1" t="s">
        <v>74</v>
      </c>
      <c r="S415" s="1" t="s">
        <v>74</v>
      </c>
      <c r="T415" s="1" t="s">
        <v>74</v>
      </c>
      <c r="U415" s="1" t="s">
        <v>74</v>
      </c>
      <c r="V415" s="1" t="s">
        <v>4193</v>
      </c>
      <c r="W415" s="1" t="s">
        <v>74</v>
      </c>
      <c r="X415" s="1" t="s">
        <v>74</v>
      </c>
      <c r="Y415" s="1" t="s">
        <v>74</v>
      </c>
      <c r="Z415" s="1" t="s">
        <v>74</v>
      </c>
      <c r="AA415" s="1" t="s">
        <v>74</v>
      </c>
      <c r="AB415" s="1" t="s">
        <v>74</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4194</v>
      </c>
      <c r="AP415" s="1" t="s">
        <v>74</v>
      </c>
      <c r="AQ415" s="1" t="s">
        <v>4195</v>
      </c>
      <c r="AR415" s="1" t="s">
        <v>74</v>
      </c>
      <c r="AS415" s="1" t="s">
        <v>74</v>
      </c>
      <c r="AT415" s="1" t="s">
        <v>74</v>
      </c>
      <c r="AU415" s="1">
        <v>2022.0</v>
      </c>
      <c r="AV415" s="1" t="s">
        <v>74</v>
      </c>
      <c r="AW415" s="1" t="s">
        <v>74</v>
      </c>
      <c r="AX415" s="1" t="s">
        <v>74</v>
      </c>
      <c r="AY415" s="1" t="s">
        <v>74</v>
      </c>
      <c r="AZ415" s="1" t="s">
        <v>74</v>
      </c>
      <c r="BA415" s="1" t="s">
        <v>74</v>
      </c>
      <c r="BB415" s="1">
        <v>1063.0</v>
      </c>
      <c r="BC415" s="1">
        <v>1069.0</v>
      </c>
      <c r="BD415" s="1" t="s">
        <v>74</v>
      </c>
      <c r="BE415" s="1" t="s">
        <v>4196</v>
      </c>
      <c r="BF415" s="2" t="str">
        <f>HYPERLINK("http://dx.doi.org/10.4995/HERITAGE2022.2022.14527","http://dx.doi.org/10.4995/HERITAGE2022.2022.14527")</f>
        <v>http://dx.doi.org/10.4995/HERITAGE2022.2022.14527</v>
      </c>
      <c r="BG415" s="1" t="s">
        <v>74</v>
      </c>
      <c r="BH415" s="1" t="s">
        <v>74</v>
      </c>
      <c r="BI415" s="1" t="s">
        <v>74</v>
      </c>
      <c r="BJ415" s="1" t="s">
        <v>74</v>
      </c>
      <c r="BK415" s="1" t="s">
        <v>74</v>
      </c>
      <c r="BL415" s="1" t="s">
        <v>74</v>
      </c>
      <c r="BM415" s="1" t="s">
        <v>74</v>
      </c>
      <c r="BN415" s="1" t="s">
        <v>74</v>
      </c>
      <c r="BO415" s="1" t="s">
        <v>74</v>
      </c>
      <c r="BP415" s="1" t="s">
        <v>74</v>
      </c>
      <c r="BQ415" s="1" t="s">
        <v>74</v>
      </c>
      <c r="BR415" s="1" t="s">
        <v>74</v>
      </c>
      <c r="BS415" s="1" t="s">
        <v>4197</v>
      </c>
      <c r="BT415" s="1" t="str">
        <f>HYPERLINK("https%3A%2F%2Fwww.webofscience.com%2Fwos%2Fwoscc%2Ffull-record%2FWOS:001212795200131","View Full Record in Web of Science")</f>
        <v>View Full Record in Web of Science</v>
      </c>
    </row>
    <row r="416" ht="12.75" customHeight="1">
      <c r="A416" s="1" t="s">
        <v>72</v>
      </c>
      <c r="B416" s="1" t="s">
        <v>4198</v>
      </c>
      <c r="C416" s="1" t="s">
        <v>74</v>
      </c>
      <c r="D416" s="1" t="s">
        <v>74</v>
      </c>
      <c r="E416" s="1" t="s">
        <v>74</v>
      </c>
      <c r="F416" s="1" t="s">
        <v>4199</v>
      </c>
      <c r="G416" s="1" t="s">
        <v>74</v>
      </c>
      <c r="H416" s="1" t="s">
        <v>74</v>
      </c>
      <c r="I416" s="1" t="s">
        <v>4200</v>
      </c>
      <c r="J416" s="1" t="s">
        <v>4201</v>
      </c>
      <c r="K416" s="1" t="s">
        <v>74</v>
      </c>
      <c r="L416" s="1" t="s">
        <v>74</v>
      </c>
      <c r="M416" s="1" t="s">
        <v>74</v>
      </c>
      <c r="N416" s="1" t="s">
        <v>74</v>
      </c>
      <c r="O416" s="1" t="s">
        <v>74</v>
      </c>
      <c r="P416" s="1" t="s">
        <v>74</v>
      </c>
      <c r="Q416" s="1" t="s">
        <v>74</v>
      </c>
      <c r="R416" s="1" t="s">
        <v>74</v>
      </c>
      <c r="S416" s="1" t="s">
        <v>74</v>
      </c>
      <c r="T416" s="1" t="s">
        <v>74</v>
      </c>
      <c r="U416" s="1" t="s">
        <v>74</v>
      </c>
      <c r="V416" s="1" t="s">
        <v>4202</v>
      </c>
      <c r="W416" s="1" t="s">
        <v>74</v>
      </c>
      <c r="X416" s="1" t="s">
        <v>74</v>
      </c>
      <c r="Y416" s="1" t="s">
        <v>74</v>
      </c>
      <c r="Z416" s="1" t="s">
        <v>74</v>
      </c>
      <c r="AA416" s="1" t="s">
        <v>3885</v>
      </c>
      <c r="AB416" s="1" t="s">
        <v>4203</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74</v>
      </c>
      <c r="AP416" s="1" t="s">
        <v>4204</v>
      </c>
      <c r="AQ416" s="1" t="s">
        <v>74</v>
      </c>
      <c r="AR416" s="1" t="s">
        <v>74</v>
      </c>
      <c r="AS416" s="1" t="s">
        <v>74</v>
      </c>
      <c r="AT416" s="1" t="s">
        <v>95</v>
      </c>
      <c r="AU416" s="1">
        <v>2021.0</v>
      </c>
      <c r="AV416" s="1">
        <v>14.0</v>
      </c>
      <c r="AW416" s="1">
        <v>24.0</v>
      </c>
      <c r="AX416" s="1" t="s">
        <v>74</v>
      </c>
      <c r="AY416" s="1" t="s">
        <v>74</v>
      </c>
      <c r="AZ416" s="1" t="s">
        <v>74</v>
      </c>
      <c r="BA416" s="1" t="s">
        <v>74</v>
      </c>
      <c r="BB416" s="1" t="s">
        <v>74</v>
      </c>
      <c r="BC416" s="1" t="s">
        <v>74</v>
      </c>
      <c r="BD416" s="1">
        <v>8229.0</v>
      </c>
      <c r="BE416" s="1" t="s">
        <v>4205</v>
      </c>
      <c r="BF416" s="2" t="str">
        <f>HYPERLINK("http://dx.doi.org/10.3390/en14248229","http://dx.doi.org/10.3390/en14248229")</f>
        <v>http://dx.doi.org/10.3390/en14248229</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4206</v>
      </c>
      <c r="BT416" s="1" t="str">
        <f>HYPERLINK("https%3A%2F%2Fwww.webofscience.com%2Fwos%2Fwoscc%2Ffull-record%2FWOS:000738998300001","View Full Record in Web of Science")</f>
        <v>View Full Record in Web of Science</v>
      </c>
    </row>
    <row r="417" ht="12.75" customHeight="1">
      <c r="A417" s="1" t="s">
        <v>72</v>
      </c>
      <c r="B417" s="1" t="s">
        <v>4207</v>
      </c>
      <c r="C417" s="1" t="s">
        <v>74</v>
      </c>
      <c r="D417" s="1" t="s">
        <v>74</v>
      </c>
      <c r="E417" s="1" t="s">
        <v>74</v>
      </c>
      <c r="F417" s="1" t="s">
        <v>4208</v>
      </c>
      <c r="G417" s="1" t="s">
        <v>74</v>
      </c>
      <c r="H417" s="1" t="s">
        <v>74</v>
      </c>
      <c r="I417" s="1" t="s">
        <v>4209</v>
      </c>
      <c r="J417" s="1" t="s">
        <v>4210</v>
      </c>
      <c r="K417" s="1" t="s">
        <v>74</v>
      </c>
      <c r="L417" s="1" t="s">
        <v>74</v>
      </c>
      <c r="M417" s="1" t="s">
        <v>74</v>
      </c>
      <c r="N417" s="1" t="s">
        <v>74</v>
      </c>
      <c r="O417" s="1" t="s">
        <v>74</v>
      </c>
      <c r="P417" s="1" t="s">
        <v>74</v>
      </c>
      <c r="Q417" s="1" t="s">
        <v>74</v>
      </c>
      <c r="R417" s="1" t="s">
        <v>74</v>
      </c>
      <c r="S417" s="1" t="s">
        <v>74</v>
      </c>
      <c r="T417" s="1" t="s">
        <v>74</v>
      </c>
      <c r="U417" s="1" t="s">
        <v>74</v>
      </c>
      <c r="V417" s="1" t="s">
        <v>4211</v>
      </c>
      <c r="W417" s="1" t="s">
        <v>74</v>
      </c>
      <c r="X417" s="1" t="s">
        <v>74</v>
      </c>
      <c r="Y417" s="1" t="s">
        <v>74</v>
      </c>
      <c r="Z417" s="1" t="s">
        <v>74</v>
      </c>
      <c r="AA417" s="1" t="s">
        <v>4212</v>
      </c>
      <c r="AB417" s="1" t="s">
        <v>4213</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4214</v>
      </c>
      <c r="AP417" s="1" t="s">
        <v>4215</v>
      </c>
      <c r="AQ417" s="1" t="s">
        <v>74</v>
      </c>
      <c r="AR417" s="1" t="s">
        <v>74</v>
      </c>
      <c r="AS417" s="1" t="s">
        <v>74</v>
      </c>
      <c r="AT417" s="1" t="s">
        <v>232</v>
      </c>
      <c r="AU417" s="1">
        <v>2021.0</v>
      </c>
      <c r="AV417" s="1">
        <v>96.0</v>
      </c>
      <c r="AW417" s="1">
        <v>10.0</v>
      </c>
      <c r="AX417" s="1" t="s">
        <v>74</v>
      </c>
      <c r="AY417" s="1" t="s">
        <v>74</v>
      </c>
      <c r="AZ417" s="1" t="s">
        <v>74</v>
      </c>
      <c r="BA417" s="1" t="s">
        <v>74</v>
      </c>
      <c r="BB417" s="1">
        <v>2882.0</v>
      </c>
      <c r="BC417" s="1">
        <v>2890.0</v>
      </c>
      <c r="BD417" s="1" t="s">
        <v>74</v>
      </c>
      <c r="BE417" s="1" t="s">
        <v>4216</v>
      </c>
      <c r="BF417" s="2" t="str">
        <f>HYPERLINK("http://dx.doi.org/10.1002/jctb.6840","http://dx.doi.org/10.1002/jctb.6840")</f>
        <v>http://dx.doi.org/10.1002/jctb.6840</v>
      </c>
      <c r="BG417" s="1" t="s">
        <v>74</v>
      </c>
      <c r="BH417" s="1" t="s">
        <v>4217</v>
      </c>
      <c r="BI417" s="1" t="s">
        <v>74</v>
      </c>
      <c r="BJ417" s="1" t="s">
        <v>74</v>
      </c>
      <c r="BK417" s="1" t="s">
        <v>74</v>
      </c>
      <c r="BL417" s="1" t="s">
        <v>74</v>
      </c>
      <c r="BM417" s="1" t="s">
        <v>74</v>
      </c>
      <c r="BN417" s="1" t="s">
        <v>74</v>
      </c>
      <c r="BO417" s="1" t="s">
        <v>74</v>
      </c>
      <c r="BP417" s="1" t="s">
        <v>74</v>
      </c>
      <c r="BQ417" s="1" t="s">
        <v>74</v>
      </c>
      <c r="BR417" s="1" t="s">
        <v>74</v>
      </c>
      <c r="BS417" s="1" t="s">
        <v>4218</v>
      </c>
      <c r="BT417" s="1" t="str">
        <f>HYPERLINK("https%3A%2F%2Fwww.webofscience.com%2Fwos%2Fwoscc%2Ffull-record%2FWOS:000672491200001","View Full Record in Web of Science")</f>
        <v>View Full Record in Web of Science</v>
      </c>
    </row>
    <row r="418" ht="12.75" customHeight="1">
      <c r="A418" s="1" t="s">
        <v>72</v>
      </c>
      <c r="B418" s="1" t="s">
        <v>4219</v>
      </c>
      <c r="C418" s="1" t="s">
        <v>74</v>
      </c>
      <c r="D418" s="1" t="s">
        <v>74</v>
      </c>
      <c r="E418" s="1" t="s">
        <v>74</v>
      </c>
      <c r="F418" s="1" t="s">
        <v>4220</v>
      </c>
      <c r="G418" s="1" t="s">
        <v>74</v>
      </c>
      <c r="H418" s="1" t="s">
        <v>74</v>
      </c>
      <c r="I418" s="1" t="s">
        <v>4221</v>
      </c>
      <c r="J418" s="1" t="s">
        <v>4222</v>
      </c>
      <c r="K418" s="1" t="s">
        <v>74</v>
      </c>
      <c r="L418" s="1" t="s">
        <v>74</v>
      </c>
      <c r="M418" s="1" t="s">
        <v>74</v>
      </c>
      <c r="N418" s="1" t="s">
        <v>74</v>
      </c>
      <c r="O418" s="1" t="s">
        <v>74</v>
      </c>
      <c r="P418" s="1" t="s">
        <v>74</v>
      </c>
      <c r="Q418" s="1" t="s">
        <v>74</v>
      </c>
      <c r="R418" s="1" t="s">
        <v>74</v>
      </c>
      <c r="S418" s="1" t="s">
        <v>74</v>
      </c>
      <c r="T418" s="1" t="s">
        <v>74</v>
      </c>
      <c r="U418" s="1" t="s">
        <v>74</v>
      </c>
      <c r="V418" s="1" t="s">
        <v>4223</v>
      </c>
      <c r="W418" s="1" t="s">
        <v>74</v>
      </c>
      <c r="X418" s="1" t="s">
        <v>74</v>
      </c>
      <c r="Y418" s="1" t="s">
        <v>74</v>
      </c>
      <c r="Z418" s="1" t="s">
        <v>74</v>
      </c>
      <c r="AA418" s="1" t="s">
        <v>4224</v>
      </c>
      <c r="AB418" s="1" t="s">
        <v>4225</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4226</v>
      </c>
      <c r="AP418" s="1" t="s">
        <v>4227</v>
      </c>
      <c r="AQ418" s="1" t="s">
        <v>74</v>
      </c>
      <c r="AR418" s="1" t="s">
        <v>74</v>
      </c>
      <c r="AS418" s="1" t="s">
        <v>74</v>
      </c>
      <c r="AT418" s="1" t="s">
        <v>83</v>
      </c>
      <c r="AU418" s="1">
        <v>2021.0</v>
      </c>
      <c r="AV418" s="1">
        <v>58.0</v>
      </c>
      <c r="AW418" s="1" t="s">
        <v>74</v>
      </c>
      <c r="AX418" s="1" t="s">
        <v>74</v>
      </c>
      <c r="AY418" s="1" t="s">
        <v>74</v>
      </c>
      <c r="AZ418" s="1" t="s">
        <v>74</v>
      </c>
      <c r="BA418" s="1" t="s">
        <v>74</v>
      </c>
      <c r="BB418" s="1" t="s">
        <v>74</v>
      </c>
      <c r="BC418" s="1" t="s">
        <v>74</v>
      </c>
      <c r="BD418" s="1">
        <v>126902.0</v>
      </c>
      <c r="BE418" s="1" t="s">
        <v>4228</v>
      </c>
      <c r="BF418" s="2" t="str">
        <f>HYPERLINK("http://dx.doi.org/10.1016/j.ufug.2020.126902","http://dx.doi.org/10.1016/j.ufug.2020.126902")</f>
        <v>http://dx.doi.org/10.1016/j.ufug.2020.126902</v>
      </c>
      <c r="BG418" s="1" t="s">
        <v>74</v>
      </c>
      <c r="BH418" s="1" t="s">
        <v>4229</v>
      </c>
      <c r="BI418" s="1" t="s">
        <v>74</v>
      </c>
      <c r="BJ418" s="1" t="s">
        <v>74</v>
      </c>
      <c r="BK418" s="1" t="s">
        <v>74</v>
      </c>
      <c r="BL418" s="1" t="s">
        <v>74</v>
      </c>
      <c r="BM418" s="1" t="s">
        <v>74</v>
      </c>
      <c r="BN418" s="1" t="s">
        <v>74</v>
      </c>
      <c r="BO418" s="1" t="s">
        <v>74</v>
      </c>
      <c r="BP418" s="1" t="s">
        <v>74</v>
      </c>
      <c r="BQ418" s="1" t="s">
        <v>74</v>
      </c>
      <c r="BR418" s="1" t="s">
        <v>74</v>
      </c>
      <c r="BS418" s="1" t="s">
        <v>4230</v>
      </c>
      <c r="BT418" s="1" t="str">
        <f>HYPERLINK("https%3A%2F%2Fwww.webofscience.com%2Fwos%2Fwoscc%2Ffull-record%2FWOS:000620656100001","View Full Record in Web of Science")</f>
        <v>View Full Record in Web of Science</v>
      </c>
    </row>
    <row r="419" ht="12.75" customHeight="1">
      <c r="A419" s="1" t="s">
        <v>72</v>
      </c>
      <c r="B419" s="1" t="s">
        <v>4231</v>
      </c>
      <c r="C419" s="1" t="s">
        <v>74</v>
      </c>
      <c r="D419" s="1" t="s">
        <v>74</v>
      </c>
      <c r="E419" s="1" t="s">
        <v>74</v>
      </c>
      <c r="F419" s="1" t="s">
        <v>4232</v>
      </c>
      <c r="G419" s="1" t="s">
        <v>74</v>
      </c>
      <c r="H419" s="1" t="s">
        <v>74</v>
      </c>
      <c r="I419" s="1" t="s">
        <v>4233</v>
      </c>
      <c r="J419" s="1" t="s">
        <v>908</v>
      </c>
      <c r="K419" s="1" t="s">
        <v>74</v>
      </c>
      <c r="L419" s="1" t="s">
        <v>74</v>
      </c>
      <c r="M419" s="1" t="s">
        <v>74</v>
      </c>
      <c r="N419" s="1" t="s">
        <v>74</v>
      </c>
      <c r="O419" s="1" t="s">
        <v>74</v>
      </c>
      <c r="P419" s="1" t="s">
        <v>74</v>
      </c>
      <c r="Q419" s="1" t="s">
        <v>74</v>
      </c>
      <c r="R419" s="1" t="s">
        <v>74</v>
      </c>
      <c r="S419" s="1" t="s">
        <v>74</v>
      </c>
      <c r="T419" s="1" t="s">
        <v>74</v>
      </c>
      <c r="U419" s="1" t="s">
        <v>74</v>
      </c>
      <c r="V419" s="1" t="s">
        <v>4234</v>
      </c>
      <c r="W419" s="1" t="s">
        <v>74</v>
      </c>
      <c r="X419" s="1" t="s">
        <v>74</v>
      </c>
      <c r="Y419" s="1" t="s">
        <v>74</v>
      </c>
      <c r="Z419" s="1" t="s">
        <v>74</v>
      </c>
      <c r="AA419" s="1" t="s">
        <v>4235</v>
      </c>
      <c r="AB419" s="1" t="s">
        <v>4236</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74</v>
      </c>
      <c r="AP419" s="1" t="s">
        <v>912</v>
      </c>
      <c r="AQ419" s="1" t="s">
        <v>74</v>
      </c>
      <c r="AR419" s="1" t="s">
        <v>74</v>
      </c>
      <c r="AS419" s="1" t="s">
        <v>74</v>
      </c>
      <c r="AT419" s="1" t="s">
        <v>554</v>
      </c>
      <c r="AU419" s="1">
        <v>2020.0</v>
      </c>
      <c r="AV419" s="1">
        <v>12.0</v>
      </c>
      <c r="AW419" s="1">
        <v>6.0</v>
      </c>
      <c r="AX419" s="1" t="s">
        <v>74</v>
      </c>
      <c r="AY419" s="1" t="s">
        <v>74</v>
      </c>
      <c r="AZ419" s="1" t="s">
        <v>74</v>
      </c>
      <c r="BA419" s="1" t="s">
        <v>74</v>
      </c>
      <c r="BB419" s="1" t="s">
        <v>74</v>
      </c>
      <c r="BC419" s="1" t="s">
        <v>74</v>
      </c>
      <c r="BD419" s="1">
        <v>1248.0</v>
      </c>
      <c r="BE419" s="1" t="s">
        <v>4237</v>
      </c>
      <c r="BF419" s="2" t="str">
        <f>HYPERLINK("http://dx.doi.org/10.3390/polym12061248","http://dx.doi.org/10.3390/polym12061248")</f>
        <v>http://dx.doi.org/10.3390/polym12061248</v>
      </c>
      <c r="BG419" s="1" t="s">
        <v>74</v>
      </c>
      <c r="BH419" s="1" t="s">
        <v>74</v>
      </c>
      <c r="BI419" s="1" t="s">
        <v>74</v>
      </c>
      <c r="BJ419" s="1" t="s">
        <v>74</v>
      </c>
      <c r="BK419" s="1" t="s">
        <v>74</v>
      </c>
      <c r="BL419" s="1" t="s">
        <v>74</v>
      </c>
      <c r="BM419" s="1" t="s">
        <v>74</v>
      </c>
      <c r="BN419" s="1">
        <v>3.2486086E7</v>
      </c>
      <c r="BO419" s="1" t="s">
        <v>74</v>
      </c>
      <c r="BP419" s="1" t="s">
        <v>74</v>
      </c>
      <c r="BQ419" s="1" t="s">
        <v>74</v>
      </c>
      <c r="BR419" s="1" t="s">
        <v>74</v>
      </c>
      <c r="BS419" s="1" t="s">
        <v>4238</v>
      </c>
      <c r="BT419" s="1" t="str">
        <f>HYPERLINK("https%3A%2F%2Fwww.webofscience.com%2Fwos%2Fwoscc%2Ffull-record%2FWOS:000552462200001","View Full Record in Web of Science")</f>
        <v>View Full Record in Web of Science</v>
      </c>
    </row>
    <row r="420" ht="12.75" customHeight="1">
      <c r="A420" s="1" t="s">
        <v>346</v>
      </c>
      <c r="B420" s="1" t="s">
        <v>4239</v>
      </c>
      <c r="C420" s="1" t="s">
        <v>74</v>
      </c>
      <c r="D420" s="1" t="s">
        <v>4240</v>
      </c>
      <c r="E420" s="1" t="s">
        <v>74</v>
      </c>
      <c r="F420" s="1" t="s">
        <v>4241</v>
      </c>
      <c r="G420" s="1" t="s">
        <v>74</v>
      </c>
      <c r="H420" s="1" t="s">
        <v>74</v>
      </c>
      <c r="I420" s="1" t="s">
        <v>4242</v>
      </c>
      <c r="J420" s="1" t="s">
        <v>4243</v>
      </c>
      <c r="K420" s="1" t="s">
        <v>4244</v>
      </c>
      <c r="L420" s="1" t="s">
        <v>74</v>
      </c>
      <c r="M420" s="1" t="s">
        <v>74</v>
      </c>
      <c r="N420" s="1" t="s">
        <v>74</v>
      </c>
      <c r="O420" s="1" t="s">
        <v>4245</v>
      </c>
      <c r="P420" s="1">
        <v>2019.0</v>
      </c>
      <c r="Q420" s="1" t="s">
        <v>4246</v>
      </c>
      <c r="R420" s="1" t="s">
        <v>4247</v>
      </c>
      <c r="S420" s="1" t="s">
        <v>74</v>
      </c>
      <c r="T420" s="1" t="s">
        <v>74</v>
      </c>
      <c r="U420" s="1" t="s">
        <v>74</v>
      </c>
      <c r="V420" s="1" t="s">
        <v>4248</v>
      </c>
      <c r="W420" s="1" t="s">
        <v>74</v>
      </c>
      <c r="X420" s="1" t="s">
        <v>74</v>
      </c>
      <c r="Y420" s="1" t="s">
        <v>74</v>
      </c>
      <c r="Z420" s="1" t="s">
        <v>74</v>
      </c>
      <c r="AA420" s="1" t="s">
        <v>4249</v>
      </c>
      <c r="AB420" s="1" t="s">
        <v>4250</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4251</v>
      </c>
      <c r="AP420" s="1" t="s">
        <v>4252</v>
      </c>
      <c r="AQ420" s="1" t="s">
        <v>4253</v>
      </c>
      <c r="AR420" s="1" t="s">
        <v>74</v>
      </c>
      <c r="AS420" s="1" t="s">
        <v>74</v>
      </c>
      <c r="AT420" s="1" t="s">
        <v>74</v>
      </c>
      <c r="AU420" s="1">
        <v>2020.0</v>
      </c>
      <c r="AV420" s="1" t="s">
        <v>74</v>
      </c>
      <c r="AW420" s="1" t="s">
        <v>74</v>
      </c>
      <c r="AX420" s="1" t="s">
        <v>74</v>
      </c>
      <c r="AY420" s="1" t="s">
        <v>74</v>
      </c>
      <c r="AZ420" s="1" t="s">
        <v>74</v>
      </c>
      <c r="BA420" s="1" t="s">
        <v>74</v>
      </c>
      <c r="BB420" s="1">
        <v>307.0</v>
      </c>
      <c r="BC420" s="1">
        <v>332.0</v>
      </c>
      <c r="BD420" s="1" t="s">
        <v>74</v>
      </c>
      <c r="BE420" s="1" t="s">
        <v>4254</v>
      </c>
      <c r="BF420" s="2" t="str">
        <f>HYPERLINK("http://dx.doi.org/10.1007/978-3-030-38253-7_20","http://dx.doi.org/10.1007/978-3-030-38253-7_20")</f>
        <v>http://dx.doi.org/10.1007/978-3-030-38253-7_20</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4255</v>
      </c>
      <c r="BT420" s="1" t="str">
        <f>HYPERLINK("https%3A%2F%2Fwww.webofscience.com%2Fwos%2Fwoscc%2Ffull-record%2FWOS:000851233600020","View Full Record in Web of Science")</f>
        <v>View Full Record in Web of Science</v>
      </c>
    </row>
    <row r="421" ht="12.75" customHeight="1">
      <c r="A421" s="1" t="s">
        <v>72</v>
      </c>
      <c r="B421" s="1" t="s">
        <v>4256</v>
      </c>
      <c r="C421" s="1" t="s">
        <v>74</v>
      </c>
      <c r="D421" s="1" t="s">
        <v>74</v>
      </c>
      <c r="E421" s="1" t="s">
        <v>74</v>
      </c>
      <c r="F421" s="1" t="s">
        <v>4257</v>
      </c>
      <c r="G421" s="1" t="s">
        <v>74</v>
      </c>
      <c r="H421" s="1" t="s">
        <v>74</v>
      </c>
      <c r="I421" s="1" t="s">
        <v>4258</v>
      </c>
      <c r="J421" s="1" t="s">
        <v>4259</v>
      </c>
      <c r="K421" s="1" t="s">
        <v>74</v>
      </c>
      <c r="L421" s="1" t="s">
        <v>74</v>
      </c>
      <c r="M421" s="1" t="s">
        <v>74</v>
      </c>
      <c r="N421" s="1" t="s">
        <v>74</v>
      </c>
      <c r="O421" s="1" t="s">
        <v>74</v>
      </c>
      <c r="P421" s="1" t="s">
        <v>74</v>
      </c>
      <c r="Q421" s="1" t="s">
        <v>74</v>
      </c>
      <c r="R421" s="1" t="s">
        <v>74</v>
      </c>
      <c r="S421" s="1" t="s">
        <v>74</v>
      </c>
      <c r="T421" s="1" t="s">
        <v>74</v>
      </c>
      <c r="U421" s="1" t="s">
        <v>74</v>
      </c>
      <c r="V421" s="1" t="s">
        <v>4260</v>
      </c>
      <c r="W421" s="1" t="s">
        <v>74</v>
      </c>
      <c r="X421" s="1" t="s">
        <v>74</v>
      </c>
      <c r="Y421" s="1" t="s">
        <v>74</v>
      </c>
      <c r="Z421" s="1" t="s">
        <v>74</v>
      </c>
      <c r="AA421" s="1" t="s">
        <v>74</v>
      </c>
      <c r="AB421" s="1" t="s">
        <v>74</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4261</v>
      </c>
      <c r="AP421" s="1" t="s">
        <v>74</v>
      </c>
      <c r="AQ421" s="1" t="s">
        <v>74</v>
      </c>
      <c r="AR421" s="1" t="s">
        <v>74</v>
      </c>
      <c r="AS421" s="1" t="s">
        <v>74</v>
      </c>
      <c r="AT421" s="1" t="s">
        <v>74</v>
      </c>
      <c r="AU421" s="1">
        <v>2020.0</v>
      </c>
      <c r="AV421" s="1" t="s">
        <v>74</v>
      </c>
      <c r="AW421" s="1">
        <v>64.0</v>
      </c>
      <c r="AX421" s="1" t="s">
        <v>74</v>
      </c>
      <c r="AY421" s="1" t="s">
        <v>74</v>
      </c>
      <c r="AZ421" s="1" t="s">
        <v>74</v>
      </c>
      <c r="BA421" s="1" t="s">
        <v>74</v>
      </c>
      <c r="BB421" s="1">
        <v>127.0</v>
      </c>
      <c r="BC421" s="1">
        <v>151.0</v>
      </c>
      <c r="BD421" s="1" t="s">
        <v>74</v>
      </c>
      <c r="BE421" s="1" t="s">
        <v>4262</v>
      </c>
      <c r="BF421" s="2" t="str">
        <f>HYPERLINK("http://dx.doi.org/10.22199/issn.0718-1043-2020-0010","http://dx.doi.org/10.22199/issn.0718-1043-2020-0010")</f>
        <v>http://dx.doi.org/10.22199/issn.0718-1043-2020-0010</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4263</v>
      </c>
      <c r="BT421" s="1" t="str">
        <f>HYPERLINK("https%3A%2F%2Fwww.webofscience.com%2Fwos%2Fwoscc%2Ffull-record%2FWOS:000543246700008","View Full Record in Web of Science")</f>
        <v>View Full Record in Web of Science</v>
      </c>
    </row>
    <row r="422" ht="12.75" customHeight="1">
      <c r="A422" s="1" t="s">
        <v>346</v>
      </c>
      <c r="B422" s="1" t="s">
        <v>4264</v>
      </c>
      <c r="C422" s="1" t="s">
        <v>74</v>
      </c>
      <c r="D422" s="1" t="s">
        <v>4265</v>
      </c>
      <c r="E422" s="1" t="s">
        <v>74</v>
      </c>
      <c r="F422" s="1" t="s">
        <v>4266</v>
      </c>
      <c r="G422" s="1" t="s">
        <v>74</v>
      </c>
      <c r="H422" s="1" t="s">
        <v>74</v>
      </c>
      <c r="I422" s="1" t="s">
        <v>4267</v>
      </c>
      <c r="J422" s="1" t="s">
        <v>4268</v>
      </c>
      <c r="K422" s="1" t="s">
        <v>4269</v>
      </c>
      <c r="L422" s="1" t="s">
        <v>74</v>
      </c>
      <c r="M422" s="1" t="s">
        <v>74</v>
      </c>
      <c r="N422" s="1" t="s">
        <v>74</v>
      </c>
      <c r="O422" s="1" t="s">
        <v>4270</v>
      </c>
      <c r="P422" s="1" t="s">
        <v>4271</v>
      </c>
      <c r="Q422" s="1" t="s">
        <v>4272</v>
      </c>
      <c r="R422" s="1" t="s">
        <v>4273</v>
      </c>
      <c r="S422" s="1" t="s">
        <v>74</v>
      </c>
      <c r="T422" s="1" t="s">
        <v>74</v>
      </c>
      <c r="U422" s="1" t="s">
        <v>74</v>
      </c>
      <c r="V422" s="1" t="s">
        <v>4274</v>
      </c>
      <c r="W422" s="1" t="s">
        <v>74</v>
      </c>
      <c r="X422" s="1" t="s">
        <v>74</v>
      </c>
      <c r="Y422" s="1" t="s">
        <v>74</v>
      </c>
      <c r="Z422" s="1" t="s">
        <v>74</v>
      </c>
      <c r="AA422" s="1" t="s">
        <v>4275</v>
      </c>
      <c r="AB422" s="1" t="s">
        <v>4276</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4277</v>
      </c>
      <c r="AP422" s="1" t="s">
        <v>74</v>
      </c>
      <c r="AQ422" s="1" t="s">
        <v>74</v>
      </c>
      <c r="AR422" s="1" t="s">
        <v>74</v>
      </c>
      <c r="AS422" s="1" t="s">
        <v>74</v>
      </c>
      <c r="AT422" s="1" t="s">
        <v>74</v>
      </c>
      <c r="AU422" s="1">
        <v>2019.0</v>
      </c>
      <c r="AV422" s="1">
        <v>162.0</v>
      </c>
      <c r="AW422" s="1" t="s">
        <v>74</v>
      </c>
      <c r="AX422" s="1" t="s">
        <v>74</v>
      </c>
      <c r="AY422" s="1" t="s">
        <v>74</v>
      </c>
      <c r="AZ422" s="1" t="s">
        <v>74</v>
      </c>
      <c r="BA422" s="1" t="s">
        <v>74</v>
      </c>
      <c r="BB422" s="1">
        <v>974.0</v>
      </c>
      <c r="BC422" s="1">
        <v>981.0</v>
      </c>
      <c r="BD422" s="1" t="s">
        <v>74</v>
      </c>
      <c r="BE422" s="1" t="s">
        <v>4278</v>
      </c>
      <c r="BF422" s="2" t="str">
        <f>HYPERLINK("http://dx.doi.org/10.1016/j.procs.2019.12.075","http://dx.doi.org/10.1016/j.procs.2019.12.075")</f>
        <v>http://dx.doi.org/10.1016/j.procs.2019.12.075</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4279</v>
      </c>
      <c r="BT422" s="1" t="str">
        <f>HYPERLINK("https%3A%2F%2Fwww.webofscience.com%2Fwos%2Fwoscc%2Ffull-record%2FWOS:000514081500123","View Full Record in Web of Science")</f>
        <v>View Full Record in Web of Science</v>
      </c>
    </row>
    <row r="423" ht="12.75" customHeight="1">
      <c r="A423" s="1" t="s">
        <v>72</v>
      </c>
      <c r="B423" s="1" t="s">
        <v>2452</v>
      </c>
      <c r="C423" s="1" t="s">
        <v>74</v>
      </c>
      <c r="D423" s="1" t="s">
        <v>74</v>
      </c>
      <c r="E423" s="1" t="s">
        <v>74</v>
      </c>
      <c r="F423" s="1" t="s">
        <v>2453</v>
      </c>
      <c r="G423" s="1" t="s">
        <v>74</v>
      </c>
      <c r="H423" s="1" t="s">
        <v>74</v>
      </c>
      <c r="I423" s="1" t="s">
        <v>4280</v>
      </c>
      <c r="J423" s="1" t="s">
        <v>2455</v>
      </c>
      <c r="K423" s="1" t="s">
        <v>74</v>
      </c>
      <c r="L423" s="1" t="s">
        <v>74</v>
      </c>
      <c r="M423" s="1" t="s">
        <v>74</v>
      </c>
      <c r="N423" s="1" t="s">
        <v>74</v>
      </c>
      <c r="O423" s="1" t="s">
        <v>74</v>
      </c>
      <c r="P423" s="1" t="s">
        <v>74</v>
      </c>
      <c r="Q423" s="1" t="s">
        <v>74</v>
      </c>
      <c r="R423" s="1" t="s">
        <v>74</v>
      </c>
      <c r="S423" s="1" t="s">
        <v>74</v>
      </c>
      <c r="T423" s="1" t="s">
        <v>74</v>
      </c>
      <c r="U423" s="1" t="s">
        <v>74</v>
      </c>
      <c r="V423" s="1" t="s">
        <v>4281</v>
      </c>
      <c r="W423" s="1" t="s">
        <v>74</v>
      </c>
      <c r="X423" s="1" t="s">
        <v>74</v>
      </c>
      <c r="Y423" s="1" t="s">
        <v>74</v>
      </c>
      <c r="Z423" s="1" t="s">
        <v>74</v>
      </c>
      <c r="AA423" s="1" t="s">
        <v>4282</v>
      </c>
      <c r="AB423" s="1" t="s">
        <v>4283</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2457</v>
      </c>
      <c r="AP423" s="1" t="s">
        <v>74</v>
      </c>
      <c r="AQ423" s="1" t="s">
        <v>74</v>
      </c>
      <c r="AR423" s="1" t="s">
        <v>74</v>
      </c>
      <c r="AS423" s="1" t="s">
        <v>74</v>
      </c>
      <c r="AT423" s="1" t="s">
        <v>4284</v>
      </c>
      <c r="AU423" s="1">
        <v>2018.0</v>
      </c>
      <c r="AV423" s="1">
        <v>59.0</v>
      </c>
      <c r="AW423" s="1">
        <v>12.0</v>
      </c>
      <c r="AX423" s="1" t="s">
        <v>74</v>
      </c>
      <c r="AY423" s="1" t="s">
        <v>74</v>
      </c>
      <c r="AZ423" s="1" t="s">
        <v>74</v>
      </c>
      <c r="BA423" s="1" t="s">
        <v>74</v>
      </c>
      <c r="BB423" s="1">
        <v>1091.0</v>
      </c>
      <c r="BC423" s="1">
        <v>1093.0</v>
      </c>
      <c r="BD423" s="1" t="s">
        <v>74</v>
      </c>
      <c r="BE423" s="1" t="s">
        <v>4285</v>
      </c>
      <c r="BF423" s="2" t="str">
        <f>HYPERLINK("http://dx.doi.org/10.1016/j.tetlet.2018.02.010","http://dx.doi.org/10.1016/j.tetlet.2018.02.010")</f>
        <v>http://dx.doi.org/10.1016/j.tetlet.2018.02.010</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4286</v>
      </c>
      <c r="BT423" s="1" t="str">
        <f>HYPERLINK("https%3A%2F%2Fwww.webofscience.com%2Fwos%2Fwoscc%2Ffull-record%2FWOS:000427664500005","View Full Record in Web of Science")</f>
        <v>View Full Record in Web of Science</v>
      </c>
    </row>
    <row r="424" ht="12.75" customHeight="1">
      <c r="A424" s="1" t="s">
        <v>72</v>
      </c>
      <c r="B424" s="1" t="s">
        <v>4287</v>
      </c>
      <c r="C424" s="1" t="s">
        <v>74</v>
      </c>
      <c r="D424" s="1" t="s">
        <v>74</v>
      </c>
      <c r="E424" s="1" t="s">
        <v>74</v>
      </c>
      <c r="F424" s="1" t="s">
        <v>4288</v>
      </c>
      <c r="G424" s="1" t="s">
        <v>74</v>
      </c>
      <c r="H424" s="1" t="s">
        <v>74</v>
      </c>
      <c r="I424" s="1" t="s">
        <v>4289</v>
      </c>
      <c r="J424" s="1" t="s">
        <v>4290</v>
      </c>
      <c r="K424" s="1" t="s">
        <v>74</v>
      </c>
      <c r="L424" s="1" t="s">
        <v>74</v>
      </c>
      <c r="M424" s="1" t="s">
        <v>74</v>
      </c>
      <c r="N424" s="1" t="s">
        <v>74</v>
      </c>
      <c r="O424" s="1" t="s">
        <v>74</v>
      </c>
      <c r="P424" s="1" t="s">
        <v>74</v>
      </c>
      <c r="Q424" s="1" t="s">
        <v>74</v>
      </c>
      <c r="R424" s="1" t="s">
        <v>74</v>
      </c>
      <c r="S424" s="1" t="s">
        <v>74</v>
      </c>
      <c r="T424" s="1" t="s">
        <v>74</v>
      </c>
      <c r="U424" s="1" t="s">
        <v>74</v>
      </c>
      <c r="V424" s="1" t="s">
        <v>4291</v>
      </c>
      <c r="W424" s="1" t="s">
        <v>74</v>
      </c>
      <c r="X424" s="1" t="s">
        <v>74</v>
      </c>
      <c r="Y424" s="1" t="s">
        <v>74</v>
      </c>
      <c r="Z424" s="1" t="s">
        <v>74</v>
      </c>
      <c r="AA424" s="1" t="s">
        <v>4292</v>
      </c>
      <c r="AB424" s="1" t="s">
        <v>4293</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4294</v>
      </c>
      <c r="AP424" s="1" t="s">
        <v>4295</v>
      </c>
      <c r="AQ424" s="1" t="s">
        <v>74</v>
      </c>
      <c r="AR424" s="1" t="s">
        <v>74</v>
      </c>
      <c r="AS424" s="1" t="s">
        <v>74</v>
      </c>
      <c r="AT424" s="1" t="s">
        <v>120</v>
      </c>
      <c r="AU424" s="1">
        <v>2018.0</v>
      </c>
      <c r="AV424" s="1">
        <v>119.0</v>
      </c>
      <c r="AW424" s="1" t="s">
        <v>74</v>
      </c>
      <c r="AX424" s="1" t="s">
        <v>74</v>
      </c>
      <c r="AY424" s="1" t="s">
        <v>74</v>
      </c>
      <c r="AZ424" s="1" t="s">
        <v>74</v>
      </c>
      <c r="BA424" s="1" t="s">
        <v>74</v>
      </c>
      <c r="BB424" s="1">
        <v>26.0</v>
      </c>
      <c r="BC424" s="1">
        <v>32.0</v>
      </c>
      <c r="BD424" s="1" t="s">
        <v>74</v>
      </c>
      <c r="BE424" s="1" t="s">
        <v>4296</v>
      </c>
      <c r="BF424" s="2" t="str">
        <f>HYPERLINK("http://dx.doi.org/10.1016/j.bioelechem.2017.08.006","http://dx.doi.org/10.1016/j.bioelechem.2017.08.006")</f>
        <v>http://dx.doi.org/10.1016/j.bioelechem.2017.08.006</v>
      </c>
      <c r="BG424" s="1" t="s">
        <v>74</v>
      </c>
      <c r="BH424" s="1" t="s">
        <v>74</v>
      </c>
      <c r="BI424" s="1" t="s">
        <v>74</v>
      </c>
      <c r="BJ424" s="1" t="s">
        <v>74</v>
      </c>
      <c r="BK424" s="1" t="s">
        <v>74</v>
      </c>
      <c r="BL424" s="1" t="s">
        <v>74</v>
      </c>
      <c r="BM424" s="1" t="s">
        <v>74</v>
      </c>
      <c r="BN424" s="1">
        <v>2.8892759E7</v>
      </c>
      <c r="BO424" s="1" t="s">
        <v>74</v>
      </c>
      <c r="BP424" s="1" t="s">
        <v>74</v>
      </c>
      <c r="BQ424" s="1" t="s">
        <v>74</v>
      </c>
      <c r="BR424" s="1" t="s">
        <v>74</v>
      </c>
      <c r="BS424" s="1" t="s">
        <v>4297</v>
      </c>
      <c r="BT424" s="1" t="str">
        <f>HYPERLINK("https%3A%2F%2Fwww.webofscience.com%2Fwos%2Fwoscc%2Ffull-record%2FWOS:000418312300004","View Full Record in Web of Science")</f>
        <v>View Full Record in Web of Science</v>
      </c>
    </row>
    <row r="425" ht="12.75" customHeight="1">
      <c r="A425" s="1" t="s">
        <v>72</v>
      </c>
      <c r="B425" s="1" t="s">
        <v>4298</v>
      </c>
      <c r="C425" s="1" t="s">
        <v>74</v>
      </c>
      <c r="D425" s="1" t="s">
        <v>74</v>
      </c>
      <c r="E425" s="1" t="s">
        <v>74</v>
      </c>
      <c r="F425" s="1" t="s">
        <v>4299</v>
      </c>
      <c r="G425" s="1" t="s">
        <v>74</v>
      </c>
      <c r="H425" s="1" t="s">
        <v>74</v>
      </c>
      <c r="I425" s="1" t="s">
        <v>4300</v>
      </c>
      <c r="J425" s="1" t="s">
        <v>1440</v>
      </c>
      <c r="K425" s="1" t="s">
        <v>74</v>
      </c>
      <c r="L425" s="1" t="s">
        <v>74</v>
      </c>
      <c r="M425" s="1" t="s">
        <v>74</v>
      </c>
      <c r="N425" s="1" t="s">
        <v>74</v>
      </c>
      <c r="O425" s="1" t="s">
        <v>74</v>
      </c>
      <c r="P425" s="1" t="s">
        <v>74</v>
      </c>
      <c r="Q425" s="1" t="s">
        <v>74</v>
      </c>
      <c r="R425" s="1" t="s">
        <v>74</v>
      </c>
      <c r="S425" s="1" t="s">
        <v>74</v>
      </c>
      <c r="T425" s="1" t="s">
        <v>74</v>
      </c>
      <c r="U425" s="1" t="s">
        <v>74</v>
      </c>
      <c r="V425" s="1" t="s">
        <v>4301</v>
      </c>
      <c r="W425" s="1" t="s">
        <v>74</v>
      </c>
      <c r="X425" s="1" t="s">
        <v>74</v>
      </c>
      <c r="Y425" s="1" t="s">
        <v>74</v>
      </c>
      <c r="Z425" s="1" t="s">
        <v>74</v>
      </c>
      <c r="AA425" s="1" t="s">
        <v>4302</v>
      </c>
      <c r="AB425" s="1" t="s">
        <v>4303</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1443</v>
      </c>
      <c r="AP425" s="1" t="s">
        <v>1444</v>
      </c>
      <c r="AQ425" s="1" t="s">
        <v>74</v>
      </c>
      <c r="AR425" s="1" t="s">
        <v>74</v>
      </c>
      <c r="AS425" s="1" t="s">
        <v>74</v>
      </c>
      <c r="AT425" s="1" t="s">
        <v>596</v>
      </c>
      <c r="AU425" s="1">
        <v>2017.0</v>
      </c>
      <c r="AV425" s="1">
        <v>145.0</v>
      </c>
      <c r="AW425" s="1">
        <v>11.0</v>
      </c>
      <c r="AX425" s="1" t="s">
        <v>74</v>
      </c>
      <c r="AY425" s="1" t="s">
        <v>74</v>
      </c>
      <c r="AZ425" s="1" t="s">
        <v>74</v>
      </c>
      <c r="BA425" s="1" t="s">
        <v>74</v>
      </c>
      <c r="BB425" s="1">
        <v>1371.0</v>
      </c>
      <c r="BC425" s="1">
        <v>1377.0</v>
      </c>
      <c r="BD425" s="1" t="s">
        <v>74</v>
      </c>
      <c r="BE425" s="1" t="s">
        <v>4304</v>
      </c>
      <c r="BF425" s="2" t="str">
        <f>HYPERLINK("http://dx.doi.org/10.4067/s0034-98872017001101371","http://dx.doi.org/10.4067/s0034-98872017001101371")</f>
        <v>http://dx.doi.org/10.4067/s0034-98872017001101371</v>
      </c>
      <c r="BG425" s="1" t="s">
        <v>74</v>
      </c>
      <c r="BH425" s="1" t="s">
        <v>74</v>
      </c>
      <c r="BI425" s="1" t="s">
        <v>74</v>
      </c>
      <c r="BJ425" s="1" t="s">
        <v>74</v>
      </c>
      <c r="BK425" s="1" t="s">
        <v>74</v>
      </c>
      <c r="BL425" s="1" t="s">
        <v>74</v>
      </c>
      <c r="BM425" s="1" t="s">
        <v>74</v>
      </c>
      <c r="BN425" s="1">
        <v>2.9664518E7</v>
      </c>
      <c r="BO425" s="1" t="s">
        <v>74</v>
      </c>
      <c r="BP425" s="1" t="s">
        <v>74</v>
      </c>
      <c r="BQ425" s="1" t="s">
        <v>74</v>
      </c>
      <c r="BR425" s="1" t="s">
        <v>74</v>
      </c>
      <c r="BS425" s="1" t="s">
        <v>4305</v>
      </c>
      <c r="BT425" s="1" t="str">
        <f>HYPERLINK("https%3A%2F%2Fwww.webofscience.com%2Fwos%2Fwoscc%2Ffull-record%2FWOS:000429615100001","View Full Record in Web of Science")</f>
        <v>View Full Record in Web of Science</v>
      </c>
    </row>
    <row r="426" ht="12.75" customHeight="1">
      <c r="A426" s="1" t="s">
        <v>72</v>
      </c>
      <c r="B426" s="1" t="s">
        <v>661</v>
      </c>
      <c r="C426" s="1" t="s">
        <v>74</v>
      </c>
      <c r="D426" s="1" t="s">
        <v>74</v>
      </c>
      <c r="E426" s="1" t="s">
        <v>74</v>
      </c>
      <c r="F426" s="1" t="s">
        <v>662</v>
      </c>
      <c r="G426" s="1" t="s">
        <v>74</v>
      </c>
      <c r="H426" s="1" t="s">
        <v>74</v>
      </c>
      <c r="I426" s="1" t="s">
        <v>663</v>
      </c>
      <c r="J426" s="1" t="s">
        <v>664</v>
      </c>
      <c r="K426" s="1" t="s">
        <v>74</v>
      </c>
      <c r="L426" s="1" t="s">
        <v>74</v>
      </c>
      <c r="M426" s="1" t="s">
        <v>74</v>
      </c>
      <c r="N426" s="1" t="s">
        <v>74</v>
      </c>
      <c r="O426" s="1" t="s">
        <v>74</v>
      </c>
      <c r="P426" s="1" t="s">
        <v>74</v>
      </c>
      <c r="Q426" s="1" t="s">
        <v>74</v>
      </c>
      <c r="R426" s="1" t="s">
        <v>74</v>
      </c>
      <c r="S426" s="1" t="s">
        <v>74</v>
      </c>
      <c r="T426" s="1" t="s">
        <v>74</v>
      </c>
      <c r="U426" s="1" t="s">
        <v>74</v>
      </c>
      <c r="V426" s="1" t="s">
        <v>4306</v>
      </c>
      <c r="W426" s="1" t="s">
        <v>74</v>
      </c>
      <c r="X426" s="1" t="s">
        <v>74</v>
      </c>
      <c r="Y426" s="1" t="s">
        <v>74</v>
      </c>
      <c r="Z426" s="1" t="s">
        <v>74</v>
      </c>
      <c r="AA426" s="1" t="s">
        <v>666</v>
      </c>
      <c r="AB426" s="1" t="s">
        <v>74</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667</v>
      </c>
      <c r="AP426" s="1" t="s">
        <v>668</v>
      </c>
      <c r="AQ426" s="1" t="s">
        <v>74</v>
      </c>
      <c r="AR426" s="1" t="s">
        <v>74</v>
      </c>
      <c r="AS426" s="1" t="s">
        <v>74</v>
      </c>
      <c r="AT426" s="1" t="s">
        <v>669</v>
      </c>
      <c r="AU426" s="1">
        <v>2017.0</v>
      </c>
      <c r="AV426" s="1">
        <v>95.0</v>
      </c>
      <c r="AW426" s="1">
        <v>5.0</v>
      </c>
      <c r="AX426" s="1" t="s">
        <v>74</v>
      </c>
      <c r="AY426" s="1" t="s">
        <v>74</v>
      </c>
      <c r="AZ426" s="1" t="s">
        <v>74</v>
      </c>
      <c r="BA426" s="1" t="s">
        <v>74</v>
      </c>
      <c r="BB426" s="1" t="s">
        <v>74</v>
      </c>
      <c r="BC426" s="1" t="s">
        <v>74</v>
      </c>
      <c r="BD426" s="1">
        <v>53867.0</v>
      </c>
      <c r="BE426" s="1" t="s">
        <v>4307</v>
      </c>
      <c r="BF426" s="2" t="str">
        <f>HYPERLINK("http://dx.doi.org/10.1103/PhysRevA.95.053867","http://dx.doi.org/10.1103/PhysRevA.95.053867")</f>
        <v>http://dx.doi.org/10.1103/PhysRevA.95.053867</v>
      </c>
      <c r="BG426" s="1" t="s">
        <v>74</v>
      </c>
      <c r="BH426" s="1" t="s">
        <v>74</v>
      </c>
      <c r="BI426" s="1" t="s">
        <v>74</v>
      </c>
      <c r="BJ426" s="1" t="s">
        <v>74</v>
      </c>
      <c r="BK426" s="1" t="s">
        <v>74</v>
      </c>
      <c r="BL426" s="1" t="s">
        <v>74</v>
      </c>
      <c r="BM426" s="1" t="s">
        <v>74</v>
      </c>
      <c r="BN426" s="1" t="s">
        <v>74</v>
      </c>
      <c r="BO426" s="1" t="s">
        <v>74</v>
      </c>
      <c r="BP426" s="1" t="s">
        <v>74</v>
      </c>
      <c r="BQ426" s="1" t="s">
        <v>74</v>
      </c>
      <c r="BR426" s="1" t="s">
        <v>74</v>
      </c>
      <c r="BS426" s="1" t="s">
        <v>4308</v>
      </c>
      <c r="BT426" s="1" t="str">
        <f>HYPERLINK("https%3A%2F%2Fwww.webofscience.com%2Fwos%2Fwoscc%2Ffull-record%2FWOS:000402463200020","View Full Record in Web of Science")</f>
        <v>View Full Record in Web of Science</v>
      </c>
    </row>
    <row r="427" ht="12.75" customHeight="1">
      <c r="A427" s="1" t="s">
        <v>72</v>
      </c>
      <c r="B427" s="1" t="s">
        <v>4309</v>
      </c>
      <c r="C427" s="1" t="s">
        <v>74</v>
      </c>
      <c r="D427" s="1" t="s">
        <v>74</v>
      </c>
      <c r="E427" s="1" t="s">
        <v>74</v>
      </c>
      <c r="F427" s="1" t="s">
        <v>4310</v>
      </c>
      <c r="G427" s="1" t="s">
        <v>74</v>
      </c>
      <c r="H427" s="1" t="s">
        <v>74</v>
      </c>
      <c r="I427" s="1" t="s">
        <v>4311</v>
      </c>
      <c r="J427" s="1" t="s">
        <v>4312</v>
      </c>
      <c r="K427" s="1" t="s">
        <v>74</v>
      </c>
      <c r="L427" s="1" t="s">
        <v>74</v>
      </c>
      <c r="M427" s="1" t="s">
        <v>74</v>
      </c>
      <c r="N427" s="1" t="s">
        <v>74</v>
      </c>
      <c r="O427" s="1" t="s">
        <v>74</v>
      </c>
      <c r="P427" s="1" t="s">
        <v>74</v>
      </c>
      <c r="Q427" s="1" t="s">
        <v>74</v>
      </c>
      <c r="R427" s="1" t="s">
        <v>74</v>
      </c>
      <c r="S427" s="1" t="s">
        <v>74</v>
      </c>
      <c r="T427" s="1" t="s">
        <v>74</v>
      </c>
      <c r="U427" s="1" t="s">
        <v>74</v>
      </c>
      <c r="V427" s="1" t="s">
        <v>4313</v>
      </c>
      <c r="W427" s="1" t="s">
        <v>74</v>
      </c>
      <c r="X427" s="1" t="s">
        <v>74</v>
      </c>
      <c r="Y427" s="1" t="s">
        <v>74</v>
      </c>
      <c r="Z427" s="1" t="s">
        <v>74</v>
      </c>
      <c r="AA427" s="1" t="s">
        <v>4314</v>
      </c>
      <c r="AB427" s="1" t="s">
        <v>4315</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4316</v>
      </c>
      <c r="AP427" s="1" t="s">
        <v>4317</v>
      </c>
      <c r="AQ427" s="1" t="s">
        <v>74</v>
      </c>
      <c r="AR427" s="1" t="s">
        <v>74</v>
      </c>
      <c r="AS427" s="1" t="s">
        <v>74</v>
      </c>
      <c r="AT427" s="1" t="s">
        <v>596</v>
      </c>
      <c r="AU427" s="1">
        <v>2016.0</v>
      </c>
      <c r="AV427" s="1">
        <v>133.0</v>
      </c>
      <c r="AW427" s="1" t="s">
        <v>74</v>
      </c>
      <c r="AX427" s="1" t="s">
        <v>74</v>
      </c>
      <c r="AY427" s="1" t="s">
        <v>74</v>
      </c>
      <c r="AZ427" s="1" t="s">
        <v>74</v>
      </c>
      <c r="BA427" s="1" t="s">
        <v>74</v>
      </c>
      <c r="BB427" s="1">
        <v>101.0</v>
      </c>
      <c r="BC427" s="1">
        <v>107.0</v>
      </c>
      <c r="BD427" s="1" t="s">
        <v>74</v>
      </c>
      <c r="BE427" s="1" t="s">
        <v>4318</v>
      </c>
      <c r="BF427" s="2" t="str">
        <f>HYPERLINK("http://dx.doi.org/10.1016/j.polymdegradstab.2016.08.008","http://dx.doi.org/10.1016/j.polymdegradstab.2016.08.008")</f>
        <v>http://dx.doi.org/10.1016/j.polymdegradstab.2016.08.008</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4319</v>
      </c>
      <c r="BT427" s="1" t="str">
        <f>HYPERLINK("https%3A%2F%2Fwww.webofscience.com%2Fwos%2Fwoscc%2Ffull-record%2FWOS:000386403100011","View Full Record in Web of Science")</f>
        <v>View Full Record in Web of Science</v>
      </c>
    </row>
    <row r="428" ht="12.75" customHeight="1">
      <c r="A428" s="1" t="s">
        <v>72</v>
      </c>
      <c r="B428" s="1" t="s">
        <v>4320</v>
      </c>
      <c r="C428" s="1" t="s">
        <v>74</v>
      </c>
      <c r="D428" s="1" t="s">
        <v>74</v>
      </c>
      <c r="E428" s="1" t="s">
        <v>74</v>
      </c>
      <c r="F428" s="1" t="s">
        <v>4321</v>
      </c>
      <c r="G428" s="1" t="s">
        <v>74</v>
      </c>
      <c r="H428" s="1" t="s">
        <v>74</v>
      </c>
      <c r="I428" s="1" t="s">
        <v>4322</v>
      </c>
      <c r="J428" s="1" t="s">
        <v>602</v>
      </c>
      <c r="K428" s="1" t="s">
        <v>74</v>
      </c>
      <c r="L428" s="1" t="s">
        <v>74</v>
      </c>
      <c r="M428" s="1" t="s">
        <v>74</v>
      </c>
      <c r="N428" s="1" t="s">
        <v>74</v>
      </c>
      <c r="O428" s="1" t="s">
        <v>74</v>
      </c>
      <c r="P428" s="1" t="s">
        <v>74</v>
      </c>
      <c r="Q428" s="1" t="s">
        <v>74</v>
      </c>
      <c r="R428" s="1" t="s">
        <v>74</v>
      </c>
      <c r="S428" s="1" t="s">
        <v>74</v>
      </c>
      <c r="T428" s="1" t="s">
        <v>74</v>
      </c>
      <c r="U428" s="1" t="s">
        <v>74</v>
      </c>
      <c r="V428" s="1" t="s">
        <v>4323</v>
      </c>
      <c r="W428" s="1" t="s">
        <v>74</v>
      </c>
      <c r="X428" s="1" t="s">
        <v>74</v>
      </c>
      <c r="Y428" s="1" t="s">
        <v>74</v>
      </c>
      <c r="Z428" s="1" t="s">
        <v>74</v>
      </c>
      <c r="AA428" s="1" t="s">
        <v>74</v>
      </c>
      <c r="AB428" s="1" t="s">
        <v>74</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605</v>
      </c>
      <c r="AP428" s="1" t="s">
        <v>74</v>
      </c>
      <c r="AQ428" s="1" t="s">
        <v>74</v>
      </c>
      <c r="AR428" s="1" t="s">
        <v>74</v>
      </c>
      <c r="AS428" s="1" t="s">
        <v>74</v>
      </c>
      <c r="AT428" s="1" t="s">
        <v>164</v>
      </c>
      <c r="AU428" s="1">
        <v>2016.0</v>
      </c>
      <c r="AV428" s="1">
        <v>15.0</v>
      </c>
      <c r="AW428" s="1">
        <v>4.0</v>
      </c>
      <c r="AX428" s="1" t="s">
        <v>74</v>
      </c>
      <c r="AY428" s="1" t="s">
        <v>74</v>
      </c>
      <c r="AZ428" s="1" t="s">
        <v>74</v>
      </c>
      <c r="BA428" s="1" t="s">
        <v>74</v>
      </c>
      <c r="BB428" s="1">
        <v>249.0</v>
      </c>
      <c r="BC428" s="1">
        <v>257.0</v>
      </c>
      <c r="BD428" s="1" t="s">
        <v>74</v>
      </c>
      <c r="BE428" s="1" t="s">
        <v>74</v>
      </c>
      <c r="BF428" s="1" t="s">
        <v>74</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4324</v>
      </c>
      <c r="BT428" s="1" t="str">
        <f>HYPERLINK("https%3A%2F%2Fwww.webofscience.com%2Fwos%2Fwoscc%2Ffull-record%2FWOS:000380206200005","View Full Record in Web of Science")</f>
        <v>View Full Record in Web of Science</v>
      </c>
    </row>
    <row r="429" ht="12.75" customHeight="1">
      <c r="A429" s="1" t="s">
        <v>72</v>
      </c>
      <c r="B429" s="1" t="s">
        <v>661</v>
      </c>
      <c r="C429" s="1" t="s">
        <v>74</v>
      </c>
      <c r="D429" s="1" t="s">
        <v>74</v>
      </c>
      <c r="E429" s="1" t="s">
        <v>74</v>
      </c>
      <c r="F429" s="1" t="s">
        <v>662</v>
      </c>
      <c r="G429" s="1" t="s">
        <v>74</v>
      </c>
      <c r="H429" s="1" t="s">
        <v>74</v>
      </c>
      <c r="I429" s="1" t="s">
        <v>4325</v>
      </c>
      <c r="J429" s="1" t="s">
        <v>4326</v>
      </c>
      <c r="K429" s="1" t="s">
        <v>74</v>
      </c>
      <c r="L429" s="1" t="s">
        <v>74</v>
      </c>
      <c r="M429" s="1" t="s">
        <v>74</v>
      </c>
      <c r="N429" s="1" t="s">
        <v>74</v>
      </c>
      <c r="O429" s="1" t="s">
        <v>74</v>
      </c>
      <c r="P429" s="1" t="s">
        <v>74</v>
      </c>
      <c r="Q429" s="1" t="s">
        <v>74</v>
      </c>
      <c r="R429" s="1" t="s">
        <v>74</v>
      </c>
      <c r="S429" s="1" t="s">
        <v>74</v>
      </c>
      <c r="T429" s="1" t="s">
        <v>74</v>
      </c>
      <c r="U429" s="1" t="s">
        <v>74</v>
      </c>
      <c r="V429" s="1" t="s">
        <v>4327</v>
      </c>
      <c r="W429" s="1" t="s">
        <v>74</v>
      </c>
      <c r="X429" s="1" t="s">
        <v>74</v>
      </c>
      <c r="Y429" s="1" t="s">
        <v>74</v>
      </c>
      <c r="Z429" s="1" t="s">
        <v>74</v>
      </c>
      <c r="AA429" s="1" t="s">
        <v>666</v>
      </c>
      <c r="AB429" s="1" t="s">
        <v>74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4328</v>
      </c>
      <c r="AP429" s="1" t="s">
        <v>4329</v>
      </c>
      <c r="AQ429" s="1" t="s">
        <v>74</v>
      </c>
      <c r="AR429" s="1" t="s">
        <v>74</v>
      </c>
      <c r="AS429" s="1" t="s">
        <v>74</v>
      </c>
      <c r="AT429" s="1" t="s">
        <v>4330</v>
      </c>
      <c r="AU429" s="1">
        <v>2016.0</v>
      </c>
      <c r="AV429" s="1">
        <v>116.0</v>
      </c>
      <c r="AW429" s="1">
        <v>23.0</v>
      </c>
      <c r="AX429" s="1" t="s">
        <v>74</v>
      </c>
      <c r="AY429" s="1" t="s">
        <v>74</v>
      </c>
      <c r="AZ429" s="1" t="s">
        <v>74</v>
      </c>
      <c r="BA429" s="1" t="s">
        <v>74</v>
      </c>
      <c r="BB429" s="1" t="s">
        <v>74</v>
      </c>
      <c r="BC429" s="1" t="s">
        <v>74</v>
      </c>
      <c r="BD429" s="1">
        <v>238301.0</v>
      </c>
      <c r="BE429" s="1" t="s">
        <v>4331</v>
      </c>
      <c r="BF429" s="2" t="str">
        <f>HYPERLINK("http://dx.doi.org/10.1103/PhysRevLett.116.238301","http://dx.doi.org/10.1103/PhysRevLett.116.238301")</f>
        <v>http://dx.doi.org/10.1103/PhysRevLett.116.238301</v>
      </c>
      <c r="BG429" s="1" t="s">
        <v>74</v>
      </c>
      <c r="BH429" s="1" t="s">
        <v>74</v>
      </c>
      <c r="BI429" s="1" t="s">
        <v>74</v>
      </c>
      <c r="BJ429" s="1" t="s">
        <v>74</v>
      </c>
      <c r="BK429" s="1" t="s">
        <v>74</v>
      </c>
      <c r="BL429" s="1" t="s">
        <v>74</v>
      </c>
      <c r="BM429" s="1" t="s">
        <v>74</v>
      </c>
      <c r="BN429" s="1">
        <v>2.7341263E7</v>
      </c>
      <c r="BO429" s="1" t="s">
        <v>74</v>
      </c>
      <c r="BP429" s="1" t="s">
        <v>74</v>
      </c>
      <c r="BQ429" s="1" t="s">
        <v>74</v>
      </c>
      <c r="BR429" s="1" t="s">
        <v>74</v>
      </c>
      <c r="BS429" s="1" t="s">
        <v>4332</v>
      </c>
      <c r="BT429" s="1" t="str">
        <f>HYPERLINK("https%3A%2F%2Fwww.webofscience.com%2Fwos%2Fwoscc%2Ffull-record%2FWOS:000377338900019","View Full Record in Web of Science")</f>
        <v>View Full Record in Web of Science</v>
      </c>
    </row>
    <row r="430" ht="12.75" customHeight="1">
      <c r="A430" s="1" t="s">
        <v>72</v>
      </c>
      <c r="B430" s="1" t="s">
        <v>4333</v>
      </c>
      <c r="C430" s="1" t="s">
        <v>74</v>
      </c>
      <c r="D430" s="1" t="s">
        <v>74</v>
      </c>
      <c r="E430" s="1" t="s">
        <v>74</v>
      </c>
      <c r="F430" s="1" t="s">
        <v>4334</v>
      </c>
      <c r="G430" s="1" t="s">
        <v>74</v>
      </c>
      <c r="H430" s="1" t="s">
        <v>74</v>
      </c>
      <c r="I430" s="1" t="s">
        <v>4335</v>
      </c>
      <c r="J430" s="1" t="s">
        <v>4336</v>
      </c>
      <c r="K430" s="1" t="s">
        <v>74</v>
      </c>
      <c r="L430" s="1" t="s">
        <v>74</v>
      </c>
      <c r="M430" s="1" t="s">
        <v>74</v>
      </c>
      <c r="N430" s="1" t="s">
        <v>74</v>
      </c>
      <c r="O430" s="1" t="s">
        <v>74</v>
      </c>
      <c r="P430" s="1" t="s">
        <v>74</v>
      </c>
      <c r="Q430" s="1" t="s">
        <v>74</v>
      </c>
      <c r="R430" s="1" t="s">
        <v>74</v>
      </c>
      <c r="S430" s="1" t="s">
        <v>74</v>
      </c>
      <c r="T430" s="1" t="s">
        <v>74</v>
      </c>
      <c r="U430" s="1" t="s">
        <v>74</v>
      </c>
      <c r="V430" s="1" t="s">
        <v>4337</v>
      </c>
      <c r="W430" s="1" t="s">
        <v>74</v>
      </c>
      <c r="X430" s="1" t="s">
        <v>74</v>
      </c>
      <c r="Y430" s="1" t="s">
        <v>74</v>
      </c>
      <c r="Z430" s="1" t="s">
        <v>74</v>
      </c>
      <c r="AA430" s="1" t="s">
        <v>1986</v>
      </c>
      <c r="AB430" s="1" t="s">
        <v>3337</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4338</v>
      </c>
      <c r="AP430" s="1" t="s">
        <v>4339</v>
      </c>
      <c r="AQ430" s="1" t="s">
        <v>74</v>
      </c>
      <c r="AR430" s="1" t="s">
        <v>74</v>
      </c>
      <c r="AS430" s="1" t="s">
        <v>74</v>
      </c>
      <c r="AT430" s="1" t="s">
        <v>232</v>
      </c>
      <c r="AU430" s="1">
        <v>2014.0</v>
      </c>
      <c r="AV430" s="1">
        <v>40.0</v>
      </c>
      <c r="AW430" s="1">
        <v>8.0</v>
      </c>
      <c r="AX430" s="1" t="s">
        <v>74</v>
      </c>
      <c r="AY430" s="1" t="s">
        <v>74</v>
      </c>
      <c r="AZ430" s="1" t="s">
        <v>74</v>
      </c>
      <c r="BA430" s="1" t="s">
        <v>74</v>
      </c>
      <c r="BB430" s="1">
        <v>3264.0</v>
      </c>
      <c r="BC430" s="1">
        <v>3272.0</v>
      </c>
      <c r="BD430" s="1" t="s">
        <v>74</v>
      </c>
      <c r="BE430" s="1" t="s">
        <v>4340</v>
      </c>
      <c r="BF430" s="2" t="str">
        <f>HYPERLINK("http://dx.doi.org/10.1111/ejn.12685","http://dx.doi.org/10.1111/ejn.12685")</f>
        <v>http://dx.doi.org/10.1111/ejn.12685</v>
      </c>
      <c r="BG430" s="1" t="s">
        <v>74</v>
      </c>
      <c r="BH430" s="1" t="s">
        <v>74</v>
      </c>
      <c r="BI430" s="1" t="s">
        <v>74</v>
      </c>
      <c r="BJ430" s="1" t="s">
        <v>74</v>
      </c>
      <c r="BK430" s="1" t="s">
        <v>74</v>
      </c>
      <c r="BL430" s="1" t="s">
        <v>74</v>
      </c>
      <c r="BM430" s="1" t="s">
        <v>74</v>
      </c>
      <c r="BN430" s="1">
        <v>2.5145673E7</v>
      </c>
      <c r="BO430" s="1" t="s">
        <v>74</v>
      </c>
      <c r="BP430" s="1" t="s">
        <v>74</v>
      </c>
      <c r="BQ430" s="1" t="s">
        <v>74</v>
      </c>
      <c r="BR430" s="1" t="s">
        <v>74</v>
      </c>
      <c r="BS430" s="1" t="s">
        <v>4341</v>
      </c>
      <c r="BT430" s="1" t="str">
        <f>HYPERLINK("https%3A%2F%2Fwww.webofscience.com%2Fwos%2Fwoscc%2Ffull-record%2FWOS:000344052500013","View Full Record in Web of Science")</f>
        <v>View Full Record in Web of Science</v>
      </c>
    </row>
    <row r="431" ht="12.75" customHeight="1">
      <c r="A431" s="1" t="s">
        <v>72</v>
      </c>
      <c r="B431" s="1" t="s">
        <v>4342</v>
      </c>
      <c r="C431" s="1" t="s">
        <v>74</v>
      </c>
      <c r="D431" s="1" t="s">
        <v>74</v>
      </c>
      <c r="E431" s="1" t="s">
        <v>74</v>
      </c>
      <c r="F431" s="1" t="s">
        <v>4343</v>
      </c>
      <c r="G431" s="1" t="s">
        <v>74</v>
      </c>
      <c r="H431" s="1" t="s">
        <v>74</v>
      </c>
      <c r="I431" s="1" t="s">
        <v>4344</v>
      </c>
      <c r="J431" s="1" t="s">
        <v>4345</v>
      </c>
      <c r="K431" s="1" t="s">
        <v>74</v>
      </c>
      <c r="L431" s="1" t="s">
        <v>74</v>
      </c>
      <c r="M431" s="1" t="s">
        <v>74</v>
      </c>
      <c r="N431" s="1" t="s">
        <v>74</v>
      </c>
      <c r="O431" s="1" t="s">
        <v>74</v>
      </c>
      <c r="P431" s="1" t="s">
        <v>74</v>
      </c>
      <c r="Q431" s="1" t="s">
        <v>74</v>
      </c>
      <c r="R431" s="1" t="s">
        <v>74</v>
      </c>
      <c r="S431" s="1" t="s">
        <v>74</v>
      </c>
      <c r="T431" s="1" t="s">
        <v>74</v>
      </c>
      <c r="U431" s="1" t="s">
        <v>74</v>
      </c>
      <c r="V431" s="1" t="s">
        <v>4346</v>
      </c>
      <c r="W431" s="1" t="s">
        <v>74</v>
      </c>
      <c r="X431" s="1" t="s">
        <v>74</v>
      </c>
      <c r="Y431" s="1" t="s">
        <v>74</v>
      </c>
      <c r="Z431" s="1" t="s">
        <v>74</v>
      </c>
      <c r="AA431" s="1" t="s">
        <v>74</v>
      </c>
      <c r="AB431" s="1" t="s">
        <v>4347</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4348</v>
      </c>
      <c r="AP431" s="1" t="s">
        <v>4349</v>
      </c>
      <c r="AQ431" s="1" t="s">
        <v>74</v>
      </c>
      <c r="AR431" s="1" t="s">
        <v>74</v>
      </c>
      <c r="AS431" s="1" t="s">
        <v>74</v>
      </c>
      <c r="AT431" s="1" t="s">
        <v>164</v>
      </c>
      <c r="AU431" s="1">
        <v>2014.0</v>
      </c>
      <c r="AV431" s="1">
        <v>53.0</v>
      </c>
      <c r="AW431" s="1">
        <v>7.0</v>
      </c>
      <c r="AX431" s="1" t="s">
        <v>74</v>
      </c>
      <c r="AY431" s="1" t="s">
        <v>74</v>
      </c>
      <c r="AZ431" s="1" t="s">
        <v>74</v>
      </c>
      <c r="BA431" s="1" t="s">
        <v>74</v>
      </c>
      <c r="BB431" s="1" t="s">
        <v>74</v>
      </c>
      <c r="BC431" s="1" t="s">
        <v>74</v>
      </c>
      <c r="BD431" s="1">
        <v>73108.0</v>
      </c>
      <c r="BE431" s="1" t="s">
        <v>4350</v>
      </c>
      <c r="BF431" s="2" t="str">
        <f>HYPERLINK("http://dx.doi.org/10.1117/1.OE.53.7.073108","http://dx.doi.org/10.1117/1.OE.53.7.073108")</f>
        <v>http://dx.doi.org/10.1117/1.OE.53.7.073108</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4351</v>
      </c>
      <c r="BT431" s="1" t="str">
        <f>HYPERLINK("https%3A%2F%2Fwww.webofscience.com%2Fwos%2Fwoscc%2Ffull-record%2FWOS:000341183900026","View Full Record in Web of Science")</f>
        <v>View Full Record in Web of Science</v>
      </c>
    </row>
    <row r="432" ht="12.75" customHeight="1">
      <c r="A432" s="1" t="s">
        <v>72</v>
      </c>
      <c r="B432" s="1" t="s">
        <v>4352</v>
      </c>
      <c r="C432" s="1" t="s">
        <v>74</v>
      </c>
      <c r="D432" s="1" t="s">
        <v>74</v>
      </c>
      <c r="E432" s="1" t="s">
        <v>74</v>
      </c>
      <c r="F432" s="1" t="s">
        <v>4353</v>
      </c>
      <c r="G432" s="1" t="s">
        <v>74</v>
      </c>
      <c r="H432" s="1" t="s">
        <v>74</v>
      </c>
      <c r="I432" s="1" t="s">
        <v>4354</v>
      </c>
      <c r="J432" s="1" t="s">
        <v>4355</v>
      </c>
      <c r="K432" s="1" t="s">
        <v>74</v>
      </c>
      <c r="L432" s="1" t="s">
        <v>74</v>
      </c>
      <c r="M432" s="1" t="s">
        <v>74</v>
      </c>
      <c r="N432" s="1" t="s">
        <v>74</v>
      </c>
      <c r="O432" s="1" t="s">
        <v>74</v>
      </c>
      <c r="P432" s="1" t="s">
        <v>74</v>
      </c>
      <c r="Q432" s="1" t="s">
        <v>74</v>
      </c>
      <c r="R432" s="1" t="s">
        <v>74</v>
      </c>
      <c r="S432" s="1" t="s">
        <v>74</v>
      </c>
      <c r="T432" s="1" t="s">
        <v>74</v>
      </c>
      <c r="U432" s="1" t="s">
        <v>74</v>
      </c>
      <c r="V432" s="1" t="s">
        <v>74</v>
      </c>
      <c r="W432" s="1" t="s">
        <v>74</v>
      </c>
      <c r="X432" s="1" t="s">
        <v>74</v>
      </c>
      <c r="Y432" s="1" t="s">
        <v>74</v>
      </c>
      <c r="Z432" s="1" t="s">
        <v>74</v>
      </c>
      <c r="AA432" s="1" t="s">
        <v>74</v>
      </c>
      <c r="AB432" s="1" t="s">
        <v>74</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4356</v>
      </c>
      <c r="AP432" s="1" t="s">
        <v>74</v>
      </c>
      <c r="AQ432" s="1" t="s">
        <v>74</v>
      </c>
      <c r="AR432" s="1" t="s">
        <v>74</v>
      </c>
      <c r="AS432" s="1" t="s">
        <v>74</v>
      </c>
      <c r="AT432" s="1" t="s">
        <v>4357</v>
      </c>
      <c r="AU432" s="1">
        <v>2014.0</v>
      </c>
      <c r="AV432" s="1">
        <v>2.0</v>
      </c>
      <c r="AW432" s="1">
        <v>2.0</v>
      </c>
      <c r="AX432" s="1" t="s">
        <v>74</v>
      </c>
      <c r="AY432" s="1" t="s">
        <v>74</v>
      </c>
      <c r="AZ432" s="1" t="s">
        <v>74</v>
      </c>
      <c r="BA432" s="1" t="s">
        <v>74</v>
      </c>
      <c r="BB432" s="1">
        <v>131.0</v>
      </c>
      <c r="BC432" s="1">
        <v>158.0</v>
      </c>
      <c r="BD432" s="1" t="s">
        <v>74</v>
      </c>
      <c r="BE432" s="1" t="s">
        <v>74</v>
      </c>
      <c r="BF432" s="1" t="s">
        <v>74</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4358</v>
      </c>
      <c r="BT432" s="1" t="str">
        <f>HYPERLINK("https%3A%2F%2Fwww.webofscience.com%2Fwos%2Fwoscc%2Ffull-record%2FWOS:000356465200004","View Full Record in Web of Science")</f>
        <v>View Full Record in Web of Science</v>
      </c>
    </row>
    <row r="433" ht="12.75" customHeight="1">
      <c r="A433" s="1" t="s">
        <v>72</v>
      </c>
      <c r="B433" s="1" t="s">
        <v>4359</v>
      </c>
      <c r="C433" s="1" t="s">
        <v>74</v>
      </c>
      <c r="D433" s="1" t="s">
        <v>74</v>
      </c>
      <c r="E433" s="1" t="s">
        <v>74</v>
      </c>
      <c r="F433" s="1" t="s">
        <v>4360</v>
      </c>
      <c r="G433" s="1" t="s">
        <v>74</v>
      </c>
      <c r="H433" s="1" t="s">
        <v>74</v>
      </c>
      <c r="I433" s="1" t="s">
        <v>4361</v>
      </c>
      <c r="J433" s="1" t="s">
        <v>510</v>
      </c>
      <c r="K433" s="1" t="s">
        <v>74</v>
      </c>
      <c r="L433" s="1" t="s">
        <v>74</v>
      </c>
      <c r="M433" s="1" t="s">
        <v>74</v>
      </c>
      <c r="N433" s="1" t="s">
        <v>74</v>
      </c>
      <c r="O433" s="1" t="s">
        <v>74</v>
      </c>
      <c r="P433" s="1" t="s">
        <v>74</v>
      </c>
      <c r="Q433" s="1" t="s">
        <v>74</v>
      </c>
      <c r="R433" s="1" t="s">
        <v>74</v>
      </c>
      <c r="S433" s="1" t="s">
        <v>74</v>
      </c>
      <c r="T433" s="1" t="s">
        <v>74</v>
      </c>
      <c r="U433" s="1" t="s">
        <v>74</v>
      </c>
      <c r="V433" s="1" t="s">
        <v>4362</v>
      </c>
      <c r="W433" s="1" t="s">
        <v>74</v>
      </c>
      <c r="X433" s="1" t="s">
        <v>74</v>
      </c>
      <c r="Y433" s="1" t="s">
        <v>74</v>
      </c>
      <c r="Z433" s="1" t="s">
        <v>74</v>
      </c>
      <c r="AA433" s="1" t="s">
        <v>4363</v>
      </c>
      <c r="AB433" s="1" t="s">
        <v>4364</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514</v>
      </c>
      <c r="AP433" s="1" t="s">
        <v>74</v>
      </c>
      <c r="AQ433" s="1" t="s">
        <v>74</v>
      </c>
      <c r="AR433" s="1" t="s">
        <v>74</v>
      </c>
      <c r="AS433" s="1" t="s">
        <v>74</v>
      </c>
      <c r="AT433" s="1" t="s">
        <v>4365</v>
      </c>
      <c r="AU433" s="1">
        <v>2014.0</v>
      </c>
      <c r="AV433" s="1">
        <v>9.0</v>
      </c>
      <c r="AW433" s="1">
        <v>1.0</v>
      </c>
      <c r="AX433" s="1" t="s">
        <v>74</v>
      </c>
      <c r="AY433" s="1" t="s">
        <v>74</v>
      </c>
      <c r="AZ433" s="1" t="s">
        <v>74</v>
      </c>
      <c r="BA433" s="1" t="s">
        <v>74</v>
      </c>
      <c r="BB433" s="1" t="s">
        <v>74</v>
      </c>
      <c r="BC433" s="1" t="s">
        <v>74</v>
      </c>
      <c r="BD433" s="1" t="s">
        <v>4366</v>
      </c>
      <c r="BE433" s="1" t="s">
        <v>4367</v>
      </c>
      <c r="BF433" s="2" t="str">
        <f>HYPERLINK("http://dx.doi.org/10.1371/journal.pone.0086533","http://dx.doi.org/10.1371/journal.pone.0086533")</f>
        <v>http://dx.doi.org/10.1371/journal.pone.0086533</v>
      </c>
      <c r="BG433" s="1" t="s">
        <v>74</v>
      </c>
      <c r="BH433" s="1" t="s">
        <v>74</v>
      </c>
      <c r="BI433" s="1" t="s">
        <v>74</v>
      </c>
      <c r="BJ433" s="1" t="s">
        <v>74</v>
      </c>
      <c r="BK433" s="1" t="s">
        <v>74</v>
      </c>
      <c r="BL433" s="1" t="s">
        <v>74</v>
      </c>
      <c r="BM433" s="1" t="s">
        <v>74</v>
      </c>
      <c r="BN433" s="1">
        <v>2.4466135E7</v>
      </c>
      <c r="BO433" s="1" t="s">
        <v>74</v>
      </c>
      <c r="BP433" s="1" t="s">
        <v>74</v>
      </c>
      <c r="BQ433" s="1" t="s">
        <v>74</v>
      </c>
      <c r="BR433" s="1" t="s">
        <v>74</v>
      </c>
      <c r="BS433" s="1" t="s">
        <v>4368</v>
      </c>
      <c r="BT433" s="1" t="str">
        <f>HYPERLINK("https%3A%2F%2Fwww.webofscience.com%2Fwos%2Fwoscc%2Ffull-record%2FWOS:000330244500253","View Full Record in Web of Science")</f>
        <v>View Full Record in Web of Science</v>
      </c>
    </row>
    <row r="434" ht="12.75" customHeight="1">
      <c r="A434" s="1" t="s">
        <v>72</v>
      </c>
      <c r="B434" s="1" t="s">
        <v>4369</v>
      </c>
      <c r="C434" s="1" t="s">
        <v>74</v>
      </c>
      <c r="D434" s="1" t="s">
        <v>74</v>
      </c>
      <c r="E434" s="1" t="s">
        <v>74</v>
      </c>
      <c r="F434" s="1" t="s">
        <v>4370</v>
      </c>
      <c r="G434" s="1" t="s">
        <v>74</v>
      </c>
      <c r="H434" s="1" t="s">
        <v>74</v>
      </c>
      <c r="I434" s="1" t="s">
        <v>4371</v>
      </c>
      <c r="J434" s="1" t="s">
        <v>315</v>
      </c>
      <c r="K434" s="1" t="s">
        <v>74</v>
      </c>
      <c r="L434" s="1" t="s">
        <v>74</v>
      </c>
      <c r="M434" s="1" t="s">
        <v>74</v>
      </c>
      <c r="N434" s="1" t="s">
        <v>74</v>
      </c>
      <c r="O434" s="1" t="s">
        <v>74</v>
      </c>
      <c r="P434" s="1" t="s">
        <v>74</v>
      </c>
      <c r="Q434" s="1" t="s">
        <v>74</v>
      </c>
      <c r="R434" s="1" t="s">
        <v>74</v>
      </c>
      <c r="S434" s="1" t="s">
        <v>74</v>
      </c>
      <c r="T434" s="1" t="s">
        <v>74</v>
      </c>
      <c r="U434" s="1" t="s">
        <v>74</v>
      </c>
      <c r="V434" s="1" t="s">
        <v>4372</v>
      </c>
      <c r="W434" s="1" t="s">
        <v>74</v>
      </c>
      <c r="X434" s="1" t="s">
        <v>74</v>
      </c>
      <c r="Y434" s="1" t="s">
        <v>74</v>
      </c>
      <c r="Z434" s="1" t="s">
        <v>74</v>
      </c>
      <c r="AA434" s="1" t="s">
        <v>4373</v>
      </c>
      <c r="AB434" s="1" t="s">
        <v>4374</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319</v>
      </c>
      <c r="AP434" s="1" t="s">
        <v>74</v>
      </c>
      <c r="AQ434" s="1" t="s">
        <v>74</v>
      </c>
      <c r="AR434" s="1" t="s">
        <v>74</v>
      </c>
      <c r="AS434" s="1" t="s">
        <v>74</v>
      </c>
      <c r="AT434" s="1" t="s">
        <v>4375</v>
      </c>
      <c r="AU434" s="1">
        <v>2013.0</v>
      </c>
      <c r="AV434" s="1">
        <v>29.0</v>
      </c>
      <c r="AW434" s="1">
        <v>37.0</v>
      </c>
      <c r="AX434" s="1" t="s">
        <v>74</v>
      </c>
      <c r="AY434" s="1" t="s">
        <v>74</v>
      </c>
      <c r="AZ434" s="1" t="s">
        <v>74</v>
      </c>
      <c r="BA434" s="1" t="s">
        <v>74</v>
      </c>
      <c r="BB434" s="1">
        <v>11751.0</v>
      </c>
      <c r="BC434" s="1">
        <v>11757.0</v>
      </c>
      <c r="BD434" s="1" t="s">
        <v>74</v>
      </c>
      <c r="BE434" s="1" t="s">
        <v>4376</v>
      </c>
      <c r="BF434" s="2" t="str">
        <f>HYPERLINK("http://dx.doi.org/10.1021/la4020064","http://dx.doi.org/10.1021/la4020064")</f>
        <v>http://dx.doi.org/10.1021/la4020064</v>
      </c>
      <c r="BG434" s="1" t="s">
        <v>74</v>
      </c>
      <c r="BH434" s="1" t="s">
        <v>74</v>
      </c>
      <c r="BI434" s="1" t="s">
        <v>74</v>
      </c>
      <c r="BJ434" s="1" t="s">
        <v>74</v>
      </c>
      <c r="BK434" s="1" t="s">
        <v>74</v>
      </c>
      <c r="BL434" s="1" t="s">
        <v>74</v>
      </c>
      <c r="BM434" s="1" t="s">
        <v>74</v>
      </c>
      <c r="BN434" s="1">
        <v>2.3957531E7</v>
      </c>
      <c r="BO434" s="1" t="s">
        <v>74</v>
      </c>
      <c r="BP434" s="1" t="s">
        <v>74</v>
      </c>
      <c r="BQ434" s="1" t="s">
        <v>74</v>
      </c>
      <c r="BR434" s="1" t="s">
        <v>74</v>
      </c>
      <c r="BS434" s="1" t="s">
        <v>4377</v>
      </c>
      <c r="BT434" s="1" t="str">
        <f>HYPERLINK("https%3A%2F%2Fwww.webofscience.com%2Fwos%2Fwoscc%2Ffull-record%2FWOS:000330148200025","View Full Record in Web of Science")</f>
        <v>View Full Record in Web of Science</v>
      </c>
    </row>
    <row r="435" ht="12.75" customHeight="1">
      <c r="A435" s="1" t="s">
        <v>72</v>
      </c>
      <c r="B435" s="1" t="s">
        <v>4378</v>
      </c>
      <c r="C435" s="1" t="s">
        <v>74</v>
      </c>
      <c r="D435" s="1" t="s">
        <v>74</v>
      </c>
      <c r="E435" s="1" t="s">
        <v>74</v>
      </c>
      <c r="F435" s="1" t="s">
        <v>4379</v>
      </c>
      <c r="G435" s="1" t="s">
        <v>74</v>
      </c>
      <c r="H435" s="1" t="s">
        <v>74</v>
      </c>
      <c r="I435" s="1" t="s">
        <v>4380</v>
      </c>
      <c r="J435" s="1" t="s">
        <v>4381</v>
      </c>
      <c r="K435" s="1" t="s">
        <v>74</v>
      </c>
      <c r="L435" s="1" t="s">
        <v>74</v>
      </c>
      <c r="M435" s="1" t="s">
        <v>74</v>
      </c>
      <c r="N435" s="1" t="s">
        <v>74</v>
      </c>
      <c r="O435" s="1" t="s">
        <v>74</v>
      </c>
      <c r="P435" s="1" t="s">
        <v>74</v>
      </c>
      <c r="Q435" s="1" t="s">
        <v>74</v>
      </c>
      <c r="R435" s="1" t="s">
        <v>74</v>
      </c>
      <c r="S435" s="1" t="s">
        <v>74</v>
      </c>
      <c r="T435" s="1" t="s">
        <v>74</v>
      </c>
      <c r="U435" s="1" t="s">
        <v>74</v>
      </c>
      <c r="V435" s="1" t="s">
        <v>4382</v>
      </c>
      <c r="W435" s="1" t="s">
        <v>74</v>
      </c>
      <c r="X435" s="1" t="s">
        <v>74</v>
      </c>
      <c r="Y435" s="1" t="s">
        <v>74</v>
      </c>
      <c r="Z435" s="1" t="s">
        <v>74</v>
      </c>
      <c r="AA435" s="1" t="s">
        <v>4383</v>
      </c>
      <c r="AB435" s="1" t="s">
        <v>4384</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4385</v>
      </c>
      <c r="AP435" s="1" t="s">
        <v>4386</v>
      </c>
      <c r="AQ435" s="1" t="s">
        <v>74</v>
      </c>
      <c r="AR435" s="1" t="s">
        <v>74</v>
      </c>
      <c r="AS435" s="1" t="s">
        <v>74</v>
      </c>
      <c r="AT435" s="1" t="s">
        <v>2625</v>
      </c>
      <c r="AU435" s="1">
        <v>2013.0</v>
      </c>
      <c r="AV435" s="1">
        <v>120.0</v>
      </c>
      <c r="AW435" s="1" t="s">
        <v>74</v>
      </c>
      <c r="AX435" s="1" t="s">
        <v>74</v>
      </c>
      <c r="AY435" s="1" t="s">
        <v>74</v>
      </c>
      <c r="AZ435" s="1" t="s">
        <v>74</v>
      </c>
      <c r="BA435" s="1" t="s">
        <v>74</v>
      </c>
      <c r="BB435" s="1">
        <v>24.0</v>
      </c>
      <c r="BC435" s="1">
        <v>32.0</v>
      </c>
      <c r="BD435" s="1" t="s">
        <v>74</v>
      </c>
      <c r="BE435" s="1" t="s">
        <v>4387</v>
      </c>
      <c r="BF435" s="2" t="str">
        <f>HYPERLINK("http://dx.doi.org/10.1016/j.compstruc.2013.01.013","http://dx.doi.org/10.1016/j.compstruc.2013.01.013")</f>
        <v>http://dx.doi.org/10.1016/j.compstruc.2013.01.013</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4388</v>
      </c>
      <c r="BT435" s="1" t="str">
        <f>HYPERLINK("https%3A%2F%2Fwww.webofscience.com%2Fwos%2Fwoscc%2Ffull-record%2FWOS:000317888700003","View Full Record in Web of Science")</f>
        <v>View Full Record in Web of Science</v>
      </c>
    </row>
    <row r="436" ht="12.75" customHeight="1">
      <c r="A436" s="1" t="s">
        <v>72</v>
      </c>
      <c r="B436" s="1" t="s">
        <v>4389</v>
      </c>
      <c r="C436" s="1" t="s">
        <v>74</v>
      </c>
      <c r="D436" s="1" t="s">
        <v>74</v>
      </c>
      <c r="E436" s="1" t="s">
        <v>74</v>
      </c>
      <c r="F436" s="1" t="s">
        <v>4390</v>
      </c>
      <c r="G436" s="1" t="s">
        <v>74</v>
      </c>
      <c r="H436" s="1" t="s">
        <v>74</v>
      </c>
      <c r="I436" s="1" t="s">
        <v>4391</v>
      </c>
      <c r="J436" s="1" t="s">
        <v>4392</v>
      </c>
      <c r="K436" s="1" t="s">
        <v>74</v>
      </c>
      <c r="L436" s="1" t="s">
        <v>74</v>
      </c>
      <c r="M436" s="1" t="s">
        <v>74</v>
      </c>
      <c r="N436" s="1" t="s">
        <v>74</v>
      </c>
      <c r="O436" s="1" t="s">
        <v>74</v>
      </c>
      <c r="P436" s="1" t="s">
        <v>74</v>
      </c>
      <c r="Q436" s="1" t="s">
        <v>74</v>
      </c>
      <c r="R436" s="1" t="s">
        <v>74</v>
      </c>
      <c r="S436" s="1" t="s">
        <v>74</v>
      </c>
      <c r="T436" s="1" t="s">
        <v>74</v>
      </c>
      <c r="U436" s="1" t="s">
        <v>74</v>
      </c>
      <c r="V436" s="1" t="s">
        <v>4393</v>
      </c>
      <c r="W436" s="1" t="s">
        <v>74</v>
      </c>
      <c r="X436" s="1" t="s">
        <v>74</v>
      </c>
      <c r="Y436" s="1" t="s">
        <v>74</v>
      </c>
      <c r="Z436" s="1" t="s">
        <v>74</v>
      </c>
      <c r="AA436" s="1" t="s">
        <v>4394</v>
      </c>
      <c r="AB436" s="1" t="s">
        <v>4395</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4396</v>
      </c>
      <c r="AP436" s="1" t="s">
        <v>4397</v>
      </c>
      <c r="AQ436" s="1" t="s">
        <v>74</v>
      </c>
      <c r="AR436" s="1" t="s">
        <v>74</v>
      </c>
      <c r="AS436" s="1" t="s">
        <v>74</v>
      </c>
      <c r="AT436" s="1" t="s">
        <v>496</v>
      </c>
      <c r="AU436" s="1">
        <v>2013.0</v>
      </c>
      <c r="AV436" s="1">
        <v>78.0</v>
      </c>
      <c r="AW436" s="1">
        <v>1.0</v>
      </c>
      <c r="AX436" s="1" t="s">
        <v>74</v>
      </c>
      <c r="AY436" s="1" t="s">
        <v>74</v>
      </c>
      <c r="AZ436" s="1" t="s">
        <v>74</v>
      </c>
      <c r="BA436" s="1" t="s">
        <v>74</v>
      </c>
      <c r="BB436" s="1">
        <v>116.0</v>
      </c>
      <c r="BC436" s="1">
        <v>133.0</v>
      </c>
      <c r="BD436" s="1" t="s">
        <v>74</v>
      </c>
      <c r="BE436" s="1" t="s">
        <v>4398</v>
      </c>
      <c r="BF436" s="2" t="str">
        <f>HYPERLINK("http://dx.doi.org/10.1007/s11336-012-9293-1","http://dx.doi.org/10.1007/s11336-012-9293-1")</f>
        <v>http://dx.doi.org/10.1007/s11336-012-9293-1</v>
      </c>
      <c r="BG436" s="1" t="s">
        <v>74</v>
      </c>
      <c r="BH436" s="1" t="s">
        <v>74</v>
      </c>
      <c r="BI436" s="1" t="s">
        <v>74</v>
      </c>
      <c r="BJ436" s="1" t="s">
        <v>74</v>
      </c>
      <c r="BK436" s="1" t="s">
        <v>74</v>
      </c>
      <c r="BL436" s="1" t="s">
        <v>74</v>
      </c>
      <c r="BM436" s="1" t="s">
        <v>74</v>
      </c>
      <c r="BN436" s="1">
        <v>2.5107521E7</v>
      </c>
      <c r="BO436" s="1" t="s">
        <v>74</v>
      </c>
      <c r="BP436" s="1" t="s">
        <v>74</v>
      </c>
      <c r="BQ436" s="1" t="s">
        <v>74</v>
      </c>
      <c r="BR436" s="1" t="s">
        <v>74</v>
      </c>
      <c r="BS436" s="1" t="s">
        <v>4399</v>
      </c>
      <c r="BT436" s="1" t="str">
        <f>HYPERLINK("https%3A%2F%2Fwww.webofscience.com%2Fwos%2Fwoscc%2Ffull-record%2FWOS:000313455200007","View Full Record in Web of Science")</f>
        <v>View Full Record in Web of Science</v>
      </c>
    </row>
    <row r="437" ht="12.75" customHeight="1">
      <c r="A437" s="1" t="s">
        <v>72</v>
      </c>
      <c r="B437" s="1" t="s">
        <v>4400</v>
      </c>
      <c r="C437" s="1" t="s">
        <v>74</v>
      </c>
      <c r="D437" s="1" t="s">
        <v>74</v>
      </c>
      <c r="E437" s="1" t="s">
        <v>74</v>
      </c>
      <c r="F437" s="1" t="s">
        <v>4401</v>
      </c>
      <c r="G437" s="1" t="s">
        <v>74</v>
      </c>
      <c r="H437" s="1" t="s">
        <v>74</v>
      </c>
      <c r="I437" s="1" t="s">
        <v>4402</v>
      </c>
      <c r="J437" s="1" t="s">
        <v>4403</v>
      </c>
      <c r="K437" s="1" t="s">
        <v>74</v>
      </c>
      <c r="L437" s="1" t="s">
        <v>74</v>
      </c>
      <c r="M437" s="1" t="s">
        <v>74</v>
      </c>
      <c r="N437" s="1" t="s">
        <v>74</v>
      </c>
      <c r="O437" s="1" t="s">
        <v>74</v>
      </c>
      <c r="P437" s="1" t="s">
        <v>74</v>
      </c>
      <c r="Q437" s="1" t="s">
        <v>74</v>
      </c>
      <c r="R437" s="1" t="s">
        <v>74</v>
      </c>
      <c r="S437" s="1" t="s">
        <v>74</v>
      </c>
      <c r="T437" s="1" t="s">
        <v>74</v>
      </c>
      <c r="U437" s="1" t="s">
        <v>74</v>
      </c>
      <c r="V437" s="1" t="s">
        <v>4404</v>
      </c>
      <c r="W437" s="1" t="s">
        <v>74</v>
      </c>
      <c r="X437" s="1" t="s">
        <v>74</v>
      </c>
      <c r="Y437" s="1" t="s">
        <v>74</v>
      </c>
      <c r="Z437" s="1" t="s">
        <v>74</v>
      </c>
      <c r="AA437" s="1" t="s">
        <v>4405</v>
      </c>
      <c r="AB437" s="1" t="s">
        <v>4406</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4407</v>
      </c>
      <c r="AP437" s="1" t="s">
        <v>4408</v>
      </c>
      <c r="AQ437" s="1" t="s">
        <v>74</v>
      </c>
      <c r="AR437" s="1" t="s">
        <v>74</v>
      </c>
      <c r="AS437" s="1" t="s">
        <v>74</v>
      </c>
      <c r="AT437" s="1" t="s">
        <v>554</v>
      </c>
      <c r="AU437" s="1">
        <v>2011.0</v>
      </c>
      <c r="AV437" s="1">
        <v>30.0</v>
      </c>
      <c r="AW437" s="1">
        <v>5.0</v>
      </c>
      <c r="AX437" s="1" t="s">
        <v>74</v>
      </c>
      <c r="AY437" s="1" t="s">
        <v>74</v>
      </c>
      <c r="AZ437" s="1" t="s">
        <v>74</v>
      </c>
      <c r="BA437" s="1" t="s">
        <v>74</v>
      </c>
      <c r="BB437" s="1">
        <v>359.0</v>
      </c>
      <c r="BC437" s="1">
        <v>365.0</v>
      </c>
      <c r="BD437" s="1" t="s">
        <v>74</v>
      </c>
      <c r="BE437" s="1" t="s">
        <v>4409</v>
      </c>
      <c r="BF437" s="2" t="str">
        <f>HYPERLINK("http://dx.doi.org/10.1007/s10930-011-9341-1","http://dx.doi.org/10.1007/s10930-011-9341-1")</f>
        <v>http://dx.doi.org/10.1007/s10930-011-9341-1</v>
      </c>
      <c r="BG437" s="1" t="s">
        <v>74</v>
      </c>
      <c r="BH437" s="1" t="s">
        <v>74</v>
      </c>
      <c r="BI437" s="1" t="s">
        <v>74</v>
      </c>
      <c r="BJ437" s="1" t="s">
        <v>74</v>
      </c>
      <c r="BK437" s="1" t="s">
        <v>74</v>
      </c>
      <c r="BL437" s="1" t="s">
        <v>74</v>
      </c>
      <c r="BM437" s="1" t="s">
        <v>74</v>
      </c>
      <c r="BN437" s="1">
        <v>2.1728041E7</v>
      </c>
      <c r="BO437" s="1" t="s">
        <v>74</v>
      </c>
      <c r="BP437" s="1" t="s">
        <v>74</v>
      </c>
      <c r="BQ437" s="1" t="s">
        <v>74</v>
      </c>
      <c r="BR437" s="1" t="s">
        <v>74</v>
      </c>
      <c r="BS437" s="1" t="s">
        <v>4410</v>
      </c>
      <c r="BT437" s="1" t="str">
        <f>HYPERLINK("https%3A%2F%2Fwww.webofscience.com%2Fwos%2Fwoscc%2Ffull-record%2FWOS:000292559700008","View Full Record in Web of Science")</f>
        <v>View Full Record in Web of Science</v>
      </c>
    </row>
    <row r="438" ht="12.75" customHeight="1">
      <c r="A438" s="1" t="s">
        <v>72</v>
      </c>
      <c r="B438" s="1" t="s">
        <v>4411</v>
      </c>
      <c r="C438" s="1" t="s">
        <v>74</v>
      </c>
      <c r="D438" s="1" t="s">
        <v>74</v>
      </c>
      <c r="E438" s="1" t="s">
        <v>74</v>
      </c>
      <c r="F438" s="1" t="s">
        <v>4412</v>
      </c>
      <c r="G438" s="1" t="s">
        <v>74</v>
      </c>
      <c r="H438" s="1" t="s">
        <v>74</v>
      </c>
      <c r="I438" s="1" t="s">
        <v>4413</v>
      </c>
      <c r="J438" s="1" t="s">
        <v>4414</v>
      </c>
      <c r="K438" s="1" t="s">
        <v>74</v>
      </c>
      <c r="L438" s="1" t="s">
        <v>74</v>
      </c>
      <c r="M438" s="1" t="s">
        <v>74</v>
      </c>
      <c r="N438" s="1" t="s">
        <v>74</v>
      </c>
      <c r="O438" s="1" t="s">
        <v>74</v>
      </c>
      <c r="P438" s="1" t="s">
        <v>74</v>
      </c>
      <c r="Q438" s="1" t="s">
        <v>74</v>
      </c>
      <c r="R438" s="1" t="s">
        <v>74</v>
      </c>
      <c r="S438" s="1" t="s">
        <v>74</v>
      </c>
      <c r="T438" s="1" t="s">
        <v>74</v>
      </c>
      <c r="U438" s="1" t="s">
        <v>74</v>
      </c>
      <c r="V438" s="1" t="s">
        <v>4415</v>
      </c>
      <c r="W438" s="1" t="s">
        <v>74</v>
      </c>
      <c r="X438" s="1" t="s">
        <v>74</v>
      </c>
      <c r="Y438" s="1" t="s">
        <v>74</v>
      </c>
      <c r="Z438" s="1" t="s">
        <v>74</v>
      </c>
      <c r="AA438" s="1" t="s">
        <v>4416</v>
      </c>
      <c r="AB438" s="1" t="s">
        <v>341</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4417</v>
      </c>
      <c r="AP438" s="1" t="s">
        <v>4418</v>
      </c>
      <c r="AQ438" s="1" t="s">
        <v>74</v>
      </c>
      <c r="AR438" s="1" t="s">
        <v>74</v>
      </c>
      <c r="AS438" s="1" t="s">
        <v>74</v>
      </c>
      <c r="AT438" s="1" t="s">
        <v>83</v>
      </c>
      <c r="AU438" s="1">
        <v>2011.0</v>
      </c>
      <c r="AV438" s="1">
        <v>11.0</v>
      </c>
      <c r="AW438" s="1">
        <v>1.0</v>
      </c>
      <c r="AX438" s="1" t="s">
        <v>74</v>
      </c>
      <c r="AY438" s="1" t="s">
        <v>74</v>
      </c>
      <c r="AZ438" s="1" t="s">
        <v>74</v>
      </c>
      <c r="BA438" s="1" t="s">
        <v>74</v>
      </c>
      <c r="BB438" s="1">
        <v>57.0</v>
      </c>
      <c r="BC438" s="1">
        <v>70.0</v>
      </c>
      <c r="BD438" s="1" t="s">
        <v>74</v>
      </c>
      <c r="BE438" s="1" t="s">
        <v>4419</v>
      </c>
      <c r="BF438" s="2" t="str">
        <f>HYPERLINK("http://dx.doi.org/10.1007/s00028-010-0081-z","http://dx.doi.org/10.1007/s00028-010-0081-z")</f>
        <v>http://dx.doi.org/10.1007/s00028-010-0081-z</v>
      </c>
      <c r="BG438" s="1" t="s">
        <v>74</v>
      </c>
      <c r="BH438" s="1" t="s">
        <v>74</v>
      </c>
      <c r="BI438" s="1" t="s">
        <v>74</v>
      </c>
      <c r="BJ438" s="1" t="s">
        <v>74</v>
      </c>
      <c r="BK438" s="1" t="s">
        <v>74</v>
      </c>
      <c r="BL438" s="1" t="s">
        <v>74</v>
      </c>
      <c r="BM438" s="1" t="s">
        <v>74</v>
      </c>
      <c r="BN438" s="1" t="s">
        <v>74</v>
      </c>
      <c r="BO438" s="1" t="s">
        <v>74</v>
      </c>
      <c r="BP438" s="1" t="s">
        <v>74</v>
      </c>
      <c r="BQ438" s="1" t="s">
        <v>74</v>
      </c>
      <c r="BR438" s="1" t="s">
        <v>74</v>
      </c>
      <c r="BS438" s="1" t="s">
        <v>4420</v>
      </c>
      <c r="BT438" s="1" t="str">
        <f>HYPERLINK("https%3A%2F%2Fwww.webofscience.com%2Fwos%2Fwoscc%2Ffull-record%2FWOS:000288220900003","View Full Record in Web of Science")</f>
        <v>View Full Record in Web of Science</v>
      </c>
    </row>
    <row r="439" ht="12.75" customHeight="1">
      <c r="A439" s="1" t="s">
        <v>72</v>
      </c>
      <c r="B439" s="1" t="s">
        <v>4421</v>
      </c>
      <c r="C439" s="1" t="s">
        <v>74</v>
      </c>
      <c r="D439" s="1" t="s">
        <v>74</v>
      </c>
      <c r="E439" s="1" t="s">
        <v>74</v>
      </c>
      <c r="F439" s="1" t="s">
        <v>4422</v>
      </c>
      <c r="G439" s="1" t="s">
        <v>74</v>
      </c>
      <c r="H439" s="1" t="s">
        <v>74</v>
      </c>
      <c r="I439" s="1" t="s">
        <v>4423</v>
      </c>
      <c r="J439" s="1" t="s">
        <v>4424</v>
      </c>
      <c r="K439" s="1" t="s">
        <v>74</v>
      </c>
      <c r="L439" s="1" t="s">
        <v>74</v>
      </c>
      <c r="M439" s="1" t="s">
        <v>74</v>
      </c>
      <c r="N439" s="1" t="s">
        <v>74</v>
      </c>
      <c r="O439" s="1" t="s">
        <v>74</v>
      </c>
      <c r="P439" s="1" t="s">
        <v>74</v>
      </c>
      <c r="Q439" s="1" t="s">
        <v>74</v>
      </c>
      <c r="R439" s="1" t="s">
        <v>74</v>
      </c>
      <c r="S439" s="1" t="s">
        <v>74</v>
      </c>
      <c r="T439" s="1" t="s">
        <v>74</v>
      </c>
      <c r="U439" s="1" t="s">
        <v>74</v>
      </c>
      <c r="V439" s="1" t="s">
        <v>4425</v>
      </c>
      <c r="W439" s="1" t="s">
        <v>74</v>
      </c>
      <c r="X439" s="1" t="s">
        <v>74</v>
      </c>
      <c r="Y439" s="1" t="s">
        <v>74</v>
      </c>
      <c r="Z439" s="1" t="s">
        <v>74</v>
      </c>
      <c r="AA439" s="1" t="s">
        <v>4426</v>
      </c>
      <c r="AB439" s="1" t="s">
        <v>4427</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4428</v>
      </c>
      <c r="AP439" s="1" t="s">
        <v>74</v>
      </c>
      <c r="AQ439" s="1" t="s">
        <v>74</v>
      </c>
      <c r="AR439" s="1" t="s">
        <v>74</v>
      </c>
      <c r="AS439" s="1" t="s">
        <v>74</v>
      </c>
      <c r="AT439" s="1" t="s">
        <v>596</v>
      </c>
      <c r="AU439" s="1">
        <v>2010.0</v>
      </c>
      <c r="AV439" s="1">
        <v>19.0</v>
      </c>
      <c r="AW439" s="1">
        <v>3.0</v>
      </c>
      <c r="AX439" s="1" t="s">
        <v>74</v>
      </c>
      <c r="AY439" s="1" t="s">
        <v>74</v>
      </c>
      <c r="AZ439" s="1" t="s">
        <v>74</v>
      </c>
      <c r="BA439" s="1" t="s">
        <v>74</v>
      </c>
      <c r="BB439" s="1">
        <v>227.0</v>
      </c>
      <c r="BC439" s="1">
        <v>235.0</v>
      </c>
      <c r="BD439" s="1" t="s">
        <v>74</v>
      </c>
      <c r="BE439" s="1" t="s">
        <v>74</v>
      </c>
      <c r="BF439" s="1" t="s">
        <v>74</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4429</v>
      </c>
      <c r="BT439" s="1" t="str">
        <f>HYPERLINK("https%3A%2F%2Fwww.webofscience.com%2Fwos%2Fwoscc%2Ffull-record%2FWOS:000285021900005","View Full Record in Web of Science")</f>
        <v>View Full Record in Web of Science</v>
      </c>
    </row>
    <row r="440" ht="12.75" customHeight="1">
      <c r="A440" s="1" t="s">
        <v>72</v>
      </c>
      <c r="B440" s="1" t="s">
        <v>4430</v>
      </c>
      <c r="C440" s="1" t="s">
        <v>74</v>
      </c>
      <c r="D440" s="1" t="s">
        <v>74</v>
      </c>
      <c r="E440" s="1" t="s">
        <v>74</v>
      </c>
      <c r="F440" s="1" t="s">
        <v>4431</v>
      </c>
      <c r="G440" s="1" t="s">
        <v>74</v>
      </c>
      <c r="H440" s="1" t="s">
        <v>74</v>
      </c>
      <c r="I440" s="1" t="s">
        <v>4432</v>
      </c>
      <c r="J440" s="1" t="s">
        <v>4433</v>
      </c>
      <c r="K440" s="1" t="s">
        <v>74</v>
      </c>
      <c r="L440" s="1" t="s">
        <v>74</v>
      </c>
      <c r="M440" s="1" t="s">
        <v>74</v>
      </c>
      <c r="N440" s="1" t="s">
        <v>74</v>
      </c>
      <c r="O440" s="1" t="s">
        <v>74</v>
      </c>
      <c r="P440" s="1" t="s">
        <v>74</v>
      </c>
      <c r="Q440" s="1" t="s">
        <v>74</v>
      </c>
      <c r="R440" s="1" t="s">
        <v>74</v>
      </c>
      <c r="S440" s="1" t="s">
        <v>74</v>
      </c>
      <c r="T440" s="1" t="s">
        <v>74</v>
      </c>
      <c r="U440" s="1" t="s">
        <v>74</v>
      </c>
      <c r="V440" s="1" t="s">
        <v>4434</v>
      </c>
      <c r="W440" s="1" t="s">
        <v>74</v>
      </c>
      <c r="X440" s="1" t="s">
        <v>74</v>
      </c>
      <c r="Y440" s="1" t="s">
        <v>74</v>
      </c>
      <c r="Z440" s="1" t="s">
        <v>74</v>
      </c>
      <c r="AA440" s="1" t="s">
        <v>74</v>
      </c>
      <c r="AB440" s="1" t="s">
        <v>74</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4435</v>
      </c>
      <c r="AP440" s="1" t="s">
        <v>74</v>
      </c>
      <c r="AQ440" s="1" t="s">
        <v>74</v>
      </c>
      <c r="AR440" s="1" t="s">
        <v>74</v>
      </c>
      <c r="AS440" s="1" t="s">
        <v>74</v>
      </c>
      <c r="AT440" s="1" t="s">
        <v>187</v>
      </c>
      <c r="AU440" s="1">
        <v>2010.0</v>
      </c>
      <c r="AV440" s="1">
        <v>29.0</v>
      </c>
      <c r="AW440" s="1">
        <v>4.0</v>
      </c>
      <c r="AX440" s="1" t="s">
        <v>74</v>
      </c>
      <c r="AY440" s="1" t="s">
        <v>74</v>
      </c>
      <c r="AZ440" s="1" t="s">
        <v>74</v>
      </c>
      <c r="BA440" s="1" t="s">
        <v>74</v>
      </c>
      <c r="BB440" s="1">
        <v>639.0</v>
      </c>
      <c r="BC440" s="1">
        <v>643.0</v>
      </c>
      <c r="BD440" s="1" t="s">
        <v>74</v>
      </c>
      <c r="BE440" s="1" t="s">
        <v>4436</v>
      </c>
      <c r="BF440" s="2" t="str">
        <f>HYPERLINK("http://dx.doi.org/10.7863/jum.2010.29.4.639","http://dx.doi.org/10.7863/jum.2010.29.4.639")</f>
        <v>http://dx.doi.org/10.7863/jum.2010.29.4.639</v>
      </c>
      <c r="BG440" s="1" t="s">
        <v>74</v>
      </c>
      <c r="BH440" s="1" t="s">
        <v>74</v>
      </c>
      <c r="BI440" s="1" t="s">
        <v>74</v>
      </c>
      <c r="BJ440" s="1" t="s">
        <v>74</v>
      </c>
      <c r="BK440" s="1" t="s">
        <v>74</v>
      </c>
      <c r="BL440" s="1" t="s">
        <v>74</v>
      </c>
      <c r="BM440" s="1" t="s">
        <v>74</v>
      </c>
      <c r="BN440" s="1">
        <v>2.0375383E7</v>
      </c>
      <c r="BO440" s="1" t="s">
        <v>74</v>
      </c>
      <c r="BP440" s="1" t="s">
        <v>74</v>
      </c>
      <c r="BQ440" s="1" t="s">
        <v>74</v>
      </c>
      <c r="BR440" s="1" t="s">
        <v>74</v>
      </c>
      <c r="BS440" s="1" t="s">
        <v>4437</v>
      </c>
      <c r="BT440" s="1" t="str">
        <f>HYPERLINK("https%3A%2F%2Fwww.webofscience.com%2Fwos%2Fwoscc%2Ffull-record%2FWOS:000277004800015","View Full Record in Web of Science")</f>
        <v>View Full Record in Web of Science</v>
      </c>
    </row>
    <row r="441" ht="12.75" customHeight="1">
      <c r="A441" s="1" t="s">
        <v>72</v>
      </c>
      <c r="B441" s="1" t="s">
        <v>4438</v>
      </c>
      <c r="C441" s="1" t="s">
        <v>74</v>
      </c>
      <c r="D441" s="1" t="s">
        <v>74</v>
      </c>
      <c r="E441" s="1" t="s">
        <v>74</v>
      </c>
      <c r="F441" s="1" t="s">
        <v>4439</v>
      </c>
      <c r="G441" s="1" t="s">
        <v>74</v>
      </c>
      <c r="H441" s="1" t="s">
        <v>74</v>
      </c>
      <c r="I441" s="1" t="s">
        <v>4440</v>
      </c>
      <c r="J441" s="1" t="s">
        <v>4441</v>
      </c>
      <c r="K441" s="1" t="s">
        <v>74</v>
      </c>
      <c r="L441" s="1" t="s">
        <v>74</v>
      </c>
      <c r="M441" s="1" t="s">
        <v>74</v>
      </c>
      <c r="N441" s="1" t="s">
        <v>74</v>
      </c>
      <c r="O441" s="1" t="s">
        <v>4442</v>
      </c>
      <c r="P441" s="1" t="s">
        <v>4443</v>
      </c>
      <c r="Q441" s="1" t="s">
        <v>4444</v>
      </c>
      <c r="R441" s="1" t="s">
        <v>4445</v>
      </c>
      <c r="S441" s="1" t="s">
        <v>74</v>
      </c>
      <c r="T441" s="1" t="s">
        <v>74</v>
      </c>
      <c r="U441" s="1" t="s">
        <v>74</v>
      </c>
      <c r="V441" s="1" t="s">
        <v>4446</v>
      </c>
      <c r="W441" s="1" t="s">
        <v>74</v>
      </c>
      <c r="X441" s="1" t="s">
        <v>74</v>
      </c>
      <c r="Y441" s="1" t="s">
        <v>74</v>
      </c>
      <c r="Z441" s="1" t="s">
        <v>74</v>
      </c>
      <c r="AA441" s="1" t="s">
        <v>4447</v>
      </c>
      <c r="AB441" s="1" t="s">
        <v>74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4448</v>
      </c>
      <c r="AP441" s="1" t="s">
        <v>74</v>
      </c>
      <c r="AQ441" s="1" t="s">
        <v>74</v>
      </c>
      <c r="AR441" s="1" t="s">
        <v>74</v>
      </c>
      <c r="AS441" s="1" t="s">
        <v>74</v>
      </c>
      <c r="AT441" s="1" t="s">
        <v>647</v>
      </c>
      <c r="AU441" s="1">
        <v>2009.0</v>
      </c>
      <c r="AV441" s="1">
        <v>73.0</v>
      </c>
      <c r="AW441" s="1">
        <v>2.0</v>
      </c>
      <c r="AX441" s="1" t="s">
        <v>74</v>
      </c>
      <c r="AY441" s="1" t="s">
        <v>74</v>
      </c>
      <c r="AZ441" s="1" t="s">
        <v>74</v>
      </c>
      <c r="BA441" s="1" t="s">
        <v>74</v>
      </c>
      <c r="BB441" s="1">
        <v>397.0</v>
      </c>
      <c r="BC441" s="1">
        <v>404.0</v>
      </c>
      <c r="BD441" s="1" t="s">
        <v>74</v>
      </c>
      <c r="BE441" s="1" t="s">
        <v>4449</v>
      </c>
      <c r="BF441" s="2" t="str">
        <f>HYPERLINK("http://dx.doi.org/10.1007/s12043-009-0131-7","http://dx.doi.org/10.1007/s12043-009-0131-7")</f>
        <v>http://dx.doi.org/10.1007/s12043-009-0131-7</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4450</v>
      </c>
      <c r="BT441" s="1" t="str">
        <f>HYPERLINK("https%3A%2F%2Fwww.webofscience.com%2Fwos%2Fwoscc%2Ffull-record%2FWOS:000269548500019","View Full Record in Web of Science")</f>
        <v>View Full Record in Web of Science</v>
      </c>
    </row>
    <row r="442" ht="12.75" customHeight="1">
      <c r="A442" s="1" t="s">
        <v>72</v>
      </c>
      <c r="B442" s="1" t="s">
        <v>4451</v>
      </c>
      <c r="C442" s="1" t="s">
        <v>74</v>
      </c>
      <c r="D442" s="1" t="s">
        <v>74</v>
      </c>
      <c r="E442" s="1" t="s">
        <v>74</v>
      </c>
      <c r="F442" s="1" t="s">
        <v>4452</v>
      </c>
      <c r="G442" s="1" t="s">
        <v>74</v>
      </c>
      <c r="H442" s="1" t="s">
        <v>74</v>
      </c>
      <c r="I442" s="1" t="s">
        <v>4453</v>
      </c>
      <c r="J442" s="1" t="s">
        <v>90</v>
      </c>
      <c r="K442" s="1" t="s">
        <v>74</v>
      </c>
      <c r="L442" s="1" t="s">
        <v>74</v>
      </c>
      <c r="M442" s="1" t="s">
        <v>74</v>
      </c>
      <c r="N442" s="1" t="s">
        <v>74</v>
      </c>
      <c r="O442" s="1" t="s">
        <v>74</v>
      </c>
      <c r="P442" s="1" t="s">
        <v>74</v>
      </c>
      <c r="Q442" s="1" t="s">
        <v>74</v>
      </c>
      <c r="R442" s="1" t="s">
        <v>74</v>
      </c>
      <c r="S442" s="1" t="s">
        <v>74</v>
      </c>
      <c r="T442" s="1" t="s">
        <v>74</v>
      </c>
      <c r="U442" s="1" t="s">
        <v>74</v>
      </c>
      <c r="V442" s="1" t="s">
        <v>4454</v>
      </c>
      <c r="W442" s="1" t="s">
        <v>74</v>
      </c>
      <c r="X442" s="1" t="s">
        <v>74</v>
      </c>
      <c r="Y442" s="1" t="s">
        <v>74</v>
      </c>
      <c r="Z442" s="1" t="s">
        <v>74</v>
      </c>
      <c r="AA442" s="1" t="s">
        <v>4455</v>
      </c>
      <c r="AB442" s="1" t="s">
        <v>4456</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74</v>
      </c>
      <c r="AP442" s="1" t="s">
        <v>94</v>
      </c>
      <c r="AQ442" s="1" t="s">
        <v>74</v>
      </c>
      <c r="AR442" s="1" t="s">
        <v>74</v>
      </c>
      <c r="AS442" s="1" t="s">
        <v>74</v>
      </c>
      <c r="AT442" s="1" t="s">
        <v>107</v>
      </c>
      <c r="AU442" s="1">
        <v>2009.0</v>
      </c>
      <c r="AV442" s="1">
        <v>14.0</v>
      </c>
      <c r="AW442" s="1">
        <v>5.0</v>
      </c>
      <c r="AX442" s="1" t="s">
        <v>74</v>
      </c>
      <c r="AY442" s="1" t="s">
        <v>74</v>
      </c>
      <c r="AZ442" s="1" t="s">
        <v>74</v>
      </c>
      <c r="BA442" s="1" t="s">
        <v>74</v>
      </c>
      <c r="BB442" s="1">
        <v>1938.0</v>
      </c>
      <c r="BC442" s="1">
        <v>1947.0</v>
      </c>
      <c r="BD442" s="1" t="s">
        <v>74</v>
      </c>
      <c r="BE442" s="1" t="s">
        <v>4457</v>
      </c>
      <c r="BF442" s="2" t="str">
        <f>HYPERLINK("http://dx.doi.org/10.3390/molecules14051938","http://dx.doi.org/10.3390/molecules14051938")</f>
        <v>http://dx.doi.org/10.3390/molecules14051938</v>
      </c>
      <c r="BG442" s="1" t="s">
        <v>74</v>
      </c>
      <c r="BH442" s="1" t="s">
        <v>74</v>
      </c>
      <c r="BI442" s="1" t="s">
        <v>74</v>
      </c>
      <c r="BJ442" s="1" t="s">
        <v>74</v>
      </c>
      <c r="BK442" s="1" t="s">
        <v>74</v>
      </c>
      <c r="BL442" s="1" t="s">
        <v>74</v>
      </c>
      <c r="BM442" s="1" t="s">
        <v>74</v>
      </c>
      <c r="BN442" s="1">
        <v>1.9471213E7</v>
      </c>
      <c r="BO442" s="1" t="s">
        <v>74</v>
      </c>
      <c r="BP442" s="1" t="s">
        <v>74</v>
      </c>
      <c r="BQ442" s="1" t="s">
        <v>74</v>
      </c>
      <c r="BR442" s="1" t="s">
        <v>74</v>
      </c>
      <c r="BS442" s="1" t="s">
        <v>4458</v>
      </c>
      <c r="BT442" s="1" t="str">
        <f>HYPERLINK("https%3A%2F%2Fwww.webofscience.com%2Fwos%2Fwoscc%2Ffull-record%2FWOS:000266381200025","View Full Record in Web of Science")</f>
        <v>View Full Record in Web of Science</v>
      </c>
    </row>
    <row r="443" ht="12.75" customHeight="1">
      <c r="A443" s="1" t="s">
        <v>72</v>
      </c>
      <c r="B443" s="1" t="s">
        <v>4459</v>
      </c>
      <c r="C443" s="1" t="s">
        <v>74</v>
      </c>
      <c r="D443" s="1" t="s">
        <v>74</v>
      </c>
      <c r="E443" s="1" t="s">
        <v>74</v>
      </c>
      <c r="F443" s="1" t="s">
        <v>4460</v>
      </c>
      <c r="G443" s="1" t="s">
        <v>74</v>
      </c>
      <c r="H443" s="1" t="s">
        <v>74</v>
      </c>
      <c r="I443" s="1" t="s">
        <v>4461</v>
      </c>
      <c r="J443" s="1" t="s">
        <v>4462</v>
      </c>
      <c r="K443" s="1" t="s">
        <v>74</v>
      </c>
      <c r="L443" s="1" t="s">
        <v>74</v>
      </c>
      <c r="M443" s="1" t="s">
        <v>74</v>
      </c>
      <c r="N443" s="1" t="s">
        <v>74</v>
      </c>
      <c r="O443" s="1" t="s">
        <v>74</v>
      </c>
      <c r="P443" s="1" t="s">
        <v>74</v>
      </c>
      <c r="Q443" s="1" t="s">
        <v>74</v>
      </c>
      <c r="R443" s="1" t="s">
        <v>74</v>
      </c>
      <c r="S443" s="1" t="s">
        <v>74</v>
      </c>
      <c r="T443" s="1" t="s">
        <v>74</v>
      </c>
      <c r="U443" s="1" t="s">
        <v>74</v>
      </c>
      <c r="V443" s="1" t="s">
        <v>4463</v>
      </c>
      <c r="W443" s="1" t="s">
        <v>74</v>
      </c>
      <c r="X443" s="1" t="s">
        <v>74</v>
      </c>
      <c r="Y443" s="1" t="s">
        <v>74</v>
      </c>
      <c r="Z443" s="1" t="s">
        <v>74</v>
      </c>
      <c r="AA443" s="1" t="s">
        <v>74</v>
      </c>
      <c r="AB443" s="1" t="s">
        <v>74</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4464</v>
      </c>
      <c r="AP443" s="1" t="s">
        <v>74</v>
      </c>
      <c r="AQ443" s="1" t="s">
        <v>74</v>
      </c>
      <c r="AR443" s="1" t="s">
        <v>74</v>
      </c>
      <c r="AS443" s="1" t="s">
        <v>74</v>
      </c>
      <c r="AT443" s="1" t="s">
        <v>95</v>
      </c>
      <c r="AU443" s="1">
        <v>2008.0</v>
      </c>
      <c r="AV443" s="1">
        <v>71.0</v>
      </c>
      <c r="AW443" s="1">
        <v>12.0</v>
      </c>
      <c r="AX443" s="1" t="s">
        <v>74</v>
      </c>
      <c r="AY443" s="1" t="s">
        <v>74</v>
      </c>
      <c r="AZ443" s="1" t="s">
        <v>74</v>
      </c>
      <c r="BA443" s="1" t="s">
        <v>74</v>
      </c>
      <c r="BB443" s="1">
        <v>856.0</v>
      </c>
      <c r="BC443" s="1">
        <v>862.0</v>
      </c>
      <c r="BD443" s="1" t="s">
        <v>74</v>
      </c>
      <c r="BE443" s="1" t="s">
        <v>4465</v>
      </c>
      <c r="BF443" s="2" t="str">
        <f>HYPERLINK("http://dx.doi.org/10.1002/jemt.20627","http://dx.doi.org/10.1002/jemt.20627")</f>
        <v>http://dx.doi.org/10.1002/jemt.20627</v>
      </c>
      <c r="BG443" s="1" t="s">
        <v>74</v>
      </c>
      <c r="BH443" s="1" t="s">
        <v>74</v>
      </c>
      <c r="BI443" s="1" t="s">
        <v>74</v>
      </c>
      <c r="BJ443" s="1" t="s">
        <v>74</v>
      </c>
      <c r="BK443" s="1" t="s">
        <v>74</v>
      </c>
      <c r="BL443" s="1" t="s">
        <v>74</v>
      </c>
      <c r="BM443" s="1" t="s">
        <v>74</v>
      </c>
      <c r="BN443" s="1">
        <v>1.8767052E7</v>
      </c>
      <c r="BO443" s="1" t="s">
        <v>74</v>
      </c>
      <c r="BP443" s="1" t="s">
        <v>74</v>
      </c>
      <c r="BQ443" s="1" t="s">
        <v>74</v>
      </c>
      <c r="BR443" s="1" t="s">
        <v>74</v>
      </c>
      <c r="BS443" s="1" t="s">
        <v>4466</v>
      </c>
      <c r="BT443" s="1" t="str">
        <f>HYPERLINK("https%3A%2F%2Fwww.webofscience.com%2Fwos%2Fwoscc%2Ffull-record%2FWOS:000261703800003","View Full Record in Web of Science")</f>
        <v>View Full Record in Web of Science</v>
      </c>
    </row>
    <row r="444" ht="12.75" customHeight="1">
      <c r="A444" s="1" t="s">
        <v>72</v>
      </c>
      <c r="B444" s="1" t="s">
        <v>4467</v>
      </c>
      <c r="C444" s="1" t="s">
        <v>74</v>
      </c>
      <c r="D444" s="1" t="s">
        <v>74</v>
      </c>
      <c r="E444" s="1" t="s">
        <v>74</v>
      </c>
      <c r="F444" s="1" t="s">
        <v>4468</v>
      </c>
      <c r="G444" s="1" t="s">
        <v>74</v>
      </c>
      <c r="H444" s="1" t="s">
        <v>74</v>
      </c>
      <c r="I444" s="1" t="s">
        <v>4469</v>
      </c>
      <c r="J444" s="1" t="s">
        <v>4470</v>
      </c>
      <c r="K444" s="1" t="s">
        <v>74</v>
      </c>
      <c r="L444" s="1" t="s">
        <v>74</v>
      </c>
      <c r="M444" s="1" t="s">
        <v>74</v>
      </c>
      <c r="N444" s="1" t="s">
        <v>74</v>
      </c>
      <c r="O444" s="1" t="s">
        <v>74</v>
      </c>
      <c r="P444" s="1" t="s">
        <v>74</v>
      </c>
      <c r="Q444" s="1" t="s">
        <v>74</v>
      </c>
      <c r="R444" s="1" t="s">
        <v>74</v>
      </c>
      <c r="S444" s="1" t="s">
        <v>74</v>
      </c>
      <c r="T444" s="1" t="s">
        <v>74</v>
      </c>
      <c r="U444" s="1" t="s">
        <v>74</v>
      </c>
      <c r="V444" s="1" t="s">
        <v>4471</v>
      </c>
      <c r="W444" s="1" t="s">
        <v>74</v>
      </c>
      <c r="X444" s="1" t="s">
        <v>74</v>
      </c>
      <c r="Y444" s="1" t="s">
        <v>74</v>
      </c>
      <c r="Z444" s="1" t="s">
        <v>74</v>
      </c>
      <c r="AA444" s="1" t="s">
        <v>4472</v>
      </c>
      <c r="AB444" s="1" t="s">
        <v>4473</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4474</v>
      </c>
      <c r="AP444" s="1" t="s">
        <v>74</v>
      </c>
      <c r="AQ444" s="1" t="s">
        <v>74</v>
      </c>
      <c r="AR444" s="1" t="s">
        <v>74</v>
      </c>
      <c r="AS444" s="1" t="s">
        <v>74</v>
      </c>
      <c r="AT444" s="1" t="s">
        <v>4475</v>
      </c>
      <c r="AU444" s="1">
        <v>2008.0</v>
      </c>
      <c r="AV444" s="1">
        <v>464.0</v>
      </c>
      <c r="AW444" s="1">
        <v>2099.0</v>
      </c>
      <c r="AX444" s="1" t="s">
        <v>74</v>
      </c>
      <c r="AY444" s="1" t="s">
        <v>74</v>
      </c>
      <c r="AZ444" s="1" t="s">
        <v>74</v>
      </c>
      <c r="BA444" s="1" t="s">
        <v>74</v>
      </c>
      <c r="BB444" s="1">
        <v>2847.0</v>
      </c>
      <c r="BC444" s="1">
        <v>2866.0</v>
      </c>
      <c r="BD444" s="1" t="s">
        <v>74</v>
      </c>
      <c r="BE444" s="1" t="s">
        <v>4476</v>
      </c>
      <c r="BF444" s="2" t="str">
        <f>HYPERLINK("http://dx.doi.org/10.1098/rspa.2007.0372","http://dx.doi.org/10.1098/rspa.2007.0372")</f>
        <v>http://dx.doi.org/10.1098/rspa.2007.0372</v>
      </c>
      <c r="BG444" s="1" t="s">
        <v>74</v>
      </c>
      <c r="BH444" s="1" t="s">
        <v>74</v>
      </c>
      <c r="BI444" s="1" t="s">
        <v>74</v>
      </c>
      <c r="BJ444" s="1" t="s">
        <v>74</v>
      </c>
      <c r="BK444" s="1" t="s">
        <v>74</v>
      </c>
      <c r="BL444" s="1" t="s">
        <v>74</v>
      </c>
      <c r="BM444" s="1" t="s">
        <v>74</v>
      </c>
      <c r="BN444" s="1" t="s">
        <v>74</v>
      </c>
      <c r="BO444" s="1" t="s">
        <v>74</v>
      </c>
      <c r="BP444" s="1" t="s">
        <v>74</v>
      </c>
      <c r="BQ444" s="1" t="s">
        <v>74</v>
      </c>
      <c r="BR444" s="1" t="s">
        <v>74</v>
      </c>
      <c r="BS444" s="1" t="s">
        <v>4477</v>
      </c>
      <c r="BT444" s="1" t="str">
        <f>HYPERLINK("https%3A%2F%2Fwww.webofscience.com%2Fwos%2Fwoscc%2Ffull-record%2FWOS:000259364300004","View Full Record in Web of Science")</f>
        <v>View Full Record in Web of Science</v>
      </c>
    </row>
    <row r="445" ht="12.75" customHeight="1">
      <c r="A445" s="1" t="s">
        <v>72</v>
      </c>
      <c r="B445" s="1" t="s">
        <v>4478</v>
      </c>
      <c r="C445" s="1" t="s">
        <v>74</v>
      </c>
      <c r="D445" s="1" t="s">
        <v>74</v>
      </c>
      <c r="E445" s="1" t="s">
        <v>74</v>
      </c>
      <c r="F445" s="1" t="s">
        <v>4479</v>
      </c>
      <c r="G445" s="1" t="s">
        <v>74</v>
      </c>
      <c r="H445" s="1" t="s">
        <v>74</v>
      </c>
      <c r="I445" s="1" t="s">
        <v>4480</v>
      </c>
      <c r="J445" s="1" t="s">
        <v>4481</v>
      </c>
      <c r="K445" s="1" t="s">
        <v>74</v>
      </c>
      <c r="L445" s="1" t="s">
        <v>74</v>
      </c>
      <c r="M445" s="1" t="s">
        <v>74</v>
      </c>
      <c r="N445" s="1" t="s">
        <v>74</v>
      </c>
      <c r="O445" s="1" t="s">
        <v>74</v>
      </c>
      <c r="P445" s="1" t="s">
        <v>74</v>
      </c>
      <c r="Q445" s="1" t="s">
        <v>74</v>
      </c>
      <c r="R445" s="1" t="s">
        <v>74</v>
      </c>
      <c r="S445" s="1" t="s">
        <v>74</v>
      </c>
      <c r="T445" s="1" t="s">
        <v>74</v>
      </c>
      <c r="U445" s="1" t="s">
        <v>74</v>
      </c>
      <c r="V445" s="1" t="s">
        <v>4482</v>
      </c>
      <c r="W445" s="1" t="s">
        <v>74</v>
      </c>
      <c r="X445" s="1" t="s">
        <v>74</v>
      </c>
      <c r="Y445" s="1" t="s">
        <v>74</v>
      </c>
      <c r="Z445" s="1" t="s">
        <v>74</v>
      </c>
      <c r="AA445" s="1" t="s">
        <v>2998</v>
      </c>
      <c r="AB445" s="1" t="s">
        <v>2999</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4483</v>
      </c>
      <c r="AP445" s="1" t="s">
        <v>4484</v>
      </c>
      <c r="AQ445" s="1" t="s">
        <v>74</v>
      </c>
      <c r="AR445" s="1" t="s">
        <v>74</v>
      </c>
      <c r="AS445" s="1" t="s">
        <v>74</v>
      </c>
      <c r="AT445" s="1" t="s">
        <v>232</v>
      </c>
      <c r="AU445" s="1">
        <v>2008.0</v>
      </c>
      <c r="AV445" s="1">
        <v>62.0</v>
      </c>
      <c r="AW445" s="1">
        <v>2.0</v>
      </c>
      <c r="AX445" s="1" t="s">
        <v>74</v>
      </c>
      <c r="AY445" s="1" t="s">
        <v>74</v>
      </c>
      <c r="AZ445" s="1" t="s">
        <v>74</v>
      </c>
      <c r="BA445" s="1" t="s">
        <v>74</v>
      </c>
      <c r="BB445" s="1">
        <v>191.0</v>
      </c>
      <c r="BC445" s="1">
        <v>217.0</v>
      </c>
      <c r="BD445" s="1" t="s">
        <v>74</v>
      </c>
      <c r="BE445" s="1" t="s">
        <v>4485</v>
      </c>
      <c r="BF445" s="2" t="str">
        <f>HYPERLINK("http://dx.doi.org/10.1007/s00020-008-1618-1","http://dx.doi.org/10.1007/s00020-008-1618-1")</f>
        <v>http://dx.doi.org/10.1007/s00020-008-1618-1</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4486</v>
      </c>
      <c r="BT445" s="1" t="str">
        <f>HYPERLINK("https%3A%2F%2Fwww.webofscience.com%2Fwos%2Fwoscc%2Ffull-record%2FWOS:000259862100004","View Full Record in Web of Science")</f>
        <v>View Full Record in Web of Science</v>
      </c>
    </row>
    <row r="446" ht="12.75" customHeight="1">
      <c r="A446" s="1" t="s">
        <v>72</v>
      </c>
      <c r="B446" s="1" t="s">
        <v>4487</v>
      </c>
      <c r="C446" s="1" t="s">
        <v>74</v>
      </c>
      <c r="D446" s="1" t="s">
        <v>74</v>
      </c>
      <c r="E446" s="1" t="s">
        <v>74</v>
      </c>
      <c r="F446" s="1" t="s">
        <v>4488</v>
      </c>
      <c r="G446" s="1" t="s">
        <v>74</v>
      </c>
      <c r="H446" s="1" t="s">
        <v>74</v>
      </c>
      <c r="I446" s="1" t="s">
        <v>4489</v>
      </c>
      <c r="J446" s="1" t="s">
        <v>2011</v>
      </c>
      <c r="K446" s="1" t="s">
        <v>74</v>
      </c>
      <c r="L446" s="1" t="s">
        <v>74</v>
      </c>
      <c r="M446" s="1" t="s">
        <v>74</v>
      </c>
      <c r="N446" s="1" t="s">
        <v>74</v>
      </c>
      <c r="O446" s="1" t="s">
        <v>74</v>
      </c>
      <c r="P446" s="1" t="s">
        <v>74</v>
      </c>
      <c r="Q446" s="1" t="s">
        <v>74</v>
      </c>
      <c r="R446" s="1" t="s">
        <v>74</v>
      </c>
      <c r="S446" s="1" t="s">
        <v>74</v>
      </c>
      <c r="T446" s="1" t="s">
        <v>74</v>
      </c>
      <c r="U446" s="1" t="s">
        <v>74</v>
      </c>
      <c r="V446" s="1" t="s">
        <v>4490</v>
      </c>
      <c r="W446" s="1" t="s">
        <v>74</v>
      </c>
      <c r="X446" s="1" t="s">
        <v>74</v>
      </c>
      <c r="Y446" s="1" t="s">
        <v>74</v>
      </c>
      <c r="Z446" s="1" t="s">
        <v>74</v>
      </c>
      <c r="AA446" s="1" t="s">
        <v>74</v>
      </c>
      <c r="AB446" s="1" t="s">
        <v>4491</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2013</v>
      </c>
      <c r="AP446" s="1" t="s">
        <v>2014</v>
      </c>
      <c r="AQ446" s="1" t="s">
        <v>74</v>
      </c>
      <c r="AR446" s="1" t="s">
        <v>74</v>
      </c>
      <c r="AS446" s="1" t="s">
        <v>74</v>
      </c>
      <c r="AT446" s="1" t="s">
        <v>107</v>
      </c>
      <c r="AU446" s="1">
        <v>2008.0</v>
      </c>
      <c r="AV446" s="1">
        <v>77.0</v>
      </c>
      <c r="AW446" s="1">
        <v>10.0</v>
      </c>
      <c r="AX446" s="1" t="s">
        <v>74</v>
      </c>
      <c r="AY446" s="1" t="s">
        <v>74</v>
      </c>
      <c r="AZ446" s="1" t="s">
        <v>74</v>
      </c>
      <c r="BA446" s="1" t="s">
        <v>74</v>
      </c>
      <c r="BB446" s="1" t="s">
        <v>74</v>
      </c>
      <c r="BC446" s="1" t="s">
        <v>74</v>
      </c>
      <c r="BD446" s="1">
        <v>104033.0</v>
      </c>
      <c r="BE446" s="1" t="s">
        <v>4492</v>
      </c>
      <c r="BF446" s="2" t="str">
        <f>HYPERLINK("http://dx.doi.org/10.1103/PhysRevD.77.104033","http://dx.doi.org/10.1103/PhysRevD.77.104033")</f>
        <v>http://dx.doi.org/10.1103/PhysRevD.77.104033</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4493</v>
      </c>
      <c r="BT446" s="1" t="str">
        <f>HYPERLINK("https%3A%2F%2Fwww.webofscience.com%2Fwos%2Fwoscc%2Ffull-record%2FWOS:000257329300077","View Full Record in Web of Science")</f>
        <v>View Full Record in Web of Science</v>
      </c>
    </row>
    <row r="447" ht="12.75" customHeight="1">
      <c r="A447" s="1" t="s">
        <v>380</v>
      </c>
      <c r="B447" s="1" t="s">
        <v>4494</v>
      </c>
      <c r="C447" s="1" t="s">
        <v>74</v>
      </c>
      <c r="D447" s="1" t="s">
        <v>4495</v>
      </c>
      <c r="E447" s="1" t="s">
        <v>74</v>
      </c>
      <c r="F447" s="1" t="s">
        <v>4496</v>
      </c>
      <c r="G447" s="1" t="s">
        <v>74</v>
      </c>
      <c r="H447" s="1" t="s">
        <v>74</v>
      </c>
      <c r="I447" s="1" t="s">
        <v>4497</v>
      </c>
      <c r="J447" s="1" t="s">
        <v>4498</v>
      </c>
      <c r="K447" s="1" t="s">
        <v>4499</v>
      </c>
      <c r="L447" s="1" t="s">
        <v>74</v>
      </c>
      <c r="M447" s="1" t="s">
        <v>74</v>
      </c>
      <c r="N447" s="1" t="s">
        <v>74</v>
      </c>
      <c r="O447" s="1" t="s">
        <v>74</v>
      </c>
      <c r="P447" s="1" t="s">
        <v>74</v>
      </c>
      <c r="Q447" s="1" t="s">
        <v>74</v>
      </c>
      <c r="R447" s="1" t="s">
        <v>74</v>
      </c>
      <c r="S447" s="1" t="s">
        <v>74</v>
      </c>
      <c r="T447" s="1" t="s">
        <v>74</v>
      </c>
      <c r="U447" s="1" t="s">
        <v>74</v>
      </c>
      <c r="V447" s="1" t="s">
        <v>74</v>
      </c>
      <c r="W447" s="1" t="s">
        <v>74</v>
      </c>
      <c r="X447" s="1" t="s">
        <v>74</v>
      </c>
      <c r="Y447" s="1" t="s">
        <v>74</v>
      </c>
      <c r="Z447" s="1" t="s">
        <v>74</v>
      </c>
      <c r="AA447" s="1" t="s">
        <v>4500</v>
      </c>
      <c r="AB447" s="1" t="s">
        <v>4501</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74</v>
      </c>
      <c r="AP447" s="1" t="s">
        <v>74</v>
      </c>
      <c r="AQ447" s="1" t="s">
        <v>4502</v>
      </c>
      <c r="AR447" s="1" t="s">
        <v>74</v>
      </c>
      <c r="AS447" s="1" t="s">
        <v>74</v>
      </c>
      <c r="AT447" s="1" t="s">
        <v>74</v>
      </c>
      <c r="AU447" s="1">
        <v>2008.0</v>
      </c>
      <c r="AV447" s="1" t="s">
        <v>74</v>
      </c>
      <c r="AW447" s="1" t="s">
        <v>74</v>
      </c>
      <c r="AX447" s="1" t="s">
        <v>74</v>
      </c>
      <c r="AY447" s="1" t="s">
        <v>74</v>
      </c>
      <c r="AZ447" s="1" t="s">
        <v>74</v>
      </c>
      <c r="BA447" s="1" t="s">
        <v>74</v>
      </c>
      <c r="BB447" s="1">
        <v>545.0</v>
      </c>
      <c r="BC447" s="1">
        <v>566.0</v>
      </c>
      <c r="BD447" s="1" t="s">
        <v>74</v>
      </c>
      <c r="BE447" s="1" t="s">
        <v>4503</v>
      </c>
      <c r="BF447" s="2" t="str">
        <f>HYPERLINK("http://dx.doi.org/10.1016/B978-012373642-0.50025-9","http://dx.doi.org/10.1016/B978-012373642-0.50025-9")</f>
        <v>http://dx.doi.org/10.1016/B978-012373642-0.50025-9</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4504</v>
      </c>
      <c r="BT447" s="1" t="str">
        <f>HYPERLINK("https%3A%2F%2Fwww.webofscience.com%2Fwos%2Fwoscc%2Ffull-record%2FWOS:000310957500023","View Full Record in Web of Science")</f>
        <v>View Full Record in Web of Science</v>
      </c>
    </row>
    <row r="448" ht="12.75" customHeight="1">
      <c r="A448" s="1" t="s">
        <v>72</v>
      </c>
      <c r="B448" s="1" t="s">
        <v>4505</v>
      </c>
      <c r="C448" s="1" t="s">
        <v>74</v>
      </c>
      <c r="D448" s="1" t="s">
        <v>74</v>
      </c>
      <c r="E448" s="1" t="s">
        <v>74</v>
      </c>
      <c r="F448" s="1" t="s">
        <v>4506</v>
      </c>
      <c r="G448" s="1" t="s">
        <v>74</v>
      </c>
      <c r="H448" s="1" t="s">
        <v>74</v>
      </c>
      <c r="I448" s="1" t="s">
        <v>4507</v>
      </c>
      <c r="J448" s="1" t="s">
        <v>4508</v>
      </c>
      <c r="K448" s="1" t="s">
        <v>74</v>
      </c>
      <c r="L448" s="1" t="s">
        <v>74</v>
      </c>
      <c r="M448" s="1" t="s">
        <v>74</v>
      </c>
      <c r="N448" s="1" t="s">
        <v>74</v>
      </c>
      <c r="O448" s="1" t="s">
        <v>4509</v>
      </c>
      <c r="P448" s="1" t="s">
        <v>4510</v>
      </c>
      <c r="Q448" s="1" t="s">
        <v>1101</v>
      </c>
      <c r="R448" s="1" t="s">
        <v>74</v>
      </c>
      <c r="S448" s="1" t="s">
        <v>74</v>
      </c>
      <c r="T448" s="1" t="s">
        <v>74</v>
      </c>
      <c r="U448" s="1" t="s">
        <v>74</v>
      </c>
      <c r="V448" s="1" t="s">
        <v>4511</v>
      </c>
      <c r="W448" s="1" t="s">
        <v>74</v>
      </c>
      <c r="X448" s="1" t="s">
        <v>74</v>
      </c>
      <c r="Y448" s="1" t="s">
        <v>74</v>
      </c>
      <c r="Z448" s="1" t="s">
        <v>74</v>
      </c>
      <c r="AA448" s="1" t="s">
        <v>74</v>
      </c>
      <c r="AB448" s="1" t="s">
        <v>4512</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4513</v>
      </c>
      <c r="AP448" s="1" t="s">
        <v>4514</v>
      </c>
      <c r="AQ448" s="1" t="s">
        <v>74</v>
      </c>
      <c r="AR448" s="1" t="s">
        <v>74</v>
      </c>
      <c r="AS448" s="1" t="s">
        <v>74</v>
      </c>
      <c r="AT448" s="1" t="s">
        <v>4515</v>
      </c>
      <c r="AU448" s="1">
        <v>2006.0</v>
      </c>
      <c r="AV448" s="1">
        <v>44.0</v>
      </c>
      <c r="AW448" s="1" t="s">
        <v>74</v>
      </c>
      <c r="AX448" s="1" t="s">
        <v>74</v>
      </c>
      <c r="AY448" s="1">
        <v>1.0</v>
      </c>
      <c r="AZ448" s="1" t="s">
        <v>74</v>
      </c>
      <c r="BA448" s="1" t="s">
        <v>74</v>
      </c>
      <c r="BB448" s="1" t="s">
        <v>4516</v>
      </c>
      <c r="BC448" s="1" t="s">
        <v>4517</v>
      </c>
      <c r="BD448" s="1" t="s">
        <v>74</v>
      </c>
      <c r="BE448" s="1" t="s">
        <v>4518</v>
      </c>
      <c r="BF448" s="2" t="str">
        <f>HYPERLINK("http://dx.doi.org/10.1016/j.ultras.2006.05.117","http://dx.doi.org/10.1016/j.ultras.2006.05.117")</f>
        <v>http://dx.doi.org/10.1016/j.ultras.2006.05.117</v>
      </c>
      <c r="BG448" s="1" t="s">
        <v>74</v>
      </c>
      <c r="BH448" s="1" t="s">
        <v>74</v>
      </c>
      <c r="BI448" s="1" t="s">
        <v>74</v>
      </c>
      <c r="BJ448" s="1" t="s">
        <v>74</v>
      </c>
      <c r="BK448" s="1" t="s">
        <v>74</v>
      </c>
      <c r="BL448" s="1" t="s">
        <v>74</v>
      </c>
      <c r="BM448" s="1" t="s">
        <v>74</v>
      </c>
      <c r="BN448" s="1">
        <v>1.6797649E7</v>
      </c>
      <c r="BO448" s="1" t="s">
        <v>74</v>
      </c>
      <c r="BP448" s="1" t="s">
        <v>74</v>
      </c>
      <c r="BQ448" s="1" t="s">
        <v>74</v>
      </c>
      <c r="BR448" s="1" t="s">
        <v>74</v>
      </c>
      <c r="BS448" s="1" t="s">
        <v>4519</v>
      </c>
      <c r="BT448" s="1" t="str">
        <f>HYPERLINK("https%3A%2F%2Fwww.webofscience.com%2Fwos%2Fwoscc%2Ffull-record%2FWOS:000248802400100","View Full Record in Web of Science")</f>
        <v>View Full Record in Web of Science</v>
      </c>
    </row>
    <row r="449" ht="12.75" customHeight="1">
      <c r="A449" s="1" t="s">
        <v>72</v>
      </c>
      <c r="B449" s="1" t="s">
        <v>4520</v>
      </c>
      <c r="C449" s="1" t="s">
        <v>74</v>
      </c>
      <c r="D449" s="1" t="s">
        <v>74</v>
      </c>
      <c r="E449" s="1" t="s">
        <v>74</v>
      </c>
      <c r="F449" s="1" t="s">
        <v>4521</v>
      </c>
      <c r="G449" s="1" t="s">
        <v>74</v>
      </c>
      <c r="H449" s="1" t="s">
        <v>74</v>
      </c>
      <c r="I449" s="1" t="s">
        <v>4522</v>
      </c>
      <c r="J449" s="1" t="s">
        <v>3335</v>
      </c>
      <c r="K449" s="1" t="s">
        <v>74</v>
      </c>
      <c r="L449" s="1" t="s">
        <v>74</v>
      </c>
      <c r="M449" s="1" t="s">
        <v>74</v>
      </c>
      <c r="N449" s="1" t="s">
        <v>74</v>
      </c>
      <c r="O449" s="1" t="s">
        <v>74</v>
      </c>
      <c r="P449" s="1" t="s">
        <v>74</v>
      </c>
      <c r="Q449" s="1" t="s">
        <v>74</v>
      </c>
      <c r="R449" s="1" t="s">
        <v>74</v>
      </c>
      <c r="S449" s="1" t="s">
        <v>74</v>
      </c>
      <c r="T449" s="1" t="s">
        <v>74</v>
      </c>
      <c r="U449" s="1" t="s">
        <v>74</v>
      </c>
      <c r="V449" s="1" t="s">
        <v>4523</v>
      </c>
      <c r="W449" s="1" t="s">
        <v>74</v>
      </c>
      <c r="X449" s="1" t="s">
        <v>74</v>
      </c>
      <c r="Y449" s="1" t="s">
        <v>74</v>
      </c>
      <c r="Z449" s="1" t="s">
        <v>74</v>
      </c>
      <c r="AA449" s="1" t="s">
        <v>1986</v>
      </c>
      <c r="AB449" s="1" t="s">
        <v>1987</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3338</v>
      </c>
      <c r="AP449" s="1" t="s">
        <v>3339</v>
      </c>
      <c r="AQ449" s="1" t="s">
        <v>74</v>
      </c>
      <c r="AR449" s="1" t="s">
        <v>74</v>
      </c>
      <c r="AS449" s="1" t="s">
        <v>74</v>
      </c>
      <c r="AT449" s="1" t="s">
        <v>2085</v>
      </c>
      <c r="AU449" s="1">
        <v>2006.0</v>
      </c>
      <c r="AV449" s="1">
        <v>69.0</v>
      </c>
      <c r="AW449" s="1">
        <v>5.0</v>
      </c>
      <c r="AX449" s="1" t="s">
        <v>74</v>
      </c>
      <c r="AY449" s="1" t="s">
        <v>74</v>
      </c>
      <c r="AZ449" s="1" t="s">
        <v>74</v>
      </c>
      <c r="BA449" s="1" t="s">
        <v>74</v>
      </c>
      <c r="BB449" s="1">
        <v>580.0</v>
      </c>
      <c r="BC449" s="1">
        <v>586.0</v>
      </c>
      <c r="BD449" s="1" t="s">
        <v>74</v>
      </c>
      <c r="BE449" s="1" t="s">
        <v>4524</v>
      </c>
      <c r="BF449" s="2" t="str">
        <f>HYPERLINK("http://dx.doi.org/10.1016/j.brainresbull.2006.02.023","http://dx.doi.org/10.1016/j.brainresbull.2006.02.023")</f>
        <v>http://dx.doi.org/10.1016/j.brainresbull.2006.02.023</v>
      </c>
      <c r="BG449" s="1" t="s">
        <v>74</v>
      </c>
      <c r="BH449" s="1" t="s">
        <v>74</v>
      </c>
      <c r="BI449" s="1" t="s">
        <v>74</v>
      </c>
      <c r="BJ449" s="1" t="s">
        <v>74</v>
      </c>
      <c r="BK449" s="1" t="s">
        <v>74</v>
      </c>
      <c r="BL449" s="1" t="s">
        <v>74</v>
      </c>
      <c r="BM449" s="1" t="s">
        <v>74</v>
      </c>
      <c r="BN449" s="1">
        <v>1.6647586E7</v>
      </c>
      <c r="BO449" s="1" t="s">
        <v>74</v>
      </c>
      <c r="BP449" s="1" t="s">
        <v>74</v>
      </c>
      <c r="BQ449" s="1" t="s">
        <v>74</v>
      </c>
      <c r="BR449" s="1" t="s">
        <v>74</v>
      </c>
      <c r="BS449" s="1" t="s">
        <v>4525</v>
      </c>
      <c r="BT449" s="1" t="str">
        <f>HYPERLINK("https%3A%2F%2Fwww.webofscience.com%2Fwos%2Fwoscc%2Ffull-record%2FWOS:000237678000011","View Full Record in Web of Science")</f>
        <v>View Full Record in Web of Science</v>
      </c>
    </row>
    <row r="450" ht="12.75" customHeight="1">
      <c r="A450" s="1" t="s">
        <v>72</v>
      </c>
      <c r="B450" s="1" t="s">
        <v>4526</v>
      </c>
      <c r="C450" s="1" t="s">
        <v>74</v>
      </c>
      <c r="D450" s="1" t="s">
        <v>74</v>
      </c>
      <c r="E450" s="1" t="s">
        <v>74</v>
      </c>
      <c r="F450" s="1" t="s">
        <v>4526</v>
      </c>
      <c r="G450" s="1" t="s">
        <v>74</v>
      </c>
      <c r="H450" s="1" t="s">
        <v>74</v>
      </c>
      <c r="I450" s="1" t="s">
        <v>4527</v>
      </c>
      <c r="J450" s="1" t="s">
        <v>3458</v>
      </c>
      <c r="K450" s="1" t="s">
        <v>74</v>
      </c>
      <c r="L450" s="1" t="s">
        <v>74</v>
      </c>
      <c r="M450" s="1" t="s">
        <v>74</v>
      </c>
      <c r="N450" s="1" t="s">
        <v>74</v>
      </c>
      <c r="O450" s="1" t="s">
        <v>74</v>
      </c>
      <c r="P450" s="1" t="s">
        <v>74</v>
      </c>
      <c r="Q450" s="1" t="s">
        <v>74</v>
      </c>
      <c r="R450" s="1" t="s">
        <v>74</v>
      </c>
      <c r="S450" s="1" t="s">
        <v>74</v>
      </c>
      <c r="T450" s="1" t="s">
        <v>74</v>
      </c>
      <c r="U450" s="1" t="s">
        <v>74</v>
      </c>
      <c r="V450" s="1" t="s">
        <v>4528</v>
      </c>
      <c r="W450" s="1" t="s">
        <v>74</v>
      </c>
      <c r="X450" s="1" t="s">
        <v>74</v>
      </c>
      <c r="Y450" s="1" t="s">
        <v>74</v>
      </c>
      <c r="Z450" s="1" t="s">
        <v>74</v>
      </c>
      <c r="AA450" s="1" t="s">
        <v>74</v>
      </c>
      <c r="AB450" s="1" t="s">
        <v>74</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3462</v>
      </c>
      <c r="AP450" s="1" t="s">
        <v>74</v>
      </c>
      <c r="AQ450" s="1" t="s">
        <v>74</v>
      </c>
      <c r="AR450" s="1" t="s">
        <v>74</v>
      </c>
      <c r="AS450" s="1" t="s">
        <v>74</v>
      </c>
      <c r="AT450" s="1" t="s">
        <v>232</v>
      </c>
      <c r="AU450" s="1">
        <v>2003.0</v>
      </c>
      <c r="AV450" s="1" t="s">
        <v>74</v>
      </c>
      <c r="AW450" s="1">
        <v>10.0</v>
      </c>
      <c r="AX450" s="1" t="s">
        <v>74</v>
      </c>
      <c r="AY450" s="1" t="s">
        <v>74</v>
      </c>
      <c r="AZ450" s="1" t="s">
        <v>74</v>
      </c>
      <c r="BA450" s="1" t="s">
        <v>74</v>
      </c>
      <c r="BB450" s="1" t="s">
        <v>74</v>
      </c>
      <c r="BC450" s="1" t="s">
        <v>74</v>
      </c>
      <c r="BD450" s="1">
        <v>69.0</v>
      </c>
      <c r="BE450" s="1" t="s">
        <v>74</v>
      </c>
      <c r="BF450" s="1" t="s">
        <v>74</v>
      </c>
      <c r="BG450" s="1" t="s">
        <v>74</v>
      </c>
      <c r="BH450" s="1" t="s">
        <v>74</v>
      </c>
      <c r="BI450" s="1" t="s">
        <v>74</v>
      </c>
      <c r="BJ450" s="1" t="s">
        <v>74</v>
      </c>
      <c r="BK450" s="1" t="s">
        <v>74</v>
      </c>
      <c r="BL450" s="1" t="s">
        <v>74</v>
      </c>
      <c r="BM450" s="1" t="s">
        <v>74</v>
      </c>
      <c r="BN450" s="1" t="s">
        <v>74</v>
      </c>
      <c r="BO450" s="1" t="s">
        <v>74</v>
      </c>
      <c r="BP450" s="1" t="s">
        <v>74</v>
      </c>
      <c r="BQ450" s="1" t="s">
        <v>74</v>
      </c>
      <c r="BR450" s="1" t="s">
        <v>74</v>
      </c>
      <c r="BS450" s="1" t="s">
        <v>4529</v>
      </c>
      <c r="BT450" s="1" t="str">
        <f>HYPERLINK("https%3A%2F%2Fwww.webofscience.com%2Fwos%2Fwoscc%2Ffull-record%2FWOS:000187912500069","View Full Record in Web of Science")</f>
        <v>View Full Record in Web of Science</v>
      </c>
    </row>
    <row r="451" ht="12.75" customHeight="1">
      <c r="A451" s="1" t="s">
        <v>72</v>
      </c>
      <c r="B451" s="1" t="s">
        <v>4530</v>
      </c>
      <c r="C451" s="1" t="s">
        <v>74</v>
      </c>
      <c r="D451" s="1" t="s">
        <v>74</v>
      </c>
      <c r="E451" s="1" t="s">
        <v>74</v>
      </c>
      <c r="F451" s="1" t="s">
        <v>4530</v>
      </c>
      <c r="G451" s="1" t="s">
        <v>74</v>
      </c>
      <c r="H451" s="1" t="s">
        <v>74</v>
      </c>
      <c r="I451" s="1" t="s">
        <v>4531</v>
      </c>
      <c r="J451" s="1" t="s">
        <v>2602</v>
      </c>
      <c r="K451" s="1" t="s">
        <v>74</v>
      </c>
      <c r="L451" s="1" t="s">
        <v>74</v>
      </c>
      <c r="M451" s="1" t="s">
        <v>74</v>
      </c>
      <c r="N451" s="1" t="s">
        <v>74</v>
      </c>
      <c r="O451" s="1" t="s">
        <v>74</v>
      </c>
      <c r="P451" s="1" t="s">
        <v>74</v>
      </c>
      <c r="Q451" s="1" t="s">
        <v>74</v>
      </c>
      <c r="R451" s="1" t="s">
        <v>74</v>
      </c>
      <c r="S451" s="1" t="s">
        <v>74</v>
      </c>
      <c r="T451" s="1" t="s">
        <v>74</v>
      </c>
      <c r="U451" s="1" t="s">
        <v>74</v>
      </c>
      <c r="V451" s="1" t="s">
        <v>4532</v>
      </c>
      <c r="W451" s="1" t="s">
        <v>74</v>
      </c>
      <c r="X451" s="1" t="s">
        <v>74</v>
      </c>
      <c r="Y451" s="1" t="s">
        <v>74</v>
      </c>
      <c r="Z451" s="1" t="s">
        <v>74</v>
      </c>
      <c r="AA451" s="1" t="s">
        <v>74</v>
      </c>
      <c r="AB451" s="1" t="s">
        <v>74</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2604</v>
      </c>
      <c r="AP451" s="1" t="s">
        <v>74</v>
      </c>
      <c r="AQ451" s="1" t="s">
        <v>74</v>
      </c>
      <c r="AR451" s="1" t="s">
        <v>74</v>
      </c>
      <c r="AS451" s="1" t="s">
        <v>74</v>
      </c>
      <c r="AT451" s="1" t="s">
        <v>95</v>
      </c>
      <c r="AU451" s="1">
        <v>2001.0</v>
      </c>
      <c r="AV451" s="1">
        <v>43.0</v>
      </c>
      <c r="AW451" s="1">
        <v>6.0</v>
      </c>
      <c r="AX451" s="1" t="s">
        <v>74</v>
      </c>
      <c r="AY451" s="1" t="s">
        <v>74</v>
      </c>
      <c r="AZ451" s="1" t="s">
        <v>74</v>
      </c>
      <c r="BA451" s="1" t="s">
        <v>74</v>
      </c>
      <c r="BB451" s="1">
        <v>418.0</v>
      </c>
      <c r="BC451" s="1">
        <v>423.0</v>
      </c>
      <c r="BD451" s="1" t="s">
        <v>74</v>
      </c>
      <c r="BE451" s="1" t="s">
        <v>4533</v>
      </c>
      <c r="BF451" s="2" t="str">
        <f>HYPERLINK("http://dx.doi.org/10.1007/s002840010331","http://dx.doi.org/10.1007/s002840010331")</f>
        <v>http://dx.doi.org/10.1007/s002840010331</v>
      </c>
      <c r="BG451" s="1" t="s">
        <v>74</v>
      </c>
      <c r="BH451" s="1" t="s">
        <v>74</v>
      </c>
      <c r="BI451" s="1" t="s">
        <v>74</v>
      </c>
      <c r="BJ451" s="1" t="s">
        <v>74</v>
      </c>
      <c r="BK451" s="1" t="s">
        <v>74</v>
      </c>
      <c r="BL451" s="1" t="s">
        <v>74</v>
      </c>
      <c r="BM451" s="1" t="s">
        <v>74</v>
      </c>
      <c r="BN451" s="1">
        <v>1.1685509E7</v>
      </c>
      <c r="BO451" s="1" t="s">
        <v>74</v>
      </c>
      <c r="BP451" s="1" t="s">
        <v>74</v>
      </c>
      <c r="BQ451" s="1" t="s">
        <v>74</v>
      </c>
      <c r="BR451" s="1" t="s">
        <v>74</v>
      </c>
      <c r="BS451" s="1" t="s">
        <v>4534</v>
      </c>
      <c r="BT451" s="1" t="str">
        <f>HYPERLINK("https%3A%2F%2Fwww.webofscience.com%2Fwos%2Fwoscc%2Ffull-record%2FWOS:000172077200008","View Full Record in Web of Science")</f>
        <v>View Full Record in Web of Science</v>
      </c>
    </row>
    <row r="452" ht="12.75" customHeight="1">
      <c r="A452" s="1" t="s">
        <v>72</v>
      </c>
      <c r="B452" s="1" t="s">
        <v>4535</v>
      </c>
      <c r="C452" s="1" t="s">
        <v>74</v>
      </c>
      <c r="D452" s="1" t="s">
        <v>74</v>
      </c>
      <c r="E452" s="1" t="s">
        <v>74</v>
      </c>
      <c r="F452" s="1" t="s">
        <v>4535</v>
      </c>
      <c r="G452" s="1" t="s">
        <v>74</v>
      </c>
      <c r="H452" s="1" t="s">
        <v>74</v>
      </c>
      <c r="I452" s="1" t="s">
        <v>4536</v>
      </c>
      <c r="J452" s="1" t="s">
        <v>4537</v>
      </c>
      <c r="K452" s="1" t="s">
        <v>74</v>
      </c>
      <c r="L452" s="1" t="s">
        <v>74</v>
      </c>
      <c r="M452" s="1" t="s">
        <v>74</v>
      </c>
      <c r="N452" s="1" t="s">
        <v>74</v>
      </c>
      <c r="O452" s="1" t="s">
        <v>74</v>
      </c>
      <c r="P452" s="1" t="s">
        <v>74</v>
      </c>
      <c r="Q452" s="1" t="s">
        <v>74</v>
      </c>
      <c r="R452" s="1" t="s">
        <v>74</v>
      </c>
      <c r="S452" s="1" t="s">
        <v>74</v>
      </c>
      <c r="T452" s="1" t="s">
        <v>74</v>
      </c>
      <c r="U452" s="1" t="s">
        <v>74</v>
      </c>
      <c r="V452" s="1" t="s">
        <v>4538</v>
      </c>
      <c r="W452" s="1" t="s">
        <v>74</v>
      </c>
      <c r="X452" s="1" t="s">
        <v>74</v>
      </c>
      <c r="Y452" s="1" t="s">
        <v>74</v>
      </c>
      <c r="Z452" s="1" t="s">
        <v>74</v>
      </c>
      <c r="AA452" s="1" t="s">
        <v>4539</v>
      </c>
      <c r="AB452" s="1" t="s">
        <v>74</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4540</v>
      </c>
      <c r="AP452" s="1" t="s">
        <v>74</v>
      </c>
      <c r="AQ452" s="1" t="s">
        <v>74</v>
      </c>
      <c r="AR452" s="1" t="s">
        <v>74</v>
      </c>
      <c r="AS452" s="1" t="s">
        <v>74</v>
      </c>
      <c r="AT452" s="1" t="s">
        <v>596</v>
      </c>
      <c r="AU452" s="1">
        <v>2000.0</v>
      </c>
      <c r="AV452" s="1">
        <v>15.0</v>
      </c>
      <c r="AW452" s="1">
        <v>6.0</v>
      </c>
      <c r="AX452" s="1" t="s">
        <v>74</v>
      </c>
      <c r="AY452" s="1" t="s">
        <v>74</v>
      </c>
      <c r="AZ452" s="1" t="s">
        <v>74</v>
      </c>
      <c r="BA452" s="1" t="s">
        <v>74</v>
      </c>
      <c r="BB452" s="1">
        <v>469.0</v>
      </c>
      <c r="BC452" s="1">
        <v>471.0</v>
      </c>
      <c r="BD452" s="1" t="s">
        <v>74</v>
      </c>
      <c r="BE452" s="1" t="s">
        <v>4541</v>
      </c>
      <c r="BF452" s="2" t="str">
        <f>HYPERLINK("http://dx.doi.org/10.1093/mutage/15.6.469","http://dx.doi.org/10.1093/mutage/15.6.469")</f>
        <v>http://dx.doi.org/10.1093/mutage/15.6.469</v>
      </c>
      <c r="BG452" s="1" t="s">
        <v>74</v>
      </c>
      <c r="BH452" s="1" t="s">
        <v>74</v>
      </c>
      <c r="BI452" s="1" t="s">
        <v>74</v>
      </c>
      <c r="BJ452" s="1" t="s">
        <v>74</v>
      </c>
      <c r="BK452" s="1" t="s">
        <v>74</v>
      </c>
      <c r="BL452" s="1" t="s">
        <v>74</v>
      </c>
      <c r="BM452" s="1" t="s">
        <v>74</v>
      </c>
      <c r="BN452" s="1">
        <v>1.1076997E7</v>
      </c>
      <c r="BO452" s="1" t="s">
        <v>74</v>
      </c>
      <c r="BP452" s="1" t="s">
        <v>74</v>
      </c>
      <c r="BQ452" s="1" t="s">
        <v>74</v>
      </c>
      <c r="BR452" s="1" t="s">
        <v>74</v>
      </c>
      <c r="BS452" s="1" t="s">
        <v>4542</v>
      </c>
      <c r="BT452" s="1" t="str">
        <f>HYPERLINK("https%3A%2F%2Fwww.webofscience.com%2Fwos%2Fwoscc%2Ffull-record%2FWOS:000165727300003","View Full Record in Web of Science")</f>
        <v>View Full Record in Web of Science</v>
      </c>
    </row>
    <row r="453" ht="12.75" customHeight="1">
      <c r="A453" s="1" t="s">
        <v>72</v>
      </c>
      <c r="B453" s="1" t="s">
        <v>4543</v>
      </c>
      <c r="C453" s="1" t="s">
        <v>74</v>
      </c>
      <c r="D453" s="1" t="s">
        <v>74</v>
      </c>
      <c r="E453" s="1" t="s">
        <v>74</v>
      </c>
      <c r="F453" s="1" t="s">
        <v>4543</v>
      </c>
      <c r="G453" s="1" t="s">
        <v>74</v>
      </c>
      <c r="H453" s="1" t="s">
        <v>74</v>
      </c>
      <c r="I453" s="1" t="s">
        <v>4544</v>
      </c>
      <c r="J453" s="1" t="s">
        <v>4545</v>
      </c>
      <c r="K453" s="1" t="s">
        <v>74</v>
      </c>
      <c r="L453" s="1" t="s">
        <v>74</v>
      </c>
      <c r="M453" s="1" t="s">
        <v>74</v>
      </c>
      <c r="N453" s="1" t="s">
        <v>74</v>
      </c>
      <c r="O453" s="1" t="s">
        <v>74</v>
      </c>
      <c r="P453" s="1" t="s">
        <v>74</v>
      </c>
      <c r="Q453" s="1" t="s">
        <v>74</v>
      </c>
      <c r="R453" s="1" t="s">
        <v>74</v>
      </c>
      <c r="S453" s="1" t="s">
        <v>74</v>
      </c>
      <c r="T453" s="1" t="s">
        <v>74</v>
      </c>
      <c r="U453" s="1" t="s">
        <v>74</v>
      </c>
      <c r="V453" s="1" t="s">
        <v>74</v>
      </c>
      <c r="W453" s="1" t="s">
        <v>74</v>
      </c>
      <c r="X453" s="1" t="s">
        <v>74</v>
      </c>
      <c r="Y453" s="1" t="s">
        <v>74</v>
      </c>
      <c r="Z453" s="1" t="s">
        <v>74</v>
      </c>
      <c r="AA453" s="1" t="s">
        <v>849</v>
      </c>
      <c r="AB453" s="1" t="s">
        <v>850</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4546</v>
      </c>
      <c r="AP453" s="1" t="s">
        <v>74</v>
      </c>
      <c r="AQ453" s="1" t="s">
        <v>74</v>
      </c>
      <c r="AR453" s="1" t="s">
        <v>74</v>
      </c>
      <c r="AS453" s="1" t="s">
        <v>74</v>
      </c>
      <c r="AT453" s="1" t="s">
        <v>4547</v>
      </c>
      <c r="AU453" s="1">
        <v>1990.0</v>
      </c>
      <c r="AV453" s="1">
        <v>23.0</v>
      </c>
      <c r="AW453" s="1">
        <v>17.0</v>
      </c>
      <c r="AX453" s="1" t="s">
        <v>74</v>
      </c>
      <c r="AY453" s="1" t="s">
        <v>74</v>
      </c>
      <c r="AZ453" s="1" t="s">
        <v>74</v>
      </c>
      <c r="BA453" s="1" t="s">
        <v>74</v>
      </c>
      <c r="BB453" s="1">
        <v>3878.0</v>
      </c>
      <c r="BC453" s="1">
        <v>3881.0</v>
      </c>
      <c r="BD453" s="1" t="s">
        <v>74</v>
      </c>
      <c r="BE453" s="1" t="s">
        <v>4548</v>
      </c>
      <c r="BF453" s="2" t="str">
        <f>HYPERLINK("http://dx.doi.org/10.1021/ma00219a002","http://dx.doi.org/10.1021/ma00219a002")</f>
        <v>http://dx.doi.org/10.1021/ma00219a002</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4549</v>
      </c>
      <c r="BT453" s="1" t="str">
        <f>HYPERLINK("https%3A%2F%2Fwww.webofscience.com%2Fwos%2Fwoscc%2Ffull-record%2FWOS:A1990DV11800002","View Full Record in Web of Science")</f>
        <v>View Full Record in Web of Science</v>
      </c>
    </row>
    <row r="454" ht="12.75" customHeight="1">
      <c r="A454" s="1" t="s">
        <v>72</v>
      </c>
      <c r="B454" s="1" t="s">
        <v>4550</v>
      </c>
      <c r="C454" s="1" t="s">
        <v>74</v>
      </c>
      <c r="D454" s="1" t="s">
        <v>74</v>
      </c>
      <c r="E454" s="1" t="s">
        <v>74</v>
      </c>
      <c r="F454" s="1" t="s">
        <v>4551</v>
      </c>
      <c r="G454" s="1" t="s">
        <v>74</v>
      </c>
      <c r="H454" s="1" t="s">
        <v>74</v>
      </c>
      <c r="I454" s="1" t="s">
        <v>4552</v>
      </c>
      <c r="J454" s="1" t="s">
        <v>4553</v>
      </c>
      <c r="K454" s="1" t="s">
        <v>74</v>
      </c>
      <c r="L454" s="1" t="s">
        <v>74</v>
      </c>
      <c r="M454" s="1" t="s">
        <v>74</v>
      </c>
      <c r="N454" s="1" t="s">
        <v>74</v>
      </c>
      <c r="O454" s="1" t="s">
        <v>74</v>
      </c>
      <c r="P454" s="1" t="s">
        <v>74</v>
      </c>
      <c r="Q454" s="1" t="s">
        <v>74</v>
      </c>
      <c r="R454" s="1" t="s">
        <v>74</v>
      </c>
      <c r="S454" s="1" t="s">
        <v>74</v>
      </c>
      <c r="T454" s="1" t="s">
        <v>74</v>
      </c>
      <c r="U454" s="1" t="s">
        <v>74</v>
      </c>
      <c r="V454" s="1" t="s">
        <v>4554</v>
      </c>
      <c r="W454" s="1" t="s">
        <v>74</v>
      </c>
      <c r="X454" s="1" t="s">
        <v>74</v>
      </c>
      <c r="Y454" s="1" t="s">
        <v>74</v>
      </c>
      <c r="Z454" s="1" t="s">
        <v>74</v>
      </c>
      <c r="AA454" s="1" t="s">
        <v>4555</v>
      </c>
      <c r="AB454" s="1" t="s">
        <v>4556</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4557</v>
      </c>
      <c r="AP454" s="1" t="s">
        <v>4558</v>
      </c>
      <c r="AQ454" s="1" t="s">
        <v>74</v>
      </c>
      <c r="AR454" s="1" t="s">
        <v>74</v>
      </c>
      <c r="AS454" s="1" t="s">
        <v>74</v>
      </c>
      <c r="AT454" s="1" t="s">
        <v>4559</v>
      </c>
      <c r="AU454" s="1">
        <v>2025.0</v>
      </c>
      <c r="AV454" s="1">
        <v>31.0</v>
      </c>
      <c r="AW454" s="1">
        <v>2.0</v>
      </c>
      <c r="AX454" s="1" t="s">
        <v>74</v>
      </c>
      <c r="AY454" s="1" t="s">
        <v>74</v>
      </c>
      <c r="AZ454" s="1" t="s">
        <v>74</v>
      </c>
      <c r="BA454" s="1" t="s">
        <v>74</v>
      </c>
      <c r="BB454" s="1">
        <v>234.0</v>
      </c>
      <c r="BC454" s="1">
        <v>241.0</v>
      </c>
      <c r="BD454" s="1" t="s">
        <v>74</v>
      </c>
      <c r="BE454" s="1" t="s">
        <v>4560</v>
      </c>
      <c r="BF454" s="2" t="str">
        <f>HYPERLINK("http://dx.doi.org/10.1089/tmj.2023.0660","http://dx.doi.org/10.1089/tmj.2023.0660")</f>
        <v>http://dx.doi.org/10.1089/tmj.2023.0660</v>
      </c>
      <c r="BG454" s="1" t="s">
        <v>74</v>
      </c>
      <c r="BH454" s="1" t="s">
        <v>1646</v>
      </c>
      <c r="BI454" s="1" t="s">
        <v>74</v>
      </c>
      <c r="BJ454" s="1" t="s">
        <v>74</v>
      </c>
      <c r="BK454" s="1" t="s">
        <v>74</v>
      </c>
      <c r="BL454" s="1" t="s">
        <v>74</v>
      </c>
      <c r="BM454" s="1" t="s">
        <v>74</v>
      </c>
      <c r="BN454" s="1">
        <v>3.9358324E7</v>
      </c>
      <c r="BO454" s="1" t="s">
        <v>74</v>
      </c>
      <c r="BP454" s="1" t="s">
        <v>74</v>
      </c>
      <c r="BQ454" s="1" t="s">
        <v>74</v>
      </c>
      <c r="BR454" s="1" t="s">
        <v>74</v>
      </c>
      <c r="BS454" s="1" t="s">
        <v>4561</v>
      </c>
      <c r="BT454" s="1" t="str">
        <f>HYPERLINK("https%3A%2F%2Fwww.webofscience.com%2Fwos%2Fwoscc%2Ffull-record%2FWOS:001324400100001","View Full Record in Web of Science")</f>
        <v>View Full Record in Web of Science</v>
      </c>
    </row>
    <row r="455" ht="12.75" customHeight="1">
      <c r="A455" s="1" t="s">
        <v>72</v>
      </c>
      <c r="B455" s="1" t="s">
        <v>4562</v>
      </c>
      <c r="C455" s="1" t="s">
        <v>74</v>
      </c>
      <c r="D455" s="1" t="s">
        <v>74</v>
      </c>
      <c r="E455" s="1" t="s">
        <v>74</v>
      </c>
      <c r="F455" s="1" t="s">
        <v>4563</v>
      </c>
      <c r="G455" s="1" t="s">
        <v>74</v>
      </c>
      <c r="H455" s="1" t="s">
        <v>74</v>
      </c>
      <c r="I455" s="1" t="s">
        <v>4564</v>
      </c>
      <c r="J455" s="1" t="s">
        <v>421</v>
      </c>
      <c r="K455" s="1" t="s">
        <v>74</v>
      </c>
      <c r="L455" s="1" t="s">
        <v>74</v>
      </c>
      <c r="M455" s="1" t="s">
        <v>74</v>
      </c>
      <c r="N455" s="1" t="s">
        <v>74</v>
      </c>
      <c r="O455" s="1" t="s">
        <v>74</v>
      </c>
      <c r="P455" s="1" t="s">
        <v>74</v>
      </c>
      <c r="Q455" s="1" t="s">
        <v>74</v>
      </c>
      <c r="R455" s="1" t="s">
        <v>74</v>
      </c>
      <c r="S455" s="1" t="s">
        <v>74</v>
      </c>
      <c r="T455" s="1" t="s">
        <v>74</v>
      </c>
      <c r="U455" s="1" t="s">
        <v>74</v>
      </c>
      <c r="V455" s="1" t="s">
        <v>4565</v>
      </c>
      <c r="W455" s="1" t="s">
        <v>74</v>
      </c>
      <c r="X455" s="1" t="s">
        <v>74</v>
      </c>
      <c r="Y455" s="1" t="s">
        <v>74</v>
      </c>
      <c r="Z455" s="1" t="s">
        <v>74</v>
      </c>
      <c r="AA455" s="1" t="s">
        <v>4566</v>
      </c>
      <c r="AB455" s="1" t="s">
        <v>4567</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425</v>
      </c>
      <c r="AP455" s="1" t="s">
        <v>426</v>
      </c>
      <c r="AQ455" s="1" t="s">
        <v>74</v>
      </c>
      <c r="AR455" s="1" t="s">
        <v>74</v>
      </c>
      <c r="AS455" s="1" t="s">
        <v>74</v>
      </c>
      <c r="AT455" s="1" t="s">
        <v>4568</v>
      </c>
      <c r="AU455" s="1">
        <v>2024.0</v>
      </c>
      <c r="AV455" s="1">
        <v>682.0</v>
      </c>
      <c r="AW455" s="1" t="s">
        <v>74</v>
      </c>
      <c r="AX455" s="1" t="s">
        <v>74</v>
      </c>
      <c r="AY455" s="1" t="s">
        <v>74</v>
      </c>
      <c r="AZ455" s="1" t="s">
        <v>74</v>
      </c>
      <c r="BA455" s="1" t="s">
        <v>74</v>
      </c>
      <c r="BB455" s="1" t="s">
        <v>74</v>
      </c>
      <c r="BC455" s="1" t="s">
        <v>74</v>
      </c>
      <c r="BD455" s="1">
        <v>119807.0</v>
      </c>
      <c r="BE455" s="1" t="s">
        <v>4569</v>
      </c>
      <c r="BF455" s="2" t="str">
        <f>HYPERLINK("http://dx.doi.org/10.1016/j.apcata.2024.119807","http://dx.doi.org/10.1016/j.apcata.2024.119807")</f>
        <v>http://dx.doi.org/10.1016/j.apcata.2024.119807</v>
      </c>
      <c r="BG455" s="1" t="s">
        <v>74</v>
      </c>
      <c r="BH455" s="1" t="s">
        <v>2099</v>
      </c>
      <c r="BI455" s="1" t="s">
        <v>74</v>
      </c>
      <c r="BJ455" s="1" t="s">
        <v>74</v>
      </c>
      <c r="BK455" s="1" t="s">
        <v>74</v>
      </c>
      <c r="BL455" s="1" t="s">
        <v>74</v>
      </c>
      <c r="BM455" s="1" t="s">
        <v>74</v>
      </c>
      <c r="BN455" s="1" t="s">
        <v>74</v>
      </c>
      <c r="BO455" s="1" t="s">
        <v>74</v>
      </c>
      <c r="BP455" s="1" t="s">
        <v>74</v>
      </c>
      <c r="BQ455" s="1" t="s">
        <v>74</v>
      </c>
      <c r="BR455" s="1" t="s">
        <v>74</v>
      </c>
      <c r="BS455" s="1" t="s">
        <v>4570</v>
      </c>
      <c r="BT455" s="1" t="str">
        <f>HYPERLINK("https%3A%2F%2Fwww.webofscience.com%2Fwos%2Fwoscc%2Ffull-record%2FWOS:001246092600001","View Full Record in Web of Science")</f>
        <v>View Full Record in Web of Science</v>
      </c>
    </row>
    <row r="456" ht="12.75" customHeight="1">
      <c r="A456" s="1" t="s">
        <v>72</v>
      </c>
      <c r="B456" s="1" t="s">
        <v>4571</v>
      </c>
      <c r="C456" s="1" t="s">
        <v>74</v>
      </c>
      <c r="D456" s="1" t="s">
        <v>74</v>
      </c>
      <c r="E456" s="1" t="s">
        <v>74</v>
      </c>
      <c r="F456" s="1" t="s">
        <v>4572</v>
      </c>
      <c r="G456" s="1" t="s">
        <v>74</v>
      </c>
      <c r="H456" s="1" t="s">
        <v>74</v>
      </c>
      <c r="I456" s="1" t="s">
        <v>4573</v>
      </c>
      <c r="J456" s="1" t="s">
        <v>4574</v>
      </c>
      <c r="K456" s="1" t="s">
        <v>74</v>
      </c>
      <c r="L456" s="1" t="s">
        <v>74</v>
      </c>
      <c r="M456" s="1" t="s">
        <v>74</v>
      </c>
      <c r="N456" s="1" t="s">
        <v>74</v>
      </c>
      <c r="O456" s="1" t="s">
        <v>74</v>
      </c>
      <c r="P456" s="1" t="s">
        <v>74</v>
      </c>
      <c r="Q456" s="1" t="s">
        <v>74</v>
      </c>
      <c r="R456" s="1" t="s">
        <v>74</v>
      </c>
      <c r="S456" s="1" t="s">
        <v>74</v>
      </c>
      <c r="T456" s="1" t="s">
        <v>74</v>
      </c>
      <c r="U456" s="1" t="s">
        <v>74</v>
      </c>
      <c r="V456" s="1" t="s">
        <v>4575</v>
      </c>
      <c r="W456" s="1" t="s">
        <v>74</v>
      </c>
      <c r="X456" s="1" t="s">
        <v>74</v>
      </c>
      <c r="Y456" s="1" t="s">
        <v>74</v>
      </c>
      <c r="Z456" s="1" t="s">
        <v>74</v>
      </c>
      <c r="AA456" s="1" t="s">
        <v>4576</v>
      </c>
      <c r="AB456" s="1" t="s">
        <v>4577</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4578</v>
      </c>
      <c r="AP456" s="1" t="s">
        <v>4579</v>
      </c>
      <c r="AQ456" s="1" t="s">
        <v>74</v>
      </c>
      <c r="AR456" s="1" t="s">
        <v>74</v>
      </c>
      <c r="AS456" s="1" t="s">
        <v>74</v>
      </c>
      <c r="AT456" s="1" t="s">
        <v>2285</v>
      </c>
      <c r="AU456" s="1">
        <v>2024.0</v>
      </c>
      <c r="AV456" s="1">
        <v>177.0</v>
      </c>
      <c r="AW456" s="1" t="s">
        <v>74</v>
      </c>
      <c r="AX456" s="1" t="s">
        <v>74</v>
      </c>
      <c r="AY456" s="1" t="s">
        <v>74</v>
      </c>
      <c r="AZ456" s="1" t="s">
        <v>74</v>
      </c>
      <c r="BA456" s="1" t="s">
        <v>74</v>
      </c>
      <c r="BB456" s="1">
        <v>106.0</v>
      </c>
      <c r="BC456" s="1">
        <v>114.0</v>
      </c>
      <c r="BD456" s="1" t="s">
        <v>74</v>
      </c>
      <c r="BE456" s="1" t="s">
        <v>4580</v>
      </c>
      <c r="BF456" s="2" t="str">
        <f>HYPERLINK("http://dx.doi.org/10.1016/j.wasman.2024.01.039","http://dx.doi.org/10.1016/j.wasman.2024.01.039")</f>
        <v>http://dx.doi.org/10.1016/j.wasman.2024.01.039</v>
      </c>
      <c r="BG456" s="1" t="s">
        <v>74</v>
      </c>
      <c r="BH456" s="1" t="s">
        <v>122</v>
      </c>
      <c r="BI456" s="1" t="s">
        <v>74</v>
      </c>
      <c r="BJ456" s="1" t="s">
        <v>74</v>
      </c>
      <c r="BK456" s="1" t="s">
        <v>74</v>
      </c>
      <c r="BL456" s="1" t="s">
        <v>74</v>
      </c>
      <c r="BM456" s="1" t="s">
        <v>74</v>
      </c>
      <c r="BN456" s="1">
        <v>3.830692E7</v>
      </c>
      <c r="BO456" s="1" t="s">
        <v>74</v>
      </c>
      <c r="BP456" s="1" t="s">
        <v>74</v>
      </c>
      <c r="BQ456" s="1" t="s">
        <v>74</v>
      </c>
      <c r="BR456" s="1" t="s">
        <v>74</v>
      </c>
      <c r="BS456" s="1" t="s">
        <v>4581</v>
      </c>
      <c r="BT456" s="1" t="str">
        <f>HYPERLINK("https%3A%2F%2Fwww.webofscience.com%2Fwos%2Fwoscc%2Ffull-record%2FWOS:001178932400001","View Full Record in Web of Science")</f>
        <v>View Full Record in Web of Science</v>
      </c>
    </row>
    <row r="457" ht="12.75" customHeight="1">
      <c r="A457" s="1" t="s">
        <v>72</v>
      </c>
      <c r="B457" s="1" t="s">
        <v>4582</v>
      </c>
      <c r="C457" s="1" t="s">
        <v>74</v>
      </c>
      <c r="D457" s="1" t="s">
        <v>74</v>
      </c>
      <c r="E457" s="1" t="s">
        <v>74</v>
      </c>
      <c r="F457" s="1" t="s">
        <v>4583</v>
      </c>
      <c r="G457" s="1" t="s">
        <v>74</v>
      </c>
      <c r="H457" s="1" t="s">
        <v>74</v>
      </c>
      <c r="I457" s="1" t="s">
        <v>4584</v>
      </c>
      <c r="J457" s="1" t="s">
        <v>4585</v>
      </c>
      <c r="K457" s="1" t="s">
        <v>74</v>
      </c>
      <c r="L457" s="1" t="s">
        <v>74</v>
      </c>
      <c r="M457" s="1" t="s">
        <v>74</v>
      </c>
      <c r="N457" s="1" t="s">
        <v>74</v>
      </c>
      <c r="O457" s="1" t="s">
        <v>74</v>
      </c>
      <c r="P457" s="1" t="s">
        <v>74</v>
      </c>
      <c r="Q457" s="1" t="s">
        <v>74</v>
      </c>
      <c r="R457" s="1" t="s">
        <v>74</v>
      </c>
      <c r="S457" s="1" t="s">
        <v>74</v>
      </c>
      <c r="T457" s="1" t="s">
        <v>74</v>
      </c>
      <c r="U457" s="1" t="s">
        <v>74</v>
      </c>
      <c r="V457" s="1" t="s">
        <v>4586</v>
      </c>
      <c r="W457" s="1" t="s">
        <v>74</v>
      </c>
      <c r="X457" s="1" t="s">
        <v>74</v>
      </c>
      <c r="Y457" s="1" t="s">
        <v>74</v>
      </c>
      <c r="Z457" s="1" t="s">
        <v>74</v>
      </c>
      <c r="AA457" s="1" t="s">
        <v>4587</v>
      </c>
      <c r="AB457" s="1" t="s">
        <v>4556</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74</v>
      </c>
      <c r="AP457" s="1" t="s">
        <v>4588</v>
      </c>
      <c r="AQ457" s="1" t="s">
        <v>74</v>
      </c>
      <c r="AR457" s="1" t="s">
        <v>74</v>
      </c>
      <c r="AS457" s="1" t="s">
        <v>74</v>
      </c>
      <c r="AT457" s="1" t="s">
        <v>83</v>
      </c>
      <c r="AU457" s="1">
        <v>2023.0</v>
      </c>
      <c r="AV457" s="1">
        <v>11.0</v>
      </c>
      <c r="AW457" s="1">
        <v>5.0</v>
      </c>
      <c r="AX457" s="1" t="s">
        <v>74</v>
      </c>
      <c r="AY457" s="1" t="s">
        <v>74</v>
      </c>
      <c r="AZ457" s="1" t="s">
        <v>74</v>
      </c>
      <c r="BA457" s="1" t="s">
        <v>74</v>
      </c>
      <c r="BB457" s="1" t="s">
        <v>74</v>
      </c>
      <c r="BC457" s="1" t="s">
        <v>74</v>
      </c>
      <c r="BD457" s="1">
        <v>633.0</v>
      </c>
      <c r="BE457" s="1" t="s">
        <v>4589</v>
      </c>
      <c r="BF457" s="2" t="str">
        <f>HYPERLINK("http://dx.doi.org/10.3390/healthcare11050633","http://dx.doi.org/10.3390/healthcare11050633")</f>
        <v>http://dx.doi.org/10.3390/healthcare11050633</v>
      </c>
      <c r="BG457" s="1" t="s">
        <v>74</v>
      </c>
      <c r="BH457" s="1" t="s">
        <v>74</v>
      </c>
      <c r="BI457" s="1" t="s">
        <v>74</v>
      </c>
      <c r="BJ457" s="1" t="s">
        <v>74</v>
      </c>
      <c r="BK457" s="1" t="s">
        <v>74</v>
      </c>
      <c r="BL457" s="1" t="s">
        <v>74</v>
      </c>
      <c r="BM457" s="1" t="s">
        <v>74</v>
      </c>
      <c r="BN457" s="1">
        <v>3.690064E7</v>
      </c>
      <c r="BO457" s="1" t="s">
        <v>74</v>
      </c>
      <c r="BP457" s="1" t="s">
        <v>74</v>
      </c>
      <c r="BQ457" s="1" t="s">
        <v>74</v>
      </c>
      <c r="BR457" s="1" t="s">
        <v>74</v>
      </c>
      <c r="BS457" s="1" t="s">
        <v>4590</v>
      </c>
      <c r="BT457" s="1" t="str">
        <f>HYPERLINK("https%3A%2F%2Fwww.webofscience.com%2Fwos%2Fwoscc%2Ffull-record%2FWOS:000947659700001","View Full Record in Web of Science")</f>
        <v>View Full Record in Web of Science</v>
      </c>
    </row>
    <row r="458" ht="12.75" customHeight="1">
      <c r="A458" s="1" t="s">
        <v>72</v>
      </c>
      <c r="B458" s="1" t="s">
        <v>4591</v>
      </c>
      <c r="C458" s="1" t="s">
        <v>74</v>
      </c>
      <c r="D458" s="1" t="s">
        <v>74</v>
      </c>
      <c r="E458" s="1" t="s">
        <v>74</v>
      </c>
      <c r="F458" s="1" t="s">
        <v>4592</v>
      </c>
      <c r="G458" s="1" t="s">
        <v>74</v>
      </c>
      <c r="H458" s="1" t="s">
        <v>74</v>
      </c>
      <c r="I458" s="1" t="s">
        <v>4593</v>
      </c>
      <c r="J458" s="1" t="s">
        <v>908</v>
      </c>
      <c r="K458" s="1" t="s">
        <v>74</v>
      </c>
      <c r="L458" s="1" t="s">
        <v>74</v>
      </c>
      <c r="M458" s="1" t="s">
        <v>74</v>
      </c>
      <c r="N458" s="1" t="s">
        <v>74</v>
      </c>
      <c r="O458" s="1" t="s">
        <v>74</v>
      </c>
      <c r="P458" s="1" t="s">
        <v>74</v>
      </c>
      <c r="Q458" s="1" t="s">
        <v>74</v>
      </c>
      <c r="R458" s="1" t="s">
        <v>74</v>
      </c>
      <c r="S458" s="1" t="s">
        <v>74</v>
      </c>
      <c r="T458" s="1" t="s">
        <v>74</v>
      </c>
      <c r="U458" s="1" t="s">
        <v>74</v>
      </c>
      <c r="V458" s="1" t="s">
        <v>4594</v>
      </c>
      <c r="W458" s="1" t="s">
        <v>74</v>
      </c>
      <c r="X458" s="1" t="s">
        <v>74</v>
      </c>
      <c r="Y458" s="1" t="s">
        <v>74</v>
      </c>
      <c r="Z458" s="1" t="s">
        <v>74</v>
      </c>
      <c r="AA458" s="1" t="s">
        <v>4595</v>
      </c>
      <c r="AB458" s="1" t="s">
        <v>4596</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74</v>
      </c>
      <c r="AP458" s="1" t="s">
        <v>912</v>
      </c>
      <c r="AQ458" s="1" t="s">
        <v>74</v>
      </c>
      <c r="AR458" s="1" t="s">
        <v>74</v>
      </c>
      <c r="AS458" s="1" t="s">
        <v>74</v>
      </c>
      <c r="AT458" s="1" t="s">
        <v>496</v>
      </c>
      <c r="AU458" s="1">
        <v>2023.0</v>
      </c>
      <c r="AV458" s="1">
        <v>15.0</v>
      </c>
      <c r="AW458" s="1">
        <v>1.0</v>
      </c>
      <c r="AX458" s="1" t="s">
        <v>74</v>
      </c>
      <c r="AY458" s="1" t="s">
        <v>74</v>
      </c>
      <c r="AZ458" s="1" t="s">
        <v>74</v>
      </c>
      <c r="BA458" s="1" t="s">
        <v>74</v>
      </c>
      <c r="BB458" s="1" t="s">
        <v>74</v>
      </c>
      <c r="BC458" s="1" t="s">
        <v>74</v>
      </c>
      <c r="BD458" s="1">
        <v>135.0</v>
      </c>
      <c r="BE458" s="1" t="s">
        <v>4597</v>
      </c>
      <c r="BF458" s="2" t="str">
        <f>HYPERLINK("http://dx.doi.org/10.3390/polym15010135","http://dx.doi.org/10.3390/polym15010135")</f>
        <v>http://dx.doi.org/10.3390/polym15010135</v>
      </c>
      <c r="BG458" s="1" t="s">
        <v>74</v>
      </c>
      <c r="BH458" s="1" t="s">
        <v>74</v>
      </c>
      <c r="BI458" s="1" t="s">
        <v>74</v>
      </c>
      <c r="BJ458" s="1" t="s">
        <v>74</v>
      </c>
      <c r="BK458" s="1" t="s">
        <v>74</v>
      </c>
      <c r="BL458" s="1" t="s">
        <v>74</v>
      </c>
      <c r="BM458" s="1" t="s">
        <v>74</v>
      </c>
      <c r="BN458" s="1">
        <v>3.6616482E7</v>
      </c>
      <c r="BO458" s="1" t="s">
        <v>74</v>
      </c>
      <c r="BP458" s="1" t="s">
        <v>74</v>
      </c>
      <c r="BQ458" s="1" t="s">
        <v>74</v>
      </c>
      <c r="BR458" s="1" t="s">
        <v>74</v>
      </c>
      <c r="BS458" s="1" t="s">
        <v>4598</v>
      </c>
      <c r="BT458" s="1" t="str">
        <f>HYPERLINK("https%3A%2F%2Fwww.webofscience.com%2Fwos%2Fwoscc%2Ffull-record%2FWOS:000909089500001","View Full Record in Web of Science")</f>
        <v>View Full Record in Web of Science</v>
      </c>
    </row>
    <row r="459" ht="12.75" customHeight="1">
      <c r="A459" s="1" t="s">
        <v>72</v>
      </c>
      <c r="B459" s="1" t="s">
        <v>4599</v>
      </c>
      <c r="C459" s="1" t="s">
        <v>74</v>
      </c>
      <c r="D459" s="1" t="s">
        <v>74</v>
      </c>
      <c r="E459" s="1" t="s">
        <v>74</v>
      </c>
      <c r="F459" s="1" t="s">
        <v>4600</v>
      </c>
      <c r="G459" s="1" t="s">
        <v>74</v>
      </c>
      <c r="H459" s="1" t="s">
        <v>74</v>
      </c>
      <c r="I459" s="1" t="s">
        <v>4601</v>
      </c>
      <c r="J459" s="1" t="s">
        <v>4602</v>
      </c>
      <c r="K459" s="1" t="s">
        <v>74</v>
      </c>
      <c r="L459" s="1" t="s">
        <v>74</v>
      </c>
      <c r="M459" s="1" t="s">
        <v>74</v>
      </c>
      <c r="N459" s="1" t="s">
        <v>74</v>
      </c>
      <c r="O459" s="1" t="s">
        <v>74</v>
      </c>
      <c r="P459" s="1" t="s">
        <v>74</v>
      </c>
      <c r="Q459" s="1" t="s">
        <v>74</v>
      </c>
      <c r="R459" s="1" t="s">
        <v>74</v>
      </c>
      <c r="S459" s="1" t="s">
        <v>74</v>
      </c>
      <c r="T459" s="1" t="s">
        <v>74</v>
      </c>
      <c r="U459" s="1" t="s">
        <v>74</v>
      </c>
      <c r="V459" s="1" t="s">
        <v>4603</v>
      </c>
      <c r="W459" s="1" t="s">
        <v>74</v>
      </c>
      <c r="X459" s="1" t="s">
        <v>74</v>
      </c>
      <c r="Y459" s="1" t="s">
        <v>74</v>
      </c>
      <c r="Z459" s="1" t="s">
        <v>74</v>
      </c>
      <c r="AA459" s="1" t="s">
        <v>4604</v>
      </c>
      <c r="AB459" s="1" t="s">
        <v>4605</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74</v>
      </c>
      <c r="AP459" s="1" t="s">
        <v>4606</v>
      </c>
      <c r="AQ459" s="1" t="s">
        <v>74</v>
      </c>
      <c r="AR459" s="1" t="s">
        <v>74</v>
      </c>
      <c r="AS459" s="1" t="s">
        <v>74</v>
      </c>
      <c r="AT459" s="1" t="s">
        <v>309</v>
      </c>
      <c r="AU459" s="1">
        <v>2022.0</v>
      </c>
      <c r="AV459" s="1">
        <v>10.0</v>
      </c>
      <c r="AW459" s="1" t="s">
        <v>74</v>
      </c>
      <c r="AX459" s="1" t="s">
        <v>74</v>
      </c>
      <c r="AY459" s="1" t="s">
        <v>74</v>
      </c>
      <c r="AZ459" s="1" t="s">
        <v>74</v>
      </c>
      <c r="BA459" s="1" t="s">
        <v>74</v>
      </c>
      <c r="BB459" s="1" t="s">
        <v>74</v>
      </c>
      <c r="BC459" s="1" t="s">
        <v>74</v>
      </c>
      <c r="BD459" s="1">
        <v>976875.0</v>
      </c>
      <c r="BE459" s="1" t="s">
        <v>4607</v>
      </c>
      <c r="BF459" s="2" t="str">
        <f>HYPERLINK("http://dx.doi.org/10.3389/fpubh.2022.976875","http://dx.doi.org/10.3389/fpubh.2022.976875")</f>
        <v>http://dx.doi.org/10.3389/fpubh.2022.976875</v>
      </c>
      <c r="BG459" s="1" t="s">
        <v>74</v>
      </c>
      <c r="BH459" s="1" t="s">
        <v>74</v>
      </c>
      <c r="BI459" s="1" t="s">
        <v>74</v>
      </c>
      <c r="BJ459" s="1" t="s">
        <v>74</v>
      </c>
      <c r="BK459" s="1" t="s">
        <v>74</v>
      </c>
      <c r="BL459" s="1" t="s">
        <v>74</v>
      </c>
      <c r="BM459" s="1" t="s">
        <v>74</v>
      </c>
      <c r="BN459" s="1">
        <v>3.6339133E7</v>
      </c>
      <c r="BO459" s="1" t="s">
        <v>74</v>
      </c>
      <c r="BP459" s="1" t="s">
        <v>74</v>
      </c>
      <c r="BQ459" s="1" t="s">
        <v>74</v>
      </c>
      <c r="BR459" s="1" t="s">
        <v>74</v>
      </c>
      <c r="BS459" s="1" t="s">
        <v>4608</v>
      </c>
      <c r="BT459" s="1" t="str">
        <f>HYPERLINK("https%3A%2F%2Fwww.webofscience.com%2Fwos%2Fwoscc%2Ffull-record%2FWOS:000888210600001","View Full Record in Web of Science")</f>
        <v>View Full Record in Web of Science</v>
      </c>
    </row>
    <row r="460" ht="12.75" customHeight="1">
      <c r="A460" s="1" t="s">
        <v>72</v>
      </c>
      <c r="B460" s="1" t="s">
        <v>4609</v>
      </c>
      <c r="C460" s="1" t="s">
        <v>74</v>
      </c>
      <c r="D460" s="1" t="s">
        <v>74</v>
      </c>
      <c r="E460" s="1" t="s">
        <v>74</v>
      </c>
      <c r="F460" s="1" t="s">
        <v>4610</v>
      </c>
      <c r="G460" s="1" t="s">
        <v>74</v>
      </c>
      <c r="H460" s="1" t="s">
        <v>74</v>
      </c>
      <c r="I460" s="1" t="s">
        <v>4611</v>
      </c>
      <c r="J460" s="1" t="s">
        <v>2674</v>
      </c>
      <c r="K460" s="1" t="s">
        <v>74</v>
      </c>
      <c r="L460" s="1" t="s">
        <v>74</v>
      </c>
      <c r="M460" s="1" t="s">
        <v>74</v>
      </c>
      <c r="N460" s="1" t="s">
        <v>74</v>
      </c>
      <c r="O460" s="1" t="s">
        <v>74</v>
      </c>
      <c r="P460" s="1" t="s">
        <v>74</v>
      </c>
      <c r="Q460" s="1" t="s">
        <v>74</v>
      </c>
      <c r="R460" s="1" t="s">
        <v>74</v>
      </c>
      <c r="S460" s="1" t="s">
        <v>74</v>
      </c>
      <c r="T460" s="1" t="s">
        <v>74</v>
      </c>
      <c r="U460" s="1" t="s">
        <v>74</v>
      </c>
      <c r="V460" s="1" t="s">
        <v>4612</v>
      </c>
      <c r="W460" s="1" t="s">
        <v>74</v>
      </c>
      <c r="X460" s="1" t="s">
        <v>74</v>
      </c>
      <c r="Y460" s="1" t="s">
        <v>74</v>
      </c>
      <c r="Z460" s="1" t="s">
        <v>74</v>
      </c>
      <c r="AA460" s="1" t="s">
        <v>4613</v>
      </c>
      <c r="AB460" s="1" t="s">
        <v>4614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74</v>
      </c>
      <c r="AP460" s="1" t="s">
        <v>2678</v>
      </c>
      <c r="AQ460" s="1" t="s">
        <v>74</v>
      </c>
      <c r="AR460" s="1" t="s">
        <v>74</v>
      </c>
      <c r="AS460" s="1" t="s">
        <v>74</v>
      </c>
      <c r="AT460" s="1" t="s">
        <v>461</v>
      </c>
      <c r="AU460" s="1">
        <v>2022.0</v>
      </c>
      <c r="AV460" s="1">
        <v>12.0</v>
      </c>
      <c r="AW460" s="1">
        <v>17.0</v>
      </c>
      <c r="AX460" s="1" t="s">
        <v>74</v>
      </c>
      <c r="AY460" s="1" t="s">
        <v>74</v>
      </c>
      <c r="AZ460" s="1" t="s">
        <v>74</v>
      </c>
      <c r="BA460" s="1" t="s">
        <v>74</v>
      </c>
      <c r="BB460" s="1" t="s">
        <v>74</v>
      </c>
      <c r="BC460" s="1" t="s">
        <v>74</v>
      </c>
      <c r="BD460" s="1">
        <v>3042.0</v>
      </c>
      <c r="BE460" s="1" t="s">
        <v>4615</v>
      </c>
      <c r="BF460" s="2" t="str">
        <f>HYPERLINK("http://dx.doi.org/10.3390/nano12173042","http://dx.doi.org/10.3390/nano12173042")</f>
        <v>http://dx.doi.org/10.3390/nano12173042</v>
      </c>
      <c r="BG460" s="1" t="s">
        <v>74</v>
      </c>
      <c r="BH460" s="1" t="s">
        <v>74</v>
      </c>
      <c r="BI460" s="1" t="s">
        <v>74</v>
      </c>
      <c r="BJ460" s="1" t="s">
        <v>74</v>
      </c>
      <c r="BK460" s="1" t="s">
        <v>74</v>
      </c>
      <c r="BL460" s="1" t="s">
        <v>74</v>
      </c>
      <c r="BM460" s="1" t="s">
        <v>74</v>
      </c>
      <c r="BN460" s="1">
        <v>3.6080079E7</v>
      </c>
      <c r="BO460" s="1" t="s">
        <v>74</v>
      </c>
      <c r="BP460" s="1" t="s">
        <v>74</v>
      </c>
      <c r="BQ460" s="1" t="s">
        <v>74</v>
      </c>
      <c r="BR460" s="1" t="s">
        <v>74</v>
      </c>
      <c r="BS460" s="1" t="s">
        <v>4616</v>
      </c>
      <c r="BT460" s="1" t="str">
        <f>HYPERLINK("https%3A%2F%2Fwww.webofscience.com%2Fwos%2Fwoscc%2Ffull-record%2FWOS:000851903000001","View Full Record in Web of Science")</f>
        <v>View Full Record in Web of Science</v>
      </c>
    </row>
    <row r="461" ht="12.75" customHeight="1">
      <c r="A461" s="1" t="s">
        <v>72</v>
      </c>
      <c r="B461" s="1" t="s">
        <v>4617</v>
      </c>
      <c r="C461" s="1" t="s">
        <v>74</v>
      </c>
      <c r="D461" s="1" t="s">
        <v>74</v>
      </c>
      <c r="E461" s="1" t="s">
        <v>74</v>
      </c>
      <c r="F461" s="1" t="s">
        <v>4618</v>
      </c>
      <c r="G461" s="1" t="s">
        <v>74</v>
      </c>
      <c r="H461" s="1" t="s">
        <v>74</v>
      </c>
      <c r="I461" s="1" t="s">
        <v>4619</v>
      </c>
      <c r="J461" s="1" t="s">
        <v>4620</v>
      </c>
      <c r="K461" s="1" t="s">
        <v>74</v>
      </c>
      <c r="L461" s="1" t="s">
        <v>74</v>
      </c>
      <c r="M461" s="1" t="s">
        <v>74</v>
      </c>
      <c r="N461" s="1" t="s">
        <v>74</v>
      </c>
      <c r="O461" s="1" t="s">
        <v>74</v>
      </c>
      <c r="P461" s="1" t="s">
        <v>74</v>
      </c>
      <c r="Q461" s="1" t="s">
        <v>74</v>
      </c>
      <c r="R461" s="1" t="s">
        <v>74</v>
      </c>
      <c r="S461" s="1" t="s">
        <v>74</v>
      </c>
      <c r="T461" s="1" t="s">
        <v>74</v>
      </c>
      <c r="U461" s="1" t="s">
        <v>74</v>
      </c>
      <c r="V461" s="1" t="s">
        <v>4621</v>
      </c>
      <c r="W461" s="1" t="s">
        <v>74</v>
      </c>
      <c r="X461" s="1" t="s">
        <v>74</v>
      </c>
      <c r="Y461" s="1" t="s">
        <v>74</v>
      </c>
      <c r="Z461" s="1" t="s">
        <v>74</v>
      </c>
      <c r="AA461" s="1" t="s">
        <v>4622</v>
      </c>
      <c r="AB461" s="1" t="s">
        <v>4623</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74</v>
      </c>
      <c r="AP461" s="1" t="s">
        <v>4624</v>
      </c>
      <c r="AQ461" s="1" t="s">
        <v>74</v>
      </c>
      <c r="AR461" s="1" t="s">
        <v>74</v>
      </c>
      <c r="AS461" s="1" t="s">
        <v>74</v>
      </c>
      <c r="AT461" s="1" t="s">
        <v>83</v>
      </c>
      <c r="AU461" s="1">
        <v>2022.0</v>
      </c>
      <c r="AV461" s="1">
        <v>11.0</v>
      </c>
      <c r="AW461" s="1">
        <v>3.0</v>
      </c>
      <c r="AX461" s="1" t="s">
        <v>74</v>
      </c>
      <c r="AY461" s="1" t="s">
        <v>74</v>
      </c>
      <c r="AZ461" s="1" t="s">
        <v>74</v>
      </c>
      <c r="BA461" s="1" t="s">
        <v>74</v>
      </c>
      <c r="BB461" s="1" t="s">
        <v>74</v>
      </c>
      <c r="BC461" s="1" t="s">
        <v>74</v>
      </c>
      <c r="BD461" s="1">
        <v>115.0</v>
      </c>
      <c r="BE461" s="1" t="s">
        <v>4625</v>
      </c>
      <c r="BF461" s="2" t="str">
        <f>HYPERLINK("http://dx.doi.org/10.3390/axioms11030115","http://dx.doi.org/10.3390/axioms11030115")</f>
        <v>http://dx.doi.org/10.3390/axioms11030115</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4626</v>
      </c>
      <c r="BT461" s="1" t="str">
        <f>HYPERLINK("https%3A%2F%2Fwww.webofscience.com%2Fwos%2Fwoscc%2Ffull-record%2FWOS:000776029000001","View Full Record in Web of Science")</f>
        <v>View Full Record in Web of Science</v>
      </c>
    </row>
    <row r="462" ht="12.75" customHeight="1">
      <c r="A462" s="1" t="s">
        <v>72</v>
      </c>
      <c r="B462" s="1" t="s">
        <v>4627</v>
      </c>
      <c r="C462" s="1" t="s">
        <v>74</v>
      </c>
      <c r="D462" s="1" t="s">
        <v>74</v>
      </c>
      <c r="E462" s="1" t="s">
        <v>74</v>
      </c>
      <c r="F462" s="1" t="s">
        <v>4628</v>
      </c>
      <c r="G462" s="1" t="s">
        <v>74</v>
      </c>
      <c r="H462" s="1" t="s">
        <v>74</v>
      </c>
      <c r="I462" s="1" t="s">
        <v>4629</v>
      </c>
      <c r="J462" s="1" t="s">
        <v>1696</v>
      </c>
      <c r="K462" s="1" t="s">
        <v>74</v>
      </c>
      <c r="L462" s="1" t="s">
        <v>74</v>
      </c>
      <c r="M462" s="1" t="s">
        <v>74</v>
      </c>
      <c r="N462" s="1" t="s">
        <v>74</v>
      </c>
      <c r="O462" s="1" t="s">
        <v>74</v>
      </c>
      <c r="P462" s="1" t="s">
        <v>74</v>
      </c>
      <c r="Q462" s="1" t="s">
        <v>74</v>
      </c>
      <c r="R462" s="1" t="s">
        <v>74</v>
      </c>
      <c r="S462" s="1" t="s">
        <v>74</v>
      </c>
      <c r="T462" s="1" t="s">
        <v>74</v>
      </c>
      <c r="U462" s="1" t="s">
        <v>74</v>
      </c>
      <c r="V462" s="1" t="s">
        <v>4630</v>
      </c>
      <c r="W462" s="1" t="s">
        <v>74</v>
      </c>
      <c r="X462" s="1" t="s">
        <v>74</v>
      </c>
      <c r="Y462" s="1" t="s">
        <v>74</v>
      </c>
      <c r="Z462" s="1" t="s">
        <v>74</v>
      </c>
      <c r="AA462" s="1" t="s">
        <v>4631</v>
      </c>
      <c r="AB462" s="1" t="s">
        <v>4632</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1700</v>
      </c>
      <c r="AP462" s="1" t="s">
        <v>74</v>
      </c>
      <c r="AQ462" s="1" t="s">
        <v>74</v>
      </c>
      <c r="AR462" s="1" t="s">
        <v>74</v>
      </c>
      <c r="AS462" s="1" t="s">
        <v>74</v>
      </c>
      <c r="AT462" s="1" t="s">
        <v>4633</v>
      </c>
      <c r="AU462" s="1">
        <v>2021.0</v>
      </c>
      <c r="AV462" s="1">
        <v>11.0</v>
      </c>
      <c r="AW462" s="1">
        <v>1.0</v>
      </c>
      <c r="AX462" s="1" t="s">
        <v>74</v>
      </c>
      <c r="AY462" s="1" t="s">
        <v>74</v>
      </c>
      <c r="AZ462" s="1" t="s">
        <v>74</v>
      </c>
      <c r="BA462" s="1" t="s">
        <v>74</v>
      </c>
      <c r="BB462" s="1" t="s">
        <v>74</v>
      </c>
      <c r="BC462" s="1" t="s">
        <v>74</v>
      </c>
      <c r="BD462" s="1">
        <v>14230.0</v>
      </c>
      <c r="BE462" s="1" t="s">
        <v>4634</v>
      </c>
      <c r="BF462" s="2" t="str">
        <f>HYPERLINK("http://dx.doi.org/10.1038/s41598-021-93597-8","http://dx.doi.org/10.1038/s41598-021-93597-8")</f>
        <v>http://dx.doi.org/10.1038/s41598-021-93597-8</v>
      </c>
      <c r="BG462" s="1" t="s">
        <v>74</v>
      </c>
      <c r="BH462" s="1" t="s">
        <v>74</v>
      </c>
      <c r="BI462" s="1" t="s">
        <v>74</v>
      </c>
      <c r="BJ462" s="1" t="s">
        <v>74</v>
      </c>
      <c r="BK462" s="1" t="s">
        <v>74</v>
      </c>
      <c r="BL462" s="1" t="s">
        <v>74</v>
      </c>
      <c r="BM462" s="1" t="s">
        <v>74</v>
      </c>
      <c r="BN462" s="1">
        <v>3.424459E7</v>
      </c>
      <c r="BO462" s="1" t="s">
        <v>74</v>
      </c>
      <c r="BP462" s="1" t="s">
        <v>74</v>
      </c>
      <c r="BQ462" s="1" t="s">
        <v>74</v>
      </c>
      <c r="BR462" s="1" t="s">
        <v>74</v>
      </c>
      <c r="BS462" s="1" t="s">
        <v>4635</v>
      </c>
      <c r="BT462" s="1" t="str">
        <f>HYPERLINK("https%3A%2F%2Fwww.webofscience.com%2Fwos%2Fwoscc%2Ffull-record%2FWOS:000674491200007","View Full Record in Web of Science")</f>
        <v>View Full Record in Web of Science</v>
      </c>
    </row>
    <row r="463" ht="12.75" customHeight="1">
      <c r="A463" s="1" t="s">
        <v>72</v>
      </c>
      <c r="B463" s="1" t="s">
        <v>4636</v>
      </c>
      <c r="C463" s="1" t="s">
        <v>74</v>
      </c>
      <c r="D463" s="1" t="s">
        <v>74</v>
      </c>
      <c r="E463" s="1" t="s">
        <v>74</v>
      </c>
      <c r="F463" s="1" t="s">
        <v>4637</v>
      </c>
      <c r="G463" s="1" t="s">
        <v>74</v>
      </c>
      <c r="H463" s="1" t="s">
        <v>74</v>
      </c>
      <c r="I463" s="1" t="s">
        <v>4638</v>
      </c>
      <c r="J463" s="1" t="s">
        <v>90</v>
      </c>
      <c r="K463" s="1" t="s">
        <v>74</v>
      </c>
      <c r="L463" s="1" t="s">
        <v>74</v>
      </c>
      <c r="M463" s="1" t="s">
        <v>74</v>
      </c>
      <c r="N463" s="1" t="s">
        <v>74</v>
      </c>
      <c r="O463" s="1" t="s">
        <v>74</v>
      </c>
      <c r="P463" s="1" t="s">
        <v>74</v>
      </c>
      <c r="Q463" s="1" t="s">
        <v>74</v>
      </c>
      <c r="R463" s="1" t="s">
        <v>74</v>
      </c>
      <c r="S463" s="1" t="s">
        <v>74</v>
      </c>
      <c r="T463" s="1" t="s">
        <v>74</v>
      </c>
      <c r="U463" s="1" t="s">
        <v>74</v>
      </c>
      <c r="V463" s="1" t="s">
        <v>4639</v>
      </c>
      <c r="W463" s="1" t="s">
        <v>74</v>
      </c>
      <c r="X463" s="1" t="s">
        <v>74</v>
      </c>
      <c r="Y463" s="1" t="s">
        <v>74</v>
      </c>
      <c r="Z463" s="1" t="s">
        <v>74</v>
      </c>
      <c r="AA463" s="1" t="s">
        <v>4640</v>
      </c>
      <c r="AB463" s="1" t="s">
        <v>4641</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74</v>
      </c>
      <c r="AP463" s="1" t="s">
        <v>94</v>
      </c>
      <c r="AQ463" s="1" t="s">
        <v>74</v>
      </c>
      <c r="AR463" s="1" t="s">
        <v>74</v>
      </c>
      <c r="AS463" s="1" t="s">
        <v>74</v>
      </c>
      <c r="AT463" s="1" t="s">
        <v>107</v>
      </c>
      <c r="AU463" s="1">
        <v>2021.0</v>
      </c>
      <c r="AV463" s="1">
        <v>26.0</v>
      </c>
      <c r="AW463" s="1">
        <v>10.0</v>
      </c>
      <c r="AX463" s="1" t="s">
        <v>74</v>
      </c>
      <c r="AY463" s="1" t="s">
        <v>74</v>
      </c>
      <c r="AZ463" s="1" t="s">
        <v>74</v>
      </c>
      <c r="BA463" s="1" t="s">
        <v>74</v>
      </c>
      <c r="BB463" s="1" t="s">
        <v>74</v>
      </c>
      <c r="BC463" s="1" t="s">
        <v>74</v>
      </c>
      <c r="BD463" s="1">
        <v>2878.0</v>
      </c>
      <c r="BE463" s="1" t="s">
        <v>4642</v>
      </c>
      <c r="BF463" s="2" t="str">
        <f>HYPERLINK("http://dx.doi.org/10.3390/molecules26102878","http://dx.doi.org/10.3390/molecules26102878")</f>
        <v>http://dx.doi.org/10.3390/molecules26102878</v>
      </c>
      <c r="BG463" s="1" t="s">
        <v>74</v>
      </c>
      <c r="BH463" s="1" t="s">
        <v>74</v>
      </c>
      <c r="BI463" s="1" t="s">
        <v>74</v>
      </c>
      <c r="BJ463" s="1" t="s">
        <v>74</v>
      </c>
      <c r="BK463" s="1" t="s">
        <v>74</v>
      </c>
      <c r="BL463" s="1" t="s">
        <v>74</v>
      </c>
      <c r="BM463" s="1" t="s">
        <v>74</v>
      </c>
      <c r="BN463" s="1">
        <v>3.4068159E7</v>
      </c>
      <c r="BO463" s="1" t="s">
        <v>74</v>
      </c>
      <c r="BP463" s="1" t="s">
        <v>74</v>
      </c>
      <c r="BQ463" s="1" t="s">
        <v>74</v>
      </c>
      <c r="BR463" s="1" t="s">
        <v>74</v>
      </c>
      <c r="BS463" s="1" t="s">
        <v>4643</v>
      </c>
      <c r="BT463" s="1" t="str">
        <f>HYPERLINK("https%3A%2F%2Fwww.webofscience.com%2Fwos%2Fwoscc%2Ffull-record%2FWOS:000655046400001","View Full Record in Web of Science")</f>
        <v>View Full Record in Web of Science</v>
      </c>
    </row>
    <row r="464" ht="12.75" customHeight="1">
      <c r="A464" s="1" t="s">
        <v>72</v>
      </c>
      <c r="B464" s="1" t="s">
        <v>4644</v>
      </c>
      <c r="C464" s="1" t="s">
        <v>74</v>
      </c>
      <c r="D464" s="1" t="s">
        <v>74</v>
      </c>
      <c r="E464" s="1" t="s">
        <v>74</v>
      </c>
      <c r="F464" s="1" t="s">
        <v>4645</v>
      </c>
      <c r="G464" s="1" t="s">
        <v>74</v>
      </c>
      <c r="H464" s="1" t="s">
        <v>74</v>
      </c>
      <c r="I464" s="1" t="s">
        <v>4646</v>
      </c>
      <c r="J464" s="1" t="s">
        <v>510</v>
      </c>
      <c r="K464" s="1" t="s">
        <v>74</v>
      </c>
      <c r="L464" s="1" t="s">
        <v>74</v>
      </c>
      <c r="M464" s="1" t="s">
        <v>74</v>
      </c>
      <c r="N464" s="1" t="s">
        <v>74</v>
      </c>
      <c r="O464" s="1" t="s">
        <v>74</v>
      </c>
      <c r="P464" s="1" t="s">
        <v>74</v>
      </c>
      <c r="Q464" s="1" t="s">
        <v>74</v>
      </c>
      <c r="R464" s="1" t="s">
        <v>74</v>
      </c>
      <c r="S464" s="1" t="s">
        <v>74</v>
      </c>
      <c r="T464" s="1" t="s">
        <v>74</v>
      </c>
      <c r="U464" s="1" t="s">
        <v>74</v>
      </c>
      <c r="V464" s="1" t="s">
        <v>4647</v>
      </c>
      <c r="W464" s="1" t="s">
        <v>74</v>
      </c>
      <c r="X464" s="1" t="s">
        <v>74</v>
      </c>
      <c r="Y464" s="1" t="s">
        <v>74</v>
      </c>
      <c r="Z464" s="1" t="s">
        <v>74</v>
      </c>
      <c r="AA464" s="1" t="s">
        <v>4648</v>
      </c>
      <c r="AB464" s="1" t="s">
        <v>4649</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514</v>
      </c>
      <c r="AP464" s="1" t="s">
        <v>74</v>
      </c>
      <c r="AQ464" s="1" t="s">
        <v>74</v>
      </c>
      <c r="AR464" s="1" t="s">
        <v>74</v>
      </c>
      <c r="AS464" s="1" t="s">
        <v>74</v>
      </c>
      <c r="AT464" s="1" t="s">
        <v>4650</v>
      </c>
      <c r="AU464" s="1">
        <v>2020.0</v>
      </c>
      <c r="AV464" s="1">
        <v>15.0</v>
      </c>
      <c r="AW464" s="1">
        <v>1.0</v>
      </c>
      <c r="AX464" s="1" t="s">
        <v>74</v>
      </c>
      <c r="AY464" s="1" t="s">
        <v>74</v>
      </c>
      <c r="AZ464" s="1" t="s">
        <v>74</v>
      </c>
      <c r="BA464" s="1" t="s">
        <v>74</v>
      </c>
      <c r="BB464" s="1" t="s">
        <v>74</v>
      </c>
      <c r="BC464" s="1" t="s">
        <v>74</v>
      </c>
      <c r="BD464" s="1" t="s">
        <v>4651</v>
      </c>
      <c r="BE464" s="1" t="s">
        <v>4652</v>
      </c>
      <c r="BF464" s="2" t="str">
        <f>HYPERLINK("http://dx.doi.org/10.1371/journal.pone.0227866","http://dx.doi.org/10.1371/journal.pone.0227866")</f>
        <v>http://dx.doi.org/10.1371/journal.pone.0227866</v>
      </c>
      <c r="BG464" s="1" t="s">
        <v>74</v>
      </c>
      <c r="BH464" s="1" t="s">
        <v>74</v>
      </c>
      <c r="BI464" s="1" t="s">
        <v>74</v>
      </c>
      <c r="BJ464" s="1" t="s">
        <v>74</v>
      </c>
      <c r="BK464" s="1" t="s">
        <v>74</v>
      </c>
      <c r="BL464" s="1" t="s">
        <v>74</v>
      </c>
      <c r="BM464" s="1" t="s">
        <v>74</v>
      </c>
      <c r="BN464" s="1">
        <v>3.1945132E7</v>
      </c>
      <c r="BO464" s="1" t="s">
        <v>74</v>
      </c>
      <c r="BP464" s="1" t="s">
        <v>74</v>
      </c>
      <c r="BQ464" s="1" t="s">
        <v>74</v>
      </c>
      <c r="BR464" s="1" t="s">
        <v>74</v>
      </c>
      <c r="BS464" s="1" t="s">
        <v>4653</v>
      </c>
      <c r="BT464" s="1" t="str">
        <f>HYPERLINK("https%3A%2F%2Fwww.webofscience.com%2Fwos%2Fwoscc%2Ffull-record%2FWOS:000534370100068","View Full Record in Web of Science")</f>
        <v>View Full Record in Web of Science</v>
      </c>
    </row>
    <row r="465" ht="12.75" customHeight="1">
      <c r="A465" s="1" t="s">
        <v>72</v>
      </c>
      <c r="B465" s="1" t="s">
        <v>4654</v>
      </c>
      <c r="C465" s="1" t="s">
        <v>74</v>
      </c>
      <c r="D465" s="1" t="s">
        <v>74</v>
      </c>
      <c r="E465" s="1" t="s">
        <v>74</v>
      </c>
      <c r="F465" s="1" t="s">
        <v>4655</v>
      </c>
      <c r="G465" s="1" t="s">
        <v>74</v>
      </c>
      <c r="H465" s="1" t="s">
        <v>74</v>
      </c>
      <c r="I465" s="1" t="s">
        <v>4656</v>
      </c>
      <c r="J465" s="1" t="s">
        <v>1145</v>
      </c>
      <c r="K465" s="1" t="s">
        <v>74</v>
      </c>
      <c r="L465" s="1" t="s">
        <v>74</v>
      </c>
      <c r="M465" s="1" t="s">
        <v>74</v>
      </c>
      <c r="N465" s="1" t="s">
        <v>74</v>
      </c>
      <c r="O465" s="1" t="s">
        <v>74</v>
      </c>
      <c r="P465" s="1" t="s">
        <v>74</v>
      </c>
      <c r="Q465" s="1" t="s">
        <v>74</v>
      </c>
      <c r="R465" s="1" t="s">
        <v>74</v>
      </c>
      <c r="S465" s="1" t="s">
        <v>74</v>
      </c>
      <c r="T465" s="1" t="s">
        <v>74</v>
      </c>
      <c r="U465" s="1" t="s">
        <v>74</v>
      </c>
      <c r="V465" s="1" t="s">
        <v>4657</v>
      </c>
      <c r="W465" s="1" t="s">
        <v>74</v>
      </c>
      <c r="X465" s="1" t="s">
        <v>74</v>
      </c>
      <c r="Y465" s="1" t="s">
        <v>74</v>
      </c>
      <c r="Z465" s="1" t="s">
        <v>74</v>
      </c>
      <c r="AA465" s="1" t="s">
        <v>4658</v>
      </c>
      <c r="AB465" s="1" t="s">
        <v>4659</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1148</v>
      </c>
      <c r="AP465" s="1" t="s">
        <v>74</v>
      </c>
      <c r="AQ465" s="1" t="s">
        <v>74</v>
      </c>
      <c r="AR465" s="1" t="s">
        <v>74</v>
      </c>
      <c r="AS465" s="1" t="s">
        <v>74</v>
      </c>
      <c r="AT465" s="1" t="s">
        <v>95</v>
      </c>
      <c r="AU465" s="1">
        <v>2019.0</v>
      </c>
      <c r="AV465" s="1">
        <v>64.0</v>
      </c>
      <c r="AW465" s="1">
        <v>4.0</v>
      </c>
      <c r="AX465" s="1" t="s">
        <v>74</v>
      </c>
      <c r="AY465" s="1" t="s">
        <v>74</v>
      </c>
      <c r="AZ465" s="1" t="s">
        <v>74</v>
      </c>
      <c r="BA465" s="1" t="s">
        <v>74</v>
      </c>
      <c r="BB465" s="1">
        <v>4607.0</v>
      </c>
      <c r="BC465" s="1">
        <v>4609.0</v>
      </c>
      <c r="BD465" s="1" t="s">
        <v>74</v>
      </c>
      <c r="BE465" s="1" t="s">
        <v>74</v>
      </c>
      <c r="BF465" s="1" t="s">
        <v>74</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4660</v>
      </c>
      <c r="BT465" s="1" t="str">
        <f>HYPERLINK("https%3A%2F%2Fwww.webofscience.com%2Fwos%2Fwoscc%2Ffull-record%2FWOS:000509863600005","View Full Record in Web of Science")</f>
        <v>View Full Record in Web of Science</v>
      </c>
    </row>
    <row r="466" ht="12.75" customHeight="1">
      <c r="A466" s="1" t="s">
        <v>346</v>
      </c>
      <c r="B466" s="1" t="s">
        <v>4661</v>
      </c>
      <c r="C466" s="1" t="s">
        <v>74</v>
      </c>
      <c r="D466" s="1" t="s">
        <v>74</v>
      </c>
      <c r="E466" s="1" t="s">
        <v>348</v>
      </c>
      <c r="F466" s="1" t="s">
        <v>4662</v>
      </c>
      <c r="G466" s="1" t="s">
        <v>74</v>
      </c>
      <c r="H466" s="1" t="s">
        <v>74</v>
      </c>
      <c r="I466" s="1" t="s">
        <v>4663</v>
      </c>
      <c r="J466" s="1" t="s">
        <v>4664</v>
      </c>
      <c r="K466" s="1" t="s">
        <v>74</v>
      </c>
      <c r="L466" s="1" t="s">
        <v>74</v>
      </c>
      <c r="M466" s="1" t="s">
        <v>74</v>
      </c>
      <c r="N466" s="1" t="s">
        <v>74</v>
      </c>
      <c r="O466" s="1" t="s">
        <v>4665</v>
      </c>
      <c r="P466" s="1" t="s">
        <v>4666</v>
      </c>
      <c r="Q466" s="1" t="s">
        <v>4667</v>
      </c>
      <c r="R466" s="1" t="s">
        <v>4668</v>
      </c>
      <c r="S466" s="1" t="s">
        <v>4669</v>
      </c>
      <c r="T466" s="1" t="s">
        <v>74</v>
      </c>
      <c r="U466" s="1" t="s">
        <v>74</v>
      </c>
      <c r="V466" s="1" t="s">
        <v>4670</v>
      </c>
      <c r="W466" s="1" t="s">
        <v>74</v>
      </c>
      <c r="X466" s="1" t="s">
        <v>74</v>
      </c>
      <c r="Y466" s="1" t="s">
        <v>74</v>
      </c>
      <c r="Z466" s="1" t="s">
        <v>74</v>
      </c>
      <c r="AA466" s="1" t="s">
        <v>1044</v>
      </c>
      <c r="AB466" s="1" t="s">
        <v>4671</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74</v>
      </c>
      <c r="AP466" s="1" t="s">
        <v>74</v>
      </c>
      <c r="AQ466" s="1" t="s">
        <v>4672</v>
      </c>
      <c r="AR466" s="1" t="s">
        <v>74</v>
      </c>
      <c r="AS466" s="1" t="s">
        <v>74</v>
      </c>
      <c r="AT466" s="1" t="s">
        <v>74</v>
      </c>
      <c r="AU466" s="1">
        <v>2019.0</v>
      </c>
      <c r="AV466" s="1" t="s">
        <v>74</v>
      </c>
      <c r="AW466" s="1" t="s">
        <v>74</v>
      </c>
      <c r="AX466" s="1" t="s">
        <v>74</v>
      </c>
      <c r="AY466" s="1" t="s">
        <v>74</v>
      </c>
      <c r="AZ466" s="1" t="s">
        <v>74</v>
      </c>
      <c r="BA466" s="1" t="s">
        <v>74</v>
      </c>
      <c r="BB466" s="1">
        <v>200.0</v>
      </c>
      <c r="BC466" s="1">
        <v>205.0</v>
      </c>
      <c r="BD466" s="1" t="s">
        <v>74</v>
      </c>
      <c r="BE466" s="1" t="s">
        <v>4673</v>
      </c>
      <c r="BF466" s="2" t="str">
        <f>HYPERLINK("http://dx.doi.org/10.1109/precede.2019.8753306","http://dx.doi.org/10.1109/precede.2019.8753306")</f>
        <v>http://dx.doi.org/10.1109/precede.2019.8753306</v>
      </c>
      <c r="BG466" s="1" t="s">
        <v>74</v>
      </c>
      <c r="BH466" s="1" t="s">
        <v>74</v>
      </c>
      <c r="BI466" s="1" t="s">
        <v>74</v>
      </c>
      <c r="BJ466" s="1" t="s">
        <v>74</v>
      </c>
      <c r="BK466" s="1" t="s">
        <v>74</v>
      </c>
      <c r="BL466" s="1" t="s">
        <v>74</v>
      </c>
      <c r="BM466" s="1" t="s">
        <v>74</v>
      </c>
      <c r="BN466" s="1" t="s">
        <v>74</v>
      </c>
      <c r="BO466" s="1" t="s">
        <v>74</v>
      </c>
      <c r="BP466" s="1" t="s">
        <v>74</v>
      </c>
      <c r="BQ466" s="1" t="s">
        <v>74</v>
      </c>
      <c r="BR466" s="1" t="s">
        <v>74</v>
      </c>
      <c r="BS466" s="1" t="s">
        <v>4674</v>
      </c>
      <c r="BT466" s="1" t="str">
        <f>HYPERLINK("https%3A%2F%2Fwww.webofscience.com%2Fwos%2Fwoscc%2Ffull-record%2FWOS:000490536300038","View Full Record in Web of Science")</f>
        <v>View Full Record in Web of Science</v>
      </c>
    </row>
    <row r="467" ht="12.75" customHeight="1">
      <c r="A467" s="1" t="s">
        <v>72</v>
      </c>
      <c r="B467" s="1" t="s">
        <v>4675</v>
      </c>
      <c r="C467" s="1" t="s">
        <v>74</v>
      </c>
      <c r="D467" s="1" t="s">
        <v>74</v>
      </c>
      <c r="E467" s="1" t="s">
        <v>74</v>
      </c>
      <c r="F467" s="1" t="s">
        <v>4676</v>
      </c>
      <c r="G467" s="1" t="s">
        <v>74</v>
      </c>
      <c r="H467" s="1" t="s">
        <v>74</v>
      </c>
      <c r="I467" s="1" t="s">
        <v>4677</v>
      </c>
      <c r="J467" s="1" t="s">
        <v>4678</v>
      </c>
      <c r="K467" s="1" t="s">
        <v>74</v>
      </c>
      <c r="L467" s="1" t="s">
        <v>74</v>
      </c>
      <c r="M467" s="1" t="s">
        <v>74</v>
      </c>
      <c r="N467" s="1" t="s">
        <v>74</v>
      </c>
      <c r="O467" s="1" t="s">
        <v>74</v>
      </c>
      <c r="P467" s="1" t="s">
        <v>74</v>
      </c>
      <c r="Q467" s="1" t="s">
        <v>74</v>
      </c>
      <c r="R467" s="1" t="s">
        <v>74</v>
      </c>
      <c r="S467" s="1" t="s">
        <v>74</v>
      </c>
      <c r="T467" s="1" t="s">
        <v>74</v>
      </c>
      <c r="U467" s="1" t="s">
        <v>74</v>
      </c>
      <c r="V467" s="1" t="s">
        <v>4679</v>
      </c>
      <c r="W467" s="1" t="s">
        <v>74</v>
      </c>
      <c r="X467" s="1" t="s">
        <v>74</v>
      </c>
      <c r="Y467" s="1" t="s">
        <v>74</v>
      </c>
      <c r="Z467" s="1" t="s">
        <v>74</v>
      </c>
      <c r="AA467" s="1" t="s">
        <v>4680</v>
      </c>
      <c r="AB467" s="1" t="s">
        <v>4681</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4682</v>
      </c>
      <c r="AP467" s="1" t="s">
        <v>4683</v>
      </c>
      <c r="AQ467" s="1" t="s">
        <v>74</v>
      </c>
      <c r="AR467" s="1" t="s">
        <v>74</v>
      </c>
      <c r="AS467" s="1" t="s">
        <v>74</v>
      </c>
      <c r="AT467" s="1" t="s">
        <v>541</v>
      </c>
      <c r="AU467" s="1">
        <v>2018.0</v>
      </c>
      <c r="AV467" s="1">
        <v>19.0</v>
      </c>
      <c r="AW467" s="1">
        <v>13.0</v>
      </c>
      <c r="AX467" s="1" t="s">
        <v>74</v>
      </c>
      <c r="AY467" s="1" t="s">
        <v>74</v>
      </c>
      <c r="AZ467" s="1" t="s">
        <v>74</v>
      </c>
      <c r="BA467" s="1" t="s">
        <v>74</v>
      </c>
      <c r="BB467" s="1">
        <v>1599.0</v>
      </c>
      <c r="BC467" s="1">
        <v>1604.0</v>
      </c>
      <c r="BD467" s="1" t="s">
        <v>74</v>
      </c>
      <c r="BE467" s="1" t="s">
        <v>4684</v>
      </c>
      <c r="BF467" s="2" t="str">
        <f>HYPERLINK("http://dx.doi.org/10.1002/cphc.201800139","http://dx.doi.org/10.1002/cphc.201800139")</f>
        <v>http://dx.doi.org/10.1002/cphc.201800139</v>
      </c>
      <c r="BG467" s="1" t="s">
        <v>74</v>
      </c>
      <c r="BH467" s="1" t="s">
        <v>74</v>
      </c>
      <c r="BI467" s="1" t="s">
        <v>74</v>
      </c>
      <c r="BJ467" s="1" t="s">
        <v>74</v>
      </c>
      <c r="BK467" s="1" t="s">
        <v>74</v>
      </c>
      <c r="BL467" s="1" t="s">
        <v>74</v>
      </c>
      <c r="BM467" s="1" t="s">
        <v>74</v>
      </c>
      <c r="BN467" s="1">
        <v>2.9601134E7</v>
      </c>
      <c r="BO467" s="1" t="s">
        <v>74</v>
      </c>
      <c r="BP467" s="1" t="s">
        <v>74</v>
      </c>
      <c r="BQ467" s="1" t="s">
        <v>74</v>
      </c>
      <c r="BR467" s="1" t="s">
        <v>74</v>
      </c>
      <c r="BS467" s="1" t="s">
        <v>4685</v>
      </c>
      <c r="BT467" s="1" t="str">
        <f>HYPERLINK("https%3A%2F%2Fwww.webofscience.com%2Fwos%2Fwoscc%2Ffull-record%2FWOS:000437731700007","View Full Record in Web of Science")</f>
        <v>View Full Record in Web of Science</v>
      </c>
    </row>
    <row r="468" ht="12.75" customHeight="1">
      <c r="A468" s="1" t="s">
        <v>72</v>
      </c>
      <c r="B468" s="1" t="s">
        <v>4686</v>
      </c>
      <c r="C468" s="1" t="s">
        <v>74</v>
      </c>
      <c r="D468" s="1" t="s">
        <v>74</v>
      </c>
      <c r="E468" s="1" t="s">
        <v>74</v>
      </c>
      <c r="F468" s="1" t="s">
        <v>4687</v>
      </c>
      <c r="G468" s="1" t="s">
        <v>74</v>
      </c>
      <c r="H468" s="1" t="s">
        <v>74</v>
      </c>
      <c r="I468" s="1" t="s">
        <v>4688</v>
      </c>
      <c r="J468" s="1" t="s">
        <v>4689</v>
      </c>
      <c r="K468" s="1" t="s">
        <v>74</v>
      </c>
      <c r="L468" s="1" t="s">
        <v>74</v>
      </c>
      <c r="M468" s="1" t="s">
        <v>74</v>
      </c>
      <c r="N468" s="1" t="s">
        <v>74</v>
      </c>
      <c r="O468" s="1" t="s">
        <v>74</v>
      </c>
      <c r="P468" s="1" t="s">
        <v>74</v>
      </c>
      <c r="Q468" s="1" t="s">
        <v>74</v>
      </c>
      <c r="R468" s="1" t="s">
        <v>74</v>
      </c>
      <c r="S468" s="1" t="s">
        <v>74</v>
      </c>
      <c r="T468" s="1" t="s">
        <v>74</v>
      </c>
      <c r="U468" s="1" t="s">
        <v>74</v>
      </c>
      <c r="V468" s="1" t="s">
        <v>4690</v>
      </c>
      <c r="W468" s="1" t="s">
        <v>74</v>
      </c>
      <c r="X468" s="1" t="s">
        <v>74</v>
      </c>
      <c r="Y468" s="1" t="s">
        <v>74</v>
      </c>
      <c r="Z468" s="1" t="s">
        <v>74</v>
      </c>
      <c r="AA468" s="1" t="s">
        <v>4691</v>
      </c>
      <c r="AB468" s="1" t="s">
        <v>4692</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4693</v>
      </c>
      <c r="AP468" s="1" t="s">
        <v>4694</v>
      </c>
      <c r="AQ468" s="1" t="s">
        <v>74</v>
      </c>
      <c r="AR468" s="1" t="s">
        <v>74</v>
      </c>
      <c r="AS468" s="1" t="s">
        <v>74</v>
      </c>
      <c r="AT468" s="1" t="s">
        <v>1935</v>
      </c>
      <c r="AU468" s="1">
        <v>2018.0</v>
      </c>
      <c r="AV468" s="1">
        <v>819.0</v>
      </c>
      <c r="AW468" s="1" t="s">
        <v>74</v>
      </c>
      <c r="AX468" s="1" t="s">
        <v>74</v>
      </c>
      <c r="AY468" s="1" t="s">
        <v>74</v>
      </c>
      <c r="AZ468" s="1" t="s">
        <v>297</v>
      </c>
      <c r="BA468" s="1" t="s">
        <v>74</v>
      </c>
      <c r="BB468" s="1">
        <v>502.0</v>
      </c>
      <c r="BC468" s="1">
        <v>510.0</v>
      </c>
      <c r="BD468" s="1" t="s">
        <v>74</v>
      </c>
      <c r="BE468" s="1" t="s">
        <v>4695</v>
      </c>
      <c r="BF468" s="2" t="str">
        <f>HYPERLINK("http://dx.doi.org/10.1016/j.jelechem.2017.12.068","http://dx.doi.org/10.1016/j.jelechem.2017.12.068")</f>
        <v>http://dx.doi.org/10.1016/j.jelechem.2017.12.068</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4696</v>
      </c>
      <c r="BT468" s="1" t="str">
        <f>HYPERLINK("https%3A%2F%2Fwww.webofscience.com%2Fwos%2Fwoscc%2Ffull-record%2FWOS:000435619700064","View Full Record in Web of Science")</f>
        <v>View Full Record in Web of Science</v>
      </c>
    </row>
    <row r="469" ht="12.75" customHeight="1">
      <c r="A469" s="1" t="s">
        <v>72</v>
      </c>
      <c r="B469" s="1" t="s">
        <v>4697</v>
      </c>
      <c r="C469" s="1" t="s">
        <v>74</v>
      </c>
      <c r="D469" s="1" t="s">
        <v>74</v>
      </c>
      <c r="E469" s="1" t="s">
        <v>74</v>
      </c>
      <c r="F469" s="1" t="s">
        <v>4698</v>
      </c>
      <c r="G469" s="1" t="s">
        <v>74</v>
      </c>
      <c r="H469" s="1" t="s">
        <v>74</v>
      </c>
      <c r="I469" s="1" t="s">
        <v>4699</v>
      </c>
      <c r="J469" s="1" t="s">
        <v>611</v>
      </c>
      <c r="K469" s="1" t="s">
        <v>74</v>
      </c>
      <c r="L469" s="1" t="s">
        <v>74</v>
      </c>
      <c r="M469" s="1" t="s">
        <v>74</v>
      </c>
      <c r="N469" s="1" t="s">
        <v>74</v>
      </c>
      <c r="O469" s="1" t="s">
        <v>74</v>
      </c>
      <c r="P469" s="1" t="s">
        <v>74</v>
      </c>
      <c r="Q469" s="1" t="s">
        <v>74</v>
      </c>
      <c r="R469" s="1" t="s">
        <v>74</v>
      </c>
      <c r="S469" s="1" t="s">
        <v>74</v>
      </c>
      <c r="T469" s="1" t="s">
        <v>74</v>
      </c>
      <c r="U469" s="1" t="s">
        <v>74</v>
      </c>
      <c r="V469" s="1" t="s">
        <v>4700</v>
      </c>
      <c r="W469" s="1" t="s">
        <v>74</v>
      </c>
      <c r="X469" s="1" t="s">
        <v>74</v>
      </c>
      <c r="Y469" s="1" t="s">
        <v>74</v>
      </c>
      <c r="Z469" s="1" t="s">
        <v>74</v>
      </c>
      <c r="AA469" s="1" t="s">
        <v>4701</v>
      </c>
      <c r="AB469" s="1" t="s">
        <v>4702</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615</v>
      </c>
      <c r="AP469" s="1" t="s">
        <v>74</v>
      </c>
      <c r="AQ469" s="1" t="s">
        <v>74</v>
      </c>
      <c r="AR469" s="1" t="s">
        <v>74</v>
      </c>
      <c r="AS469" s="1" t="s">
        <v>74</v>
      </c>
      <c r="AT469" s="1" t="s">
        <v>496</v>
      </c>
      <c r="AU469" s="1">
        <v>2018.0</v>
      </c>
      <c r="AV469" s="1">
        <v>3.0</v>
      </c>
      <c r="AW469" s="1">
        <v>1.0</v>
      </c>
      <c r="AX469" s="1" t="s">
        <v>74</v>
      </c>
      <c r="AY469" s="1" t="s">
        <v>74</v>
      </c>
      <c r="AZ469" s="1" t="s">
        <v>74</v>
      </c>
      <c r="BA469" s="1" t="s">
        <v>74</v>
      </c>
      <c r="BB469" s="1">
        <v>801.0</v>
      </c>
      <c r="BC469" s="1">
        <v>807.0</v>
      </c>
      <c r="BD469" s="1" t="s">
        <v>74</v>
      </c>
      <c r="BE469" s="1" t="s">
        <v>4703</v>
      </c>
      <c r="BF469" s="2" t="str">
        <f>HYPERLINK("http://dx.doi.org/10.1021/acsomega.7b01792","http://dx.doi.org/10.1021/acsomega.7b01792")</f>
        <v>http://dx.doi.org/10.1021/acsomega.7b01792</v>
      </c>
      <c r="BG469" s="1" t="s">
        <v>74</v>
      </c>
      <c r="BH469" s="1" t="s">
        <v>74</v>
      </c>
      <c r="BI469" s="1" t="s">
        <v>74</v>
      </c>
      <c r="BJ469" s="1" t="s">
        <v>74</v>
      </c>
      <c r="BK469" s="1" t="s">
        <v>74</v>
      </c>
      <c r="BL469" s="1" t="s">
        <v>74</v>
      </c>
      <c r="BM469" s="1" t="s">
        <v>74</v>
      </c>
      <c r="BN469" s="1">
        <v>3.145793E7</v>
      </c>
      <c r="BO469" s="1" t="s">
        <v>74</v>
      </c>
      <c r="BP469" s="1" t="s">
        <v>74</v>
      </c>
      <c r="BQ469" s="1" t="s">
        <v>74</v>
      </c>
      <c r="BR469" s="1" t="s">
        <v>74</v>
      </c>
      <c r="BS469" s="1" t="s">
        <v>4704</v>
      </c>
      <c r="BT469" s="1" t="str">
        <f>HYPERLINK("https%3A%2F%2Fwww.webofscience.com%2Fwos%2Fwoscc%2Ffull-record%2FWOS:000427933200088","View Full Record in Web of Science")</f>
        <v>View Full Record in Web of Science</v>
      </c>
    </row>
    <row r="470" ht="12.75" customHeight="1">
      <c r="A470" s="1" t="s">
        <v>72</v>
      </c>
      <c r="B470" s="1" t="s">
        <v>4705</v>
      </c>
      <c r="C470" s="1" t="s">
        <v>74</v>
      </c>
      <c r="D470" s="1" t="s">
        <v>74</v>
      </c>
      <c r="E470" s="1" t="s">
        <v>74</v>
      </c>
      <c r="F470" s="1" t="s">
        <v>4706</v>
      </c>
      <c r="G470" s="1" t="s">
        <v>74</v>
      </c>
      <c r="H470" s="1" t="s">
        <v>74</v>
      </c>
      <c r="I470" s="1" t="s">
        <v>4707</v>
      </c>
      <c r="J470" s="1" t="s">
        <v>1846</v>
      </c>
      <c r="K470" s="1" t="s">
        <v>74</v>
      </c>
      <c r="L470" s="1" t="s">
        <v>74</v>
      </c>
      <c r="M470" s="1" t="s">
        <v>74</v>
      </c>
      <c r="N470" s="1" t="s">
        <v>74</v>
      </c>
      <c r="O470" s="1" t="s">
        <v>74</v>
      </c>
      <c r="P470" s="1" t="s">
        <v>74</v>
      </c>
      <c r="Q470" s="1" t="s">
        <v>74</v>
      </c>
      <c r="R470" s="1" t="s">
        <v>74</v>
      </c>
      <c r="S470" s="1" t="s">
        <v>74</v>
      </c>
      <c r="T470" s="1" t="s">
        <v>74</v>
      </c>
      <c r="U470" s="1" t="s">
        <v>74</v>
      </c>
      <c r="V470" s="1" t="s">
        <v>4708</v>
      </c>
      <c r="W470" s="1" t="s">
        <v>74</v>
      </c>
      <c r="X470" s="1" t="s">
        <v>74</v>
      </c>
      <c r="Y470" s="1" t="s">
        <v>74</v>
      </c>
      <c r="Z470" s="1" t="s">
        <v>74</v>
      </c>
      <c r="AA470" s="1" t="s">
        <v>4709</v>
      </c>
      <c r="AB470" s="1" t="s">
        <v>4710</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1850</v>
      </c>
      <c r="AP470" s="1" t="s">
        <v>1851</v>
      </c>
      <c r="AQ470" s="1" t="s">
        <v>74</v>
      </c>
      <c r="AR470" s="1" t="s">
        <v>74</v>
      </c>
      <c r="AS470" s="1" t="s">
        <v>74</v>
      </c>
      <c r="AT470" s="1" t="s">
        <v>4711</v>
      </c>
      <c r="AU470" s="1">
        <v>2017.0</v>
      </c>
      <c r="AV470" s="1">
        <v>41.0</v>
      </c>
      <c r="AW470" s="1">
        <v>23.0</v>
      </c>
      <c r="AX470" s="1" t="s">
        <v>74</v>
      </c>
      <c r="AY470" s="1" t="s">
        <v>74</v>
      </c>
      <c r="AZ470" s="1" t="s">
        <v>74</v>
      </c>
      <c r="BA470" s="1" t="s">
        <v>74</v>
      </c>
      <c r="BB470" s="1">
        <v>14589.0</v>
      </c>
      <c r="BC470" s="1">
        <v>14594.0</v>
      </c>
      <c r="BD470" s="1" t="s">
        <v>74</v>
      </c>
      <c r="BE470" s="1" t="s">
        <v>4712</v>
      </c>
      <c r="BF470" s="2" t="str">
        <f>HYPERLINK("http://dx.doi.org/10.1039/c7nj02788e","http://dx.doi.org/10.1039/c7nj02788e")</f>
        <v>http://dx.doi.org/10.1039/c7nj02788e</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4713</v>
      </c>
      <c r="BT470" s="1" t="str">
        <f>HYPERLINK("https%3A%2F%2Fwww.webofscience.com%2Fwos%2Fwoscc%2Ffull-record%2FWOS:000415839300069","View Full Record in Web of Science")</f>
        <v>View Full Record in Web of Science</v>
      </c>
    </row>
    <row r="471" ht="12.75" customHeight="1">
      <c r="A471" s="1" t="s">
        <v>72</v>
      </c>
      <c r="B471" s="1" t="s">
        <v>4714</v>
      </c>
      <c r="C471" s="1" t="s">
        <v>74</v>
      </c>
      <c r="D471" s="1" t="s">
        <v>74</v>
      </c>
      <c r="E471" s="1" t="s">
        <v>74</v>
      </c>
      <c r="F471" s="1" t="s">
        <v>4715</v>
      </c>
      <c r="G471" s="1" t="s">
        <v>74</v>
      </c>
      <c r="H471" s="1" t="s">
        <v>74</v>
      </c>
      <c r="I471" s="1" t="s">
        <v>4716</v>
      </c>
      <c r="J471" s="1" t="s">
        <v>4717</v>
      </c>
      <c r="K471" s="1" t="s">
        <v>74</v>
      </c>
      <c r="L471" s="1" t="s">
        <v>74</v>
      </c>
      <c r="M471" s="1" t="s">
        <v>74</v>
      </c>
      <c r="N471" s="1" t="s">
        <v>74</v>
      </c>
      <c r="O471" s="1" t="s">
        <v>74</v>
      </c>
      <c r="P471" s="1" t="s">
        <v>74</v>
      </c>
      <c r="Q471" s="1" t="s">
        <v>74</v>
      </c>
      <c r="R471" s="1" t="s">
        <v>74</v>
      </c>
      <c r="S471" s="1" t="s">
        <v>74</v>
      </c>
      <c r="T471" s="1" t="s">
        <v>74</v>
      </c>
      <c r="U471" s="1" t="s">
        <v>74</v>
      </c>
      <c r="V471" s="1" t="s">
        <v>4718</v>
      </c>
      <c r="W471" s="1" t="s">
        <v>74</v>
      </c>
      <c r="X471" s="1" t="s">
        <v>74</v>
      </c>
      <c r="Y471" s="1" t="s">
        <v>74</v>
      </c>
      <c r="Z471" s="1" t="s">
        <v>74</v>
      </c>
      <c r="AA471" s="1" t="s">
        <v>4719</v>
      </c>
      <c r="AB471" s="1" t="s">
        <v>4720</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4721</v>
      </c>
      <c r="AP471" s="1" t="s">
        <v>4722</v>
      </c>
      <c r="AQ471" s="1" t="s">
        <v>74</v>
      </c>
      <c r="AR471" s="1" t="s">
        <v>74</v>
      </c>
      <c r="AS471" s="1" t="s">
        <v>74</v>
      </c>
      <c r="AT471" s="1" t="s">
        <v>83</v>
      </c>
      <c r="AU471" s="1">
        <v>2017.0</v>
      </c>
      <c r="AV471" s="1">
        <v>24.0</v>
      </c>
      <c r="AW471" s="1">
        <v>3.0</v>
      </c>
      <c r="AX471" s="1" t="s">
        <v>74</v>
      </c>
      <c r="AY471" s="1" t="s">
        <v>74</v>
      </c>
      <c r="AZ471" s="1" t="s">
        <v>74</v>
      </c>
      <c r="BA471" s="1" t="s">
        <v>74</v>
      </c>
      <c r="BB471" s="1">
        <v>255.0</v>
      </c>
      <c r="BC471" s="1">
        <v>265.0</v>
      </c>
      <c r="BD471" s="1" t="s">
        <v>74</v>
      </c>
      <c r="BE471" s="1" t="s">
        <v>4723</v>
      </c>
      <c r="BF471" s="2" t="str">
        <f>HYPERLINK("http://dx.doi.org/10.1089/cmb.2016.0074","http://dx.doi.org/10.1089/cmb.2016.0074")</f>
        <v>http://dx.doi.org/10.1089/cmb.2016.0074</v>
      </c>
      <c r="BG471" s="1" t="s">
        <v>74</v>
      </c>
      <c r="BH471" s="1" t="s">
        <v>74</v>
      </c>
      <c r="BI471" s="1" t="s">
        <v>74</v>
      </c>
      <c r="BJ471" s="1" t="s">
        <v>74</v>
      </c>
      <c r="BK471" s="1" t="s">
        <v>74</v>
      </c>
      <c r="BL471" s="1" t="s">
        <v>74</v>
      </c>
      <c r="BM471" s="1" t="s">
        <v>74</v>
      </c>
      <c r="BN471" s="1">
        <v>2.7494258E7</v>
      </c>
      <c r="BO471" s="1" t="s">
        <v>74</v>
      </c>
      <c r="BP471" s="1" t="s">
        <v>74</v>
      </c>
      <c r="BQ471" s="1" t="s">
        <v>74</v>
      </c>
      <c r="BR471" s="1" t="s">
        <v>74</v>
      </c>
      <c r="BS471" s="1" t="s">
        <v>4724</v>
      </c>
      <c r="BT471" s="1" t="str">
        <f>HYPERLINK("https%3A%2F%2Fwww.webofscience.com%2Fwos%2Fwoscc%2Ffull-record%2FWOS:000395582600007","View Full Record in Web of Science")</f>
        <v>View Full Record in Web of Science</v>
      </c>
    </row>
    <row r="472" ht="12.75" customHeight="1">
      <c r="A472" s="1" t="s">
        <v>72</v>
      </c>
      <c r="B472" s="1" t="s">
        <v>4725</v>
      </c>
      <c r="C472" s="1" t="s">
        <v>74</v>
      </c>
      <c r="D472" s="1" t="s">
        <v>74</v>
      </c>
      <c r="E472" s="1" t="s">
        <v>74</v>
      </c>
      <c r="F472" s="1" t="s">
        <v>4726</v>
      </c>
      <c r="G472" s="1" t="s">
        <v>74</v>
      </c>
      <c r="H472" s="1" t="s">
        <v>74</v>
      </c>
      <c r="I472" s="1" t="s">
        <v>4727</v>
      </c>
      <c r="J472" s="1" t="s">
        <v>4728</v>
      </c>
      <c r="K472" s="1" t="s">
        <v>74</v>
      </c>
      <c r="L472" s="1" t="s">
        <v>74</v>
      </c>
      <c r="M472" s="1" t="s">
        <v>74</v>
      </c>
      <c r="N472" s="1" t="s">
        <v>74</v>
      </c>
      <c r="O472" s="1" t="s">
        <v>4729</v>
      </c>
      <c r="P472" s="1" t="s">
        <v>4730</v>
      </c>
      <c r="Q472" s="1" t="s">
        <v>4731</v>
      </c>
      <c r="R472" s="1" t="s">
        <v>4732</v>
      </c>
      <c r="S472" s="1" t="s">
        <v>74</v>
      </c>
      <c r="T472" s="1" t="s">
        <v>74</v>
      </c>
      <c r="U472" s="1" t="s">
        <v>74</v>
      </c>
      <c r="V472" s="1" t="s">
        <v>4733</v>
      </c>
      <c r="W472" s="1" t="s">
        <v>74</v>
      </c>
      <c r="X472" s="1" t="s">
        <v>74</v>
      </c>
      <c r="Y472" s="1" t="s">
        <v>74</v>
      </c>
      <c r="Z472" s="1" t="s">
        <v>74</v>
      </c>
      <c r="AA472" s="1" t="s">
        <v>4734</v>
      </c>
      <c r="AB472" s="1" t="s">
        <v>4735</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4736</v>
      </c>
      <c r="AP472" s="1" t="s">
        <v>4737</v>
      </c>
      <c r="AQ472" s="1" t="s">
        <v>74</v>
      </c>
      <c r="AR472" s="1" t="s">
        <v>74</v>
      </c>
      <c r="AS472" s="1" t="s">
        <v>74</v>
      </c>
      <c r="AT472" s="1" t="s">
        <v>95</v>
      </c>
      <c r="AU472" s="1">
        <v>2015.0</v>
      </c>
      <c r="AV472" s="1">
        <v>12.0</v>
      </c>
      <c r="AW472" s="1">
        <v>6.0</v>
      </c>
      <c r="AX472" s="1" t="s">
        <v>74</v>
      </c>
      <c r="AY472" s="1" t="s">
        <v>74</v>
      </c>
      <c r="AZ472" s="1" t="s">
        <v>74</v>
      </c>
      <c r="BA472" s="1" t="s">
        <v>74</v>
      </c>
      <c r="BB472" s="1" t="s">
        <v>74</v>
      </c>
      <c r="BC472" s="1" t="s">
        <v>74</v>
      </c>
      <c r="BD472" s="1">
        <v>66020.0</v>
      </c>
      <c r="BE472" s="1" t="s">
        <v>4738</v>
      </c>
      <c r="BF472" s="2" t="str">
        <f>HYPERLINK("http://dx.doi.org/10.1088/1478-3975/12/6/066020","http://dx.doi.org/10.1088/1478-3975/12/6/066020")</f>
        <v>http://dx.doi.org/10.1088/1478-3975/12/6/066020</v>
      </c>
      <c r="BG472" s="1" t="s">
        <v>74</v>
      </c>
      <c r="BH472" s="1" t="s">
        <v>74</v>
      </c>
      <c r="BI472" s="1" t="s">
        <v>74</v>
      </c>
      <c r="BJ472" s="1" t="s">
        <v>74</v>
      </c>
      <c r="BK472" s="1" t="s">
        <v>74</v>
      </c>
      <c r="BL472" s="1" t="s">
        <v>74</v>
      </c>
      <c r="BM472" s="1" t="s">
        <v>74</v>
      </c>
      <c r="BN472" s="1">
        <v>2.6717293E7</v>
      </c>
      <c r="BO472" s="1" t="s">
        <v>74</v>
      </c>
      <c r="BP472" s="1" t="s">
        <v>74</v>
      </c>
      <c r="BQ472" s="1" t="s">
        <v>74</v>
      </c>
      <c r="BR472" s="1" t="s">
        <v>74</v>
      </c>
      <c r="BS472" s="1" t="s">
        <v>4739</v>
      </c>
      <c r="BT472" s="1" t="str">
        <f>HYPERLINK("https%3A%2F%2Fwww.webofscience.com%2Fwos%2Fwoscc%2Ffull-record%2FWOS:000368186300026","View Full Record in Web of Science")</f>
        <v>View Full Record in Web of Science</v>
      </c>
    </row>
    <row r="473" ht="12.75" customHeight="1">
      <c r="A473" s="1" t="s">
        <v>72</v>
      </c>
      <c r="B473" s="1" t="s">
        <v>4740</v>
      </c>
      <c r="C473" s="1" t="s">
        <v>74</v>
      </c>
      <c r="D473" s="1" t="s">
        <v>74</v>
      </c>
      <c r="E473" s="1" t="s">
        <v>74</v>
      </c>
      <c r="F473" s="1" t="s">
        <v>4741</v>
      </c>
      <c r="G473" s="1" t="s">
        <v>74</v>
      </c>
      <c r="H473" s="1" t="s">
        <v>74</v>
      </c>
      <c r="I473" s="1" t="s">
        <v>4742</v>
      </c>
      <c r="J473" s="1" t="s">
        <v>4743</v>
      </c>
      <c r="K473" s="1" t="s">
        <v>74</v>
      </c>
      <c r="L473" s="1" t="s">
        <v>74</v>
      </c>
      <c r="M473" s="1" t="s">
        <v>74</v>
      </c>
      <c r="N473" s="1" t="s">
        <v>74</v>
      </c>
      <c r="O473" s="1" t="s">
        <v>74</v>
      </c>
      <c r="P473" s="1" t="s">
        <v>74</v>
      </c>
      <c r="Q473" s="1" t="s">
        <v>74</v>
      </c>
      <c r="R473" s="1" t="s">
        <v>74</v>
      </c>
      <c r="S473" s="1" t="s">
        <v>74</v>
      </c>
      <c r="T473" s="1" t="s">
        <v>74</v>
      </c>
      <c r="U473" s="1" t="s">
        <v>74</v>
      </c>
      <c r="V473" s="1" t="s">
        <v>4744</v>
      </c>
      <c r="W473" s="1" t="s">
        <v>74</v>
      </c>
      <c r="X473" s="1" t="s">
        <v>74</v>
      </c>
      <c r="Y473" s="1" t="s">
        <v>74</v>
      </c>
      <c r="Z473" s="1" t="s">
        <v>74</v>
      </c>
      <c r="AA473" s="1" t="s">
        <v>4745</v>
      </c>
      <c r="AB473" s="1" t="s">
        <v>4746</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4747</v>
      </c>
      <c r="AP473" s="1" t="s">
        <v>4748</v>
      </c>
      <c r="AQ473" s="1" t="s">
        <v>74</v>
      </c>
      <c r="AR473" s="1" t="s">
        <v>74</v>
      </c>
      <c r="AS473" s="1" t="s">
        <v>74</v>
      </c>
      <c r="AT473" s="1" t="s">
        <v>714</v>
      </c>
      <c r="AU473" s="1">
        <v>2015.0</v>
      </c>
      <c r="AV473" s="1">
        <v>75.0</v>
      </c>
      <c r="AW473" s="1">
        <v>7.0</v>
      </c>
      <c r="AX473" s="1" t="s">
        <v>74</v>
      </c>
      <c r="AY473" s="1" t="s">
        <v>74</v>
      </c>
      <c r="AZ473" s="1" t="s">
        <v>74</v>
      </c>
      <c r="BA473" s="1" t="s">
        <v>74</v>
      </c>
      <c r="BB473" s="1">
        <v>1.0</v>
      </c>
      <c r="BC473" s="1">
        <v>5.0</v>
      </c>
      <c r="BD473" s="1">
        <v>310.0</v>
      </c>
      <c r="BE473" s="1" t="s">
        <v>4749</v>
      </c>
      <c r="BF473" s="2" t="str">
        <f>HYPERLINK("http://dx.doi.org/10.1140/epjc/s10052-015-3536-0","http://dx.doi.org/10.1140/epjc/s10052-015-3536-0")</f>
        <v>http://dx.doi.org/10.1140/epjc/s10052-015-3536-0</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4750</v>
      </c>
      <c r="BT473" s="1" t="str">
        <f>HYPERLINK("https%3A%2F%2Fwww.webofscience.com%2Fwos%2Fwoscc%2Ffull-record%2FWOS:000357481200001","View Full Record in Web of Science")</f>
        <v>View Full Record in Web of Science</v>
      </c>
    </row>
    <row r="474" ht="12.75" customHeight="1">
      <c r="A474" s="1" t="s">
        <v>72</v>
      </c>
      <c r="B474" s="1" t="s">
        <v>4751</v>
      </c>
      <c r="C474" s="1" t="s">
        <v>74</v>
      </c>
      <c r="D474" s="1" t="s">
        <v>74</v>
      </c>
      <c r="E474" s="1" t="s">
        <v>74</v>
      </c>
      <c r="F474" s="1" t="s">
        <v>4752</v>
      </c>
      <c r="G474" s="1" t="s">
        <v>74</v>
      </c>
      <c r="H474" s="1" t="s">
        <v>74</v>
      </c>
      <c r="I474" s="1" t="s">
        <v>4753</v>
      </c>
      <c r="J474" s="1" t="s">
        <v>1017</v>
      </c>
      <c r="K474" s="1" t="s">
        <v>74</v>
      </c>
      <c r="L474" s="1" t="s">
        <v>74</v>
      </c>
      <c r="M474" s="1" t="s">
        <v>74</v>
      </c>
      <c r="N474" s="1" t="s">
        <v>74</v>
      </c>
      <c r="O474" s="1" t="s">
        <v>74</v>
      </c>
      <c r="P474" s="1" t="s">
        <v>74</v>
      </c>
      <c r="Q474" s="1" t="s">
        <v>74</v>
      </c>
      <c r="R474" s="1" t="s">
        <v>74</v>
      </c>
      <c r="S474" s="1" t="s">
        <v>74</v>
      </c>
      <c r="T474" s="1" t="s">
        <v>74</v>
      </c>
      <c r="U474" s="1" t="s">
        <v>74</v>
      </c>
      <c r="V474" s="1" t="s">
        <v>4754</v>
      </c>
      <c r="W474" s="1" t="s">
        <v>74</v>
      </c>
      <c r="X474" s="1" t="s">
        <v>74</v>
      </c>
      <c r="Y474" s="1" t="s">
        <v>74</v>
      </c>
      <c r="Z474" s="1" t="s">
        <v>74</v>
      </c>
      <c r="AA474" s="1" t="s">
        <v>4755</v>
      </c>
      <c r="AB474" s="1" t="s">
        <v>4756</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1019</v>
      </c>
      <c r="AP474" s="1" t="s">
        <v>74</v>
      </c>
      <c r="AQ474" s="1" t="s">
        <v>74</v>
      </c>
      <c r="AR474" s="1" t="s">
        <v>74</v>
      </c>
      <c r="AS474" s="1" t="s">
        <v>74</v>
      </c>
      <c r="AT474" s="1" t="s">
        <v>4757</v>
      </c>
      <c r="AU474" s="1">
        <v>2015.0</v>
      </c>
      <c r="AV474" s="1">
        <v>6.0</v>
      </c>
      <c r="AW474" s="1" t="s">
        <v>74</v>
      </c>
      <c r="AX474" s="1" t="s">
        <v>74</v>
      </c>
      <c r="AY474" s="1" t="s">
        <v>74</v>
      </c>
      <c r="AZ474" s="1" t="s">
        <v>74</v>
      </c>
      <c r="BA474" s="1" t="s">
        <v>74</v>
      </c>
      <c r="BB474" s="1" t="s">
        <v>74</v>
      </c>
      <c r="BC474" s="1" t="s">
        <v>74</v>
      </c>
      <c r="BD474" s="1">
        <v>300.0</v>
      </c>
      <c r="BE474" s="1" t="s">
        <v>4758</v>
      </c>
      <c r="BF474" s="2" t="str">
        <f>HYPERLINK("http://dx.doi.org/10.3389/fmicb.2015.00300","http://dx.doi.org/10.3389/fmicb.2015.00300")</f>
        <v>http://dx.doi.org/10.3389/fmicb.2015.00300</v>
      </c>
      <c r="BG474" s="1" t="s">
        <v>74</v>
      </c>
      <c r="BH474" s="1" t="s">
        <v>74</v>
      </c>
      <c r="BI474" s="1" t="s">
        <v>74</v>
      </c>
      <c r="BJ474" s="1" t="s">
        <v>74</v>
      </c>
      <c r="BK474" s="1" t="s">
        <v>74</v>
      </c>
      <c r="BL474" s="1" t="s">
        <v>74</v>
      </c>
      <c r="BM474" s="1" t="s">
        <v>74</v>
      </c>
      <c r="BN474" s="1">
        <v>2.5932022E7</v>
      </c>
      <c r="BO474" s="1" t="s">
        <v>74</v>
      </c>
      <c r="BP474" s="1" t="s">
        <v>74</v>
      </c>
      <c r="BQ474" s="1" t="s">
        <v>74</v>
      </c>
      <c r="BR474" s="1" t="s">
        <v>74</v>
      </c>
      <c r="BS474" s="1" t="s">
        <v>4759</v>
      </c>
      <c r="BT474" s="1" t="str">
        <f>HYPERLINK("https%3A%2F%2Fwww.webofscience.com%2Fwos%2Fwoscc%2Ffull-record%2FWOS:000353842300001","View Full Record in Web of Science")</f>
        <v>View Full Record in Web of Science</v>
      </c>
    </row>
    <row r="475" ht="12.75" customHeight="1">
      <c r="A475" s="1" t="s">
        <v>346</v>
      </c>
      <c r="B475" s="1" t="s">
        <v>4760</v>
      </c>
      <c r="C475" s="1" t="s">
        <v>74</v>
      </c>
      <c r="D475" s="1" t="s">
        <v>4761</v>
      </c>
      <c r="E475" s="1" t="s">
        <v>74</v>
      </c>
      <c r="F475" s="1" t="s">
        <v>4762</v>
      </c>
      <c r="G475" s="1" t="s">
        <v>74</v>
      </c>
      <c r="H475" s="1" t="s">
        <v>74</v>
      </c>
      <c r="I475" s="1" t="s">
        <v>4763</v>
      </c>
      <c r="J475" s="1" t="s">
        <v>4764</v>
      </c>
      <c r="K475" s="1" t="s">
        <v>4765</v>
      </c>
      <c r="L475" s="1" t="s">
        <v>74</v>
      </c>
      <c r="M475" s="1" t="s">
        <v>74</v>
      </c>
      <c r="N475" s="1" t="s">
        <v>74</v>
      </c>
      <c r="O475" s="1" t="s">
        <v>4766</v>
      </c>
      <c r="P475" s="1" t="s">
        <v>4767</v>
      </c>
      <c r="Q475" s="1" t="s">
        <v>4768</v>
      </c>
      <c r="R475" s="1" t="s">
        <v>4769</v>
      </c>
      <c r="S475" s="1" t="s">
        <v>74</v>
      </c>
      <c r="T475" s="1" t="s">
        <v>74</v>
      </c>
      <c r="U475" s="1" t="s">
        <v>74</v>
      </c>
      <c r="V475" s="1" t="s">
        <v>74</v>
      </c>
      <c r="W475" s="1" t="s">
        <v>74</v>
      </c>
      <c r="X475" s="1" t="s">
        <v>74</v>
      </c>
      <c r="Y475" s="1" t="s">
        <v>74</v>
      </c>
      <c r="Z475" s="1" t="s">
        <v>74</v>
      </c>
      <c r="AA475" s="1" t="s">
        <v>2882</v>
      </c>
      <c r="AB475" s="1" t="s">
        <v>4770</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74</v>
      </c>
      <c r="AP475" s="1" t="s">
        <v>74</v>
      </c>
      <c r="AQ475" s="1" t="s">
        <v>4771</v>
      </c>
      <c r="AR475" s="1" t="s">
        <v>74</v>
      </c>
      <c r="AS475" s="1" t="s">
        <v>74</v>
      </c>
      <c r="AT475" s="1" t="s">
        <v>74</v>
      </c>
      <c r="AU475" s="1">
        <v>2015.0</v>
      </c>
      <c r="AV475" s="1" t="s">
        <v>74</v>
      </c>
      <c r="AW475" s="1" t="s">
        <v>74</v>
      </c>
      <c r="AX475" s="1" t="s">
        <v>74</v>
      </c>
      <c r="AY475" s="1" t="s">
        <v>74</v>
      </c>
      <c r="AZ475" s="1" t="s">
        <v>74</v>
      </c>
      <c r="BA475" s="1" t="s">
        <v>74</v>
      </c>
      <c r="BB475" s="1">
        <v>405.0</v>
      </c>
      <c r="BC475" s="1">
        <v>411.0</v>
      </c>
      <c r="BD475" s="1" t="s">
        <v>74</v>
      </c>
      <c r="BE475" s="1" t="s">
        <v>4772</v>
      </c>
      <c r="BF475" s="2" t="str">
        <f>HYPERLINK("http://dx.doi.org/10.1007/978-1-4939-2578-0_34","http://dx.doi.org/10.1007/978-1-4939-2578-0_34")</f>
        <v>http://dx.doi.org/10.1007/978-1-4939-2578-0_34</v>
      </c>
      <c r="BG475" s="1" t="s">
        <v>74</v>
      </c>
      <c r="BH475" s="1" t="s">
        <v>74</v>
      </c>
      <c r="BI475" s="1" t="s">
        <v>74</v>
      </c>
      <c r="BJ475" s="1" t="s">
        <v>74</v>
      </c>
      <c r="BK475" s="1" t="s">
        <v>74</v>
      </c>
      <c r="BL475" s="1" t="s">
        <v>74</v>
      </c>
      <c r="BM475" s="1" t="s">
        <v>74</v>
      </c>
      <c r="BN475" s="1" t="s">
        <v>74</v>
      </c>
      <c r="BO475" s="1" t="s">
        <v>74</v>
      </c>
      <c r="BP475" s="1" t="s">
        <v>74</v>
      </c>
      <c r="BQ475" s="1" t="s">
        <v>74</v>
      </c>
      <c r="BR475" s="1" t="s">
        <v>74</v>
      </c>
      <c r="BS475" s="1" t="s">
        <v>4773</v>
      </c>
      <c r="BT475" s="1" t="str">
        <f>HYPERLINK("https%3A%2F%2Fwww.webofscience.com%2Fwos%2Fwoscc%2Ffull-record%2FWOS:000380529900034","View Full Record in Web of Science")</f>
        <v>View Full Record in Web of Science</v>
      </c>
    </row>
    <row r="476" ht="12.75" customHeight="1">
      <c r="A476" s="1" t="s">
        <v>72</v>
      </c>
      <c r="B476" s="1" t="s">
        <v>4774</v>
      </c>
      <c r="C476" s="1" t="s">
        <v>74</v>
      </c>
      <c r="D476" s="1" t="s">
        <v>74</v>
      </c>
      <c r="E476" s="1" t="s">
        <v>74</v>
      </c>
      <c r="F476" s="1" t="s">
        <v>4775</v>
      </c>
      <c r="G476" s="1" t="s">
        <v>74</v>
      </c>
      <c r="H476" s="1" t="s">
        <v>74</v>
      </c>
      <c r="I476" s="1" t="s">
        <v>4776</v>
      </c>
      <c r="J476" s="1" t="s">
        <v>1930</v>
      </c>
      <c r="K476" s="1" t="s">
        <v>74</v>
      </c>
      <c r="L476" s="1" t="s">
        <v>74</v>
      </c>
      <c r="M476" s="1" t="s">
        <v>74</v>
      </c>
      <c r="N476" s="1" t="s">
        <v>74</v>
      </c>
      <c r="O476" s="1" t="s">
        <v>74</v>
      </c>
      <c r="P476" s="1" t="s">
        <v>74</v>
      </c>
      <c r="Q476" s="1" t="s">
        <v>74</v>
      </c>
      <c r="R476" s="1" t="s">
        <v>74</v>
      </c>
      <c r="S476" s="1" t="s">
        <v>74</v>
      </c>
      <c r="T476" s="1" t="s">
        <v>74</v>
      </c>
      <c r="U476" s="1" t="s">
        <v>74</v>
      </c>
      <c r="V476" s="1" t="s">
        <v>4777</v>
      </c>
      <c r="W476" s="1" t="s">
        <v>74</v>
      </c>
      <c r="X476" s="1" t="s">
        <v>74</v>
      </c>
      <c r="Y476" s="1" t="s">
        <v>74</v>
      </c>
      <c r="Z476" s="1" t="s">
        <v>74</v>
      </c>
      <c r="AA476" s="1" t="s">
        <v>1932</v>
      </c>
      <c r="AB476" s="1" t="s">
        <v>4778</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1934</v>
      </c>
      <c r="AP476" s="1" t="s">
        <v>4779</v>
      </c>
      <c r="AQ476" s="1" t="s">
        <v>74</v>
      </c>
      <c r="AR476" s="1" t="s">
        <v>74</v>
      </c>
      <c r="AS476" s="1" t="s">
        <v>74</v>
      </c>
      <c r="AT476" s="1" t="s">
        <v>862</v>
      </c>
      <c r="AU476" s="1">
        <v>2014.0</v>
      </c>
      <c r="AV476" s="1">
        <v>51.0</v>
      </c>
      <c r="AW476" s="1">
        <v>17.0</v>
      </c>
      <c r="AX476" s="1" t="s">
        <v>74</v>
      </c>
      <c r="AY476" s="1" t="s">
        <v>74</v>
      </c>
      <c r="AZ476" s="1" t="s">
        <v>74</v>
      </c>
      <c r="BA476" s="1" t="s">
        <v>74</v>
      </c>
      <c r="BB476" s="1">
        <v>2931.0</v>
      </c>
      <c r="BC476" s="1">
        <v>2939.0</v>
      </c>
      <c r="BD476" s="1" t="s">
        <v>74</v>
      </c>
      <c r="BE476" s="1" t="s">
        <v>4780</v>
      </c>
      <c r="BF476" s="2" t="str">
        <f>HYPERLINK("http://dx.doi.org/10.1016/j.ijsolstr.2014.04.021","http://dx.doi.org/10.1016/j.ijsolstr.2014.04.021")</f>
        <v>http://dx.doi.org/10.1016/j.ijsolstr.2014.04.021</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4781</v>
      </c>
      <c r="BT476" s="1" t="str">
        <f>HYPERLINK("https%3A%2F%2Fwww.webofscience.com%2Fwos%2Fwoscc%2Ffull-record%2FWOS:000338820000002","View Full Record in Web of Science")</f>
        <v>View Full Record in Web of Science</v>
      </c>
    </row>
    <row r="477" ht="12.75" customHeight="1">
      <c r="A477" s="1" t="s">
        <v>72</v>
      </c>
      <c r="B477" s="1" t="s">
        <v>4782</v>
      </c>
      <c r="C477" s="1" t="s">
        <v>74</v>
      </c>
      <c r="D477" s="1" t="s">
        <v>74</v>
      </c>
      <c r="E477" s="1" t="s">
        <v>74</v>
      </c>
      <c r="F477" s="1" t="s">
        <v>4783</v>
      </c>
      <c r="G477" s="1" t="s">
        <v>74</v>
      </c>
      <c r="H477" s="1" t="s">
        <v>74</v>
      </c>
      <c r="I477" s="1" t="s">
        <v>4784</v>
      </c>
      <c r="J477" s="1" t="s">
        <v>3458</v>
      </c>
      <c r="K477" s="1" t="s">
        <v>74</v>
      </c>
      <c r="L477" s="1" t="s">
        <v>74</v>
      </c>
      <c r="M477" s="1" t="s">
        <v>74</v>
      </c>
      <c r="N477" s="1" t="s">
        <v>74</v>
      </c>
      <c r="O477" s="1" t="s">
        <v>74</v>
      </c>
      <c r="P477" s="1" t="s">
        <v>74</v>
      </c>
      <c r="Q477" s="1" t="s">
        <v>74</v>
      </c>
      <c r="R477" s="1" t="s">
        <v>74</v>
      </c>
      <c r="S477" s="1" t="s">
        <v>74</v>
      </c>
      <c r="T477" s="1" t="s">
        <v>74</v>
      </c>
      <c r="U477" s="1" t="s">
        <v>74</v>
      </c>
      <c r="V477" s="1" t="s">
        <v>4785</v>
      </c>
      <c r="W477" s="1" t="s">
        <v>74</v>
      </c>
      <c r="X477" s="1" t="s">
        <v>74</v>
      </c>
      <c r="Y477" s="1" t="s">
        <v>74</v>
      </c>
      <c r="Z477" s="1" t="s">
        <v>74</v>
      </c>
      <c r="AA477" s="1" t="s">
        <v>4786</v>
      </c>
      <c r="AB477" s="1" t="s">
        <v>4787</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3462</v>
      </c>
      <c r="AP477" s="1" t="s">
        <v>74</v>
      </c>
      <c r="AQ477" s="1" t="s">
        <v>74</v>
      </c>
      <c r="AR477" s="1" t="s">
        <v>74</v>
      </c>
      <c r="AS477" s="1" t="s">
        <v>74</v>
      </c>
      <c r="AT477" s="1" t="s">
        <v>4788</v>
      </c>
      <c r="AU477" s="1">
        <v>2014.0</v>
      </c>
      <c r="AV477" s="1" t="s">
        <v>74</v>
      </c>
      <c r="AW477" s="1">
        <v>5.0</v>
      </c>
      <c r="AX477" s="1" t="s">
        <v>74</v>
      </c>
      <c r="AY477" s="1" t="s">
        <v>74</v>
      </c>
      <c r="AZ477" s="1" t="s">
        <v>74</v>
      </c>
      <c r="BA477" s="1" t="s">
        <v>74</v>
      </c>
      <c r="BB477" s="1" t="s">
        <v>74</v>
      </c>
      <c r="BC477" s="1" t="s">
        <v>74</v>
      </c>
      <c r="BD477" s="1">
        <v>127.0</v>
      </c>
      <c r="BE477" s="1" t="s">
        <v>4789</v>
      </c>
      <c r="BF477" s="2" t="str">
        <f>HYPERLINK("http://dx.doi.org/10.1007/JHEP05(2014)127","http://dx.doi.org/10.1007/JHEP05(2014)127")</f>
        <v>http://dx.doi.org/10.1007/JHEP05(2014)127</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4790</v>
      </c>
      <c r="BT477" s="1" t="str">
        <f>HYPERLINK("https%3A%2F%2Fwww.webofscience.com%2Fwos%2Fwoscc%2Ffull-record%2FWOS:000336978200001","View Full Record in Web of Science")</f>
        <v>View Full Record in Web of Science</v>
      </c>
    </row>
    <row r="478" ht="12.75" customHeight="1">
      <c r="A478" s="1" t="s">
        <v>72</v>
      </c>
      <c r="B478" s="1" t="s">
        <v>4791</v>
      </c>
      <c r="C478" s="1" t="s">
        <v>74</v>
      </c>
      <c r="D478" s="1" t="s">
        <v>74</v>
      </c>
      <c r="E478" s="1" t="s">
        <v>74</v>
      </c>
      <c r="F478" s="1" t="s">
        <v>4792</v>
      </c>
      <c r="G478" s="1" t="s">
        <v>74</v>
      </c>
      <c r="H478" s="1" t="s">
        <v>74</v>
      </c>
      <c r="I478" s="1" t="s">
        <v>4793</v>
      </c>
      <c r="J478" s="1" t="s">
        <v>4794</v>
      </c>
      <c r="K478" s="1" t="s">
        <v>74</v>
      </c>
      <c r="L478" s="1" t="s">
        <v>74</v>
      </c>
      <c r="M478" s="1" t="s">
        <v>74</v>
      </c>
      <c r="N478" s="1" t="s">
        <v>74</v>
      </c>
      <c r="O478" s="1" t="s">
        <v>74</v>
      </c>
      <c r="P478" s="1" t="s">
        <v>74</v>
      </c>
      <c r="Q478" s="1" t="s">
        <v>74</v>
      </c>
      <c r="R478" s="1" t="s">
        <v>74</v>
      </c>
      <c r="S478" s="1" t="s">
        <v>74</v>
      </c>
      <c r="T478" s="1" t="s">
        <v>74</v>
      </c>
      <c r="U478" s="1" t="s">
        <v>74</v>
      </c>
      <c r="V478" s="1" t="s">
        <v>4795</v>
      </c>
      <c r="W478" s="1" t="s">
        <v>74</v>
      </c>
      <c r="X478" s="1" t="s">
        <v>74</v>
      </c>
      <c r="Y478" s="1" t="s">
        <v>74</v>
      </c>
      <c r="Z478" s="1" t="s">
        <v>74</v>
      </c>
      <c r="AA478" s="1" t="s">
        <v>4796</v>
      </c>
      <c r="AB478" s="1" t="s">
        <v>4797</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4798</v>
      </c>
      <c r="AP478" s="1" t="s">
        <v>4799</v>
      </c>
      <c r="AQ478" s="1" t="s">
        <v>74</v>
      </c>
      <c r="AR478" s="1" t="s">
        <v>74</v>
      </c>
      <c r="AS478" s="1" t="s">
        <v>74</v>
      </c>
      <c r="AT478" s="1" t="s">
        <v>2625</v>
      </c>
      <c r="AU478" s="1">
        <v>2014.0</v>
      </c>
      <c r="AV478" s="1">
        <v>412.0</v>
      </c>
      <c r="AW478" s="1">
        <v>2.0</v>
      </c>
      <c r="AX478" s="1" t="s">
        <v>74</v>
      </c>
      <c r="AY478" s="1" t="s">
        <v>74</v>
      </c>
      <c r="AZ478" s="1" t="s">
        <v>74</v>
      </c>
      <c r="BA478" s="1" t="s">
        <v>74</v>
      </c>
      <c r="BB478" s="1">
        <v>1064.0</v>
      </c>
      <c r="BC478" s="1">
        <v>1083.0</v>
      </c>
      <c r="BD478" s="1" t="s">
        <v>74</v>
      </c>
      <c r="BE478" s="1" t="s">
        <v>4800</v>
      </c>
      <c r="BF478" s="2" t="str">
        <f>HYPERLINK("http://dx.doi.org/10.1016/j.jmaa.2013.10.086","http://dx.doi.org/10.1016/j.jmaa.2013.10.086")</f>
        <v>http://dx.doi.org/10.1016/j.jmaa.2013.10.086</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4801</v>
      </c>
      <c r="BT478" s="1" t="str">
        <f>HYPERLINK("https%3A%2F%2Fwww.webofscience.com%2Fwos%2Fwoscc%2Ffull-record%2FWOS:000330419500036","View Full Record in Web of Science")</f>
        <v>View Full Record in Web of Science</v>
      </c>
    </row>
    <row r="479" ht="12.75" customHeight="1">
      <c r="A479" s="1" t="s">
        <v>72</v>
      </c>
      <c r="B479" s="1" t="s">
        <v>4802</v>
      </c>
      <c r="C479" s="1" t="s">
        <v>74</v>
      </c>
      <c r="D479" s="1" t="s">
        <v>74</v>
      </c>
      <c r="E479" s="1" t="s">
        <v>74</v>
      </c>
      <c r="F479" s="1" t="s">
        <v>4803</v>
      </c>
      <c r="G479" s="1" t="s">
        <v>74</v>
      </c>
      <c r="H479" s="1" t="s">
        <v>74</v>
      </c>
      <c r="I479" s="1" t="s">
        <v>4804</v>
      </c>
      <c r="J479" s="1" t="s">
        <v>4805</v>
      </c>
      <c r="K479" s="1" t="s">
        <v>74</v>
      </c>
      <c r="L479" s="1" t="s">
        <v>74</v>
      </c>
      <c r="M479" s="1" t="s">
        <v>74</v>
      </c>
      <c r="N479" s="1" t="s">
        <v>74</v>
      </c>
      <c r="O479" s="1" t="s">
        <v>74</v>
      </c>
      <c r="P479" s="1" t="s">
        <v>74</v>
      </c>
      <c r="Q479" s="1" t="s">
        <v>74</v>
      </c>
      <c r="R479" s="1" t="s">
        <v>74</v>
      </c>
      <c r="S479" s="1" t="s">
        <v>74</v>
      </c>
      <c r="T479" s="1" t="s">
        <v>74</v>
      </c>
      <c r="U479" s="1" t="s">
        <v>74</v>
      </c>
      <c r="V479" s="1" t="s">
        <v>4806</v>
      </c>
      <c r="W479" s="1" t="s">
        <v>74</v>
      </c>
      <c r="X479" s="1" t="s">
        <v>74</v>
      </c>
      <c r="Y479" s="1" t="s">
        <v>74</v>
      </c>
      <c r="Z479" s="1" t="s">
        <v>74</v>
      </c>
      <c r="AA479" s="1" t="s">
        <v>4807</v>
      </c>
      <c r="AB479" s="1" t="s">
        <v>4808</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4809</v>
      </c>
      <c r="AP479" s="1" t="s">
        <v>74</v>
      </c>
      <c r="AQ479" s="1" t="s">
        <v>74</v>
      </c>
      <c r="AR479" s="1" t="s">
        <v>74</v>
      </c>
      <c r="AS479" s="1" t="s">
        <v>74</v>
      </c>
      <c r="AT479" s="1" t="s">
        <v>83</v>
      </c>
      <c r="AU479" s="1">
        <v>2014.0</v>
      </c>
      <c r="AV479" s="1">
        <v>41.0</v>
      </c>
      <c r="AW479" s="1" t="s">
        <v>74</v>
      </c>
      <c r="AX479" s="1" t="s">
        <v>74</v>
      </c>
      <c r="AY479" s="1" t="s">
        <v>74</v>
      </c>
      <c r="AZ479" s="1" t="s">
        <v>74</v>
      </c>
      <c r="BA479" s="1" t="s">
        <v>74</v>
      </c>
      <c r="BB479" s="1">
        <v>88.0</v>
      </c>
      <c r="BC479" s="1">
        <v>94.0</v>
      </c>
      <c r="BD479" s="1" t="s">
        <v>74</v>
      </c>
      <c r="BE479" s="1" t="s">
        <v>4810</v>
      </c>
      <c r="BF479" s="2" t="str">
        <f>HYPERLINK("http://dx.doi.org/10.1016/j.tust.2013.11.010","http://dx.doi.org/10.1016/j.tust.2013.11.010")</f>
        <v>http://dx.doi.org/10.1016/j.tust.2013.11.010</v>
      </c>
      <c r="BG479" s="1" t="s">
        <v>74</v>
      </c>
      <c r="BH479" s="1" t="s">
        <v>74</v>
      </c>
      <c r="BI479" s="1" t="s">
        <v>74</v>
      </c>
      <c r="BJ479" s="1" t="s">
        <v>74</v>
      </c>
      <c r="BK479" s="1" t="s">
        <v>74</v>
      </c>
      <c r="BL479" s="1" t="s">
        <v>74</v>
      </c>
      <c r="BM479" s="1" t="s">
        <v>74</v>
      </c>
      <c r="BN479" s="1" t="s">
        <v>74</v>
      </c>
      <c r="BO479" s="1" t="s">
        <v>74</v>
      </c>
      <c r="BP479" s="1" t="s">
        <v>74</v>
      </c>
      <c r="BQ479" s="1" t="s">
        <v>74</v>
      </c>
      <c r="BR479" s="1" t="s">
        <v>74</v>
      </c>
      <c r="BS479" s="1" t="s">
        <v>4811</v>
      </c>
      <c r="BT479" s="1" t="str">
        <f>HYPERLINK("https%3A%2F%2Fwww.webofscience.com%2Fwos%2Fwoscc%2Ffull-record%2FWOS:000334086500010","View Full Record in Web of Science")</f>
        <v>View Full Record in Web of Science</v>
      </c>
    </row>
    <row r="480" ht="12.75" customHeight="1">
      <c r="A480" s="1" t="s">
        <v>72</v>
      </c>
      <c r="B480" s="1" t="s">
        <v>4812</v>
      </c>
      <c r="C480" s="1" t="s">
        <v>74</v>
      </c>
      <c r="D480" s="1" t="s">
        <v>74</v>
      </c>
      <c r="E480" s="1" t="s">
        <v>74</v>
      </c>
      <c r="F480" s="1" t="s">
        <v>4813</v>
      </c>
      <c r="G480" s="1" t="s">
        <v>74</v>
      </c>
      <c r="H480" s="1" t="s">
        <v>74</v>
      </c>
      <c r="I480" s="1" t="s">
        <v>4814</v>
      </c>
      <c r="J480" s="1" t="s">
        <v>4815</v>
      </c>
      <c r="K480" s="1" t="s">
        <v>74</v>
      </c>
      <c r="L480" s="1" t="s">
        <v>74</v>
      </c>
      <c r="M480" s="1" t="s">
        <v>74</v>
      </c>
      <c r="N480" s="1" t="s">
        <v>74</v>
      </c>
      <c r="O480" s="1" t="s">
        <v>74</v>
      </c>
      <c r="P480" s="1" t="s">
        <v>74</v>
      </c>
      <c r="Q480" s="1" t="s">
        <v>74</v>
      </c>
      <c r="R480" s="1" t="s">
        <v>74</v>
      </c>
      <c r="S480" s="1" t="s">
        <v>74</v>
      </c>
      <c r="T480" s="1" t="s">
        <v>74</v>
      </c>
      <c r="U480" s="1" t="s">
        <v>74</v>
      </c>
      <c r="V480" s="1" t="s">
        <v>4816</v>
      </c>
      <c r="W480" s="1" t="s">
        <v>74</v>
      </c>
      <c r="X480" s="1" t="s">
        <v>74</v>
      </c>
      <c r="Y480" s="1" t="s">
        <v>74</v>
      </c>
      <c r="Z480" s="1" t="s">
        <v>74</v>
      </c>
      <c r="AA480" s="1" t="s">
        <v>4817</v>
      </c>
      <c r="AB480" s="1" t="s">
        <v>4818</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4819</v>
      </c>
      <c r="AP480" s="1" t="s">
        <v>4820</v>
      </c>
      <c r="AQ480" s="1" t="s">
        <v>74</v>
      </c>
      <c r="AR480" s="1" t="s">
        <v>74</v>
      </c>
      <c r="AS480" s="1" t="s">
        <v>74</v>
      </c>
      <c r="AT480" s="1" t="s">
        <v>95</v>
      </c>
      <c r="AU480" s="1">
        <v>2013.0</v>
      </c>
      <c r="AV480" s="1">
        <v>20.0</v>
      </c>
      <c r="AW480" s="1">
        <v>4.0</v>
      </c>
      <c r="AX480" s="1" t="s">
        <v>74</v>
      </c>
      <c r="AY480" s="1" t="s">
        <v>74</v>
      </c>
      <c r="AZ480" s="1" t="s">
        <v>74</v>
      </c>
      <c r="BA480" s="1" t="s">
        <v>74</v>
      </c>
      <c r="BB480" s="1" t="s">
        <v>74</v>
      </c>
      <c r="BC480" s="1" t="s">
        <v>74</v>
      </c>
      <c r="BD480" s="1">
        <v>1350016.0</v>
      </c>
      <c r="BE480" s="1" t="s">
        <v>4821</v>
      </c>
      <c r="BF480" s="2" t="str">
        <f>HYPERLINK("http://dx.doi.org/10.1142/S1230161213500169","http://dx.doi.org/10.1142/S1230161213500169")</f>
        <v>http://dx.doi.org/10.1142/S1230161213500169</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4822</v>
      </c>
      <c r="BT480" s="1" t="str">
        <f>HYPERLINK("https%3A%2F%2Fwww.webofscience.com%2Fwos%2Fwoscc%2Ffull-record%2FWOS:000327663300005","View Full Record in Web of Science")</f>
        <v>View Full Record in Web of Science</v>
      </c>
    </row>
    <row r="481" ht="12.75" customHeight="1">
      <c r="A481" s="1" t="s">
        <v>346</v>
      </c>
      <c r="B481" s="1" t="s">
        <v>4823</v>
      </c>
      <c r="C481" s="1" t="s">
        <v>74</v>
      </c>
      <c r="D481" s="1" t="s">
        <v>1491</v>
      </c>
      <c r="E481" s="1" t="s">
        <v>74</v>
      </c>
      <c r="F481" s="1" t="s">
        <v>4824</v>
      </c>
      <c r="G481" s="1" t="s">
        <v>74</v>
      </c>
      <c r="H481" s="1" t="s">
        <v>74</v>
      </c>
      <c r="I481" s="1" t="s">
        <v>4825</v>
      </c>
      <c r="J481" s="1" t="s">
        <v>1494</v>
      </c>
      <c r="K481" s="1" t="s">
        <v>1495</v>
      </c>
      <c r="L481" s="1" t="s">
        <v>74</v>
      </c>
      <c r="M481" s="1" t="s">
        <v>74</v>
      </c>
      <c r="N481" s="1" t="s">
        <v>74</v>
      </c>
      <c r="O481" s="1" t="s">
        <v>1496</v>
      </c>
      <c r="P481" s="1" t="s">
        <v>1497</v>
      </c>
      <c r="Q481" s="1" t="s">
        <v>1498</v>
      </c>
      <c r="R481" s="1" t="s">
        <v>74</v>
      </c>
      <c r="S481" s="1" t="s">
        <v>74</v>
      </c>
      <c r="T481" s="1" t="s">
        <v>74</v>
      </c>
      <c r="U481" s="1" t="s">
        <v>74</v>
      </c>
      <c r="V481" s="1" t="s">
        <v>4826</v>
      </c>
      <c r="W481" s="1" t="s">
        <v>74</v>
      </c>
      <c r="X481" s="1" t="s">
        <v>74</v>
      </c>
      <c r="Y481" s="1" t="s">
        <v>74</v>
      </c>
      <c r="Z481" s="1" t="s">
        <v>74</v>
      </c>
      <c r="AA481" s="1" t="s">
        <v>4827</v>
      </c>
      <c r="AB481" s="1" t="s">
        <v>4828</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1502</v>
      </c>
      <c r="AP481" s="1" t="s">
        <v>74</v>
      </c>
      <c r="AQ481" s="1" t="s">
        <v>1503</v>
      </c>
      <c r="AR481" s="1" t="s">
        <v>74</v>
      </c>
      <c r="AS481" s="1" t="s">
        <v>74</v>
      </c>
      <c r="AT481" s="1" t="s">
        <v>74</v>
      </c>
      <c r="AU481" s="1">
        <v>2013.0</v>
      </c>
      <c r="AV481" s="1">
        <v>825.0</v>
      </c>
      <c r="AW481" s="1" t="s">
        <v>74</v>
      </c>
      <c r="AX481" s="1" t="s">
        <v>74</v>
      </c>
      <c r="AY481" s="1" t="s">
        <v>74</v>
      </c>
      <c r="AZ481" s="1" t="s">
        <v>74</v>
      </c>
      <c r="BA481" s="1" t="s">
        <v>74</v>
      </c>
      <c r="BB481" s="1">
        <v>194.0</v>
      </c>
      <c r="BC481" s="1" t="s">
        <v>1164</v>
      </c>
      <c r="BD481" s="1" t="s">
        <v>74</v>
      </c>
      <c r="BE481" s="1" t="s">
        <v>4829</v>
      </c>
      <c r="BF481" s="2" t="str">
        <f>HYPERLINK("http://dx.doi.org/10.4028/www.scientific.net/AMR.825.194","http://dx.doi.org/10.4028/www.scientific.net/AMR.825.194")</f>
        <v>http://dx.doi.org/10.4028/www.scientific.net/AMR.825.194</v>
      </c>
      <c r="BG481" s="1" t="s">
        <v>74</v>
      </c>
      <c r="BH481" s="1" t="s">
        <v>74</v>
      </c>
      <c r="BI481" s="1" t="s">
        <v>74</v>
      </c>
      <c r="BJ481" s="1" t="s">
        <v>74</v>
      </c>
      <c r="BK481" s="1" t="s">
        <v>74</v>
      </c>
      <c r="BL481" s="1" t="s">
        <v>74</v>
      </c>
      <c r="BM481" s="1" t="s">
        <v>74</v>
      </c>
      <c r="BN481" s="1" t="s">
        <v>74</v>
      </c>
      <c r="BO481" s="1" t="s">
        <v>74</v>
      </c>
      <c r="BP481" s="1" t="s">
        <v>74</v>
      </c>
      <c r="BQ481" s="1" t="s">
        <v>74</v>
      </c>
      <c r="BR481" s="1" t="s">
        <v>74</v>
      </c>
      <c r="BS481" s="1" t="s">
        <v>4830</v>
      </c>
      <c r="BT481" s="1" t="str">
        <f>HYPERLINK("https%3A%2F%2Fwww.webofscience.com%2Fwos%2Fwoscc%2Ffull-record%2FWOS:000336185400046","View Full Record in Web of Science")</f>
        <v>View Full Record in Web of Science</v>
      </c>
    </row>
    <row r="482" ht="12.75" customHeight="1">
      <c r="A482" s="1" t="s">
        <v>72</v>
      </c>
      <c r="B482" s="1" t="s">
        <v>4831</v>
      </c>
      <c r="C482" s="1" t="s">
        <v>74</v>
      </c>
      <c r="D482" s="1" t="s">
        <v>74</v>
      </c>
      <c r="E482" s="1" t="s">
        <v>74</v>
      </c>
      <c r="F482" s="1" t="s">
        <v>4832</v>
      </c>
      <c r="G482" s="1" t="s">
        <v>74</v>
      </c>
      <c r="H482" s="1" t="s">
        <v>74</v>
      </c>
      <c r="I482" s="1" t="s">
        <v>4833</v>
      </c>
      <c r="J482" s="1" t="s">
        <v>3255</v>
      </c>
      <c r="K482" s="1" t="s">
        <v>74</v>
      </c>
      <c r="L482" s="1" t="s">
        <v>74</v>
      </c>
      <c r="M482" s="1" t="s">
        <v>74</v>
      </c>
      <c r="N482" s="1" t="s">
        <v>74</v>
      </c>
      <c r="O482" s="1" t="s">
        <v>74</v>
      </c>
      <c r="P482" s="1" t="s">
        <v>74</v>
      </c>
      <c r="Q482" s="1" t="s">
        <v>74</v>
      </c>
      <c r="R482" s="1" t="s">
        <v>74</v>
      </c>
      <c r="S482" s="1" t="s">
        <v>74</v>
      </c>
      <c r="T482" s="1" t="s">
        <v>74</v>
      </c>
      <c r="U482" s="1" t="s">
        <v>74</v>
      </c>
      <c r="V482" s="1" t="s">
        <v>4834</v>
      </c>
      <c r="W482" s="1" t="s">
        <v>74</v>
      </c>
      <c r="X482" s="1" t="s">
        <v>74</v>
      </c>
      <c r="Y482" s="1" t="s">
        <v>74</v>
      </c>
      <c r="Z482" s="1" t="s">
        <v>74</v>
      </c>
      <c r="AA482" s="1" t="s">
        <v>74</v>
      </c>
      <c r="AB482" s="1" t="s">
        <v>74</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3259</v>
      </c>
      <c r="AP482" s="1" t="s">
        <v>3260</v>
      </c>
      <c r="AQ482" s="1" t="s">
        <v>74</v>
      </c>
      <c r="AR482" s="1" t="s">
        <v>74</v>
      </c>
      <c r="AS482" s="1" t="s">
        <v>74</v>
      </c>
      <c r="AT482" s="1" t="s">
        <v>83</v>
      </c>
      <c r="AU482" s="1">
        <v>2011.0</v>
      </c>
      <c r="AV482" s="1">
        <v>6.0</v>
      </c>
      <c r="AW482" s="1">
        <v>1.0</v>
      </c>
      <c r="AX482" s="1" t="s">
        <v>74</v>
      </c>
      <c r="AY482" s="1" t="s">
        <v>74</v>
      </c>
      <c r="AZ482" s="1" t="s">
        <v>74</v>
      </c>
      <c r="BA482" s="1" t="s">
        <v>74</v>
      </c>
      <c r="BB482" s="1">
        <v>125.0</v>
      </c>
      <c r="BC482" s="1">
        <v>133.0</v>
      </c>
      <c r="BD482" s="1" t="s">
        <v>74</v>
      </c>
      <c r="BE482" s="1" t="s">
        <v>4835</v>
      </c>
      <c r="BF482" s="2" t="str">
        <f>HYPERLINK("http://dx.doi.org/10.15837/ijccc.2011.1.2207","http://dx.doi.org/10.15837/ijccc.2011.1.2207")</f>
        <v>http://dx.doi.org/10.15837/ijccc.2011.1.2207</v>
      </c>
      <c r="BG482" s="1" t="s">
        <v>74</v>
      </c>
      <c r="BH482" s="1" t="s">
        <v>74</v>
      </c>
      <c r="BI482" s="1" t="s">
        <v>74</v>
      </c>
      <c r="BJ482" s="1" t="s">
        <v>74</v>
      </c>
      <c r="BK482" s="1" t="s">
        <v>74</v>
      </c>
      <c r="BL482" s="1" t="s">
        <v>74</v>
      </c>
      <c r="BM482" s="1" t="s">
        <v>74</v>
      </c>
      <c r="BN482" s="1" t="s">
        <v>74</v>
      </c>
      <c r="BO482" s="1" t="s">
        <v>74</v>
      </c>
      <c r="BP482" s="1" t="s">
        <v>74</v>
      </c>
      <c r="BQ482" s="1" t="s">
        <v>74</v>
      </c>
      <c r="BR482" s="1" t="s">
        <v>74</v>
      </c>
      <c r="BS482" s="1" t="s">
        <v>4836</v>
      </c>
      <c r="BT482" s="1" t="str">
        <f>HYPERLINK("https%3A%2F%2Fwww.webofscience.com%2Fwos%2Fwoscc%2Ffull-record%2FWOS:000285329000012","View Full Record in Web of Science")</f>
        <v>View Full Record in Web of Science</v>
      </c>
    </row>
    <row r="483" ht="12.75" customHeight="1">
      <c r="A483" s="1" t="s">
        <v>72</v>
      </c>
      <c r="B483" s="1" t="s">
        <v>4837</v>
      </c>
      <c r="C483" s="1" t="s">
        <v>74</v>
      </c>
      <c r="D483" s="1" t="s">
        <v>74</v>
      </c>
      <c r="E483" s="1" t="s">
        <v>74</v>
      </c>
      <c r="F483" s="1" t="s">
        <v>4838</v>
      </c>
      <c r="G483" s="1" t="s">
        <v>74</v>
      </c>
      <c r="H483" s="1" t="s">
        <v>74</v>
      </c>
      <c r="I483" s="1" t="s">
        <v>4839</v>
      </c>
      <c r="J483" s="1" t="s">
        <v>4840</v>
      </c>
      <c r="K483" s="1" t="s">
        <v>74</v>
      </c>
      <c r="L483" s="1" t="s">
        <v>74</v>
      </c>
      <c r="M483" s="1" t="s">
        <v>74</v>
      </c>
      <c r="N483" s="1" t="s">
        <v>74</v>
      </c>
      <c r="O483" s="1" t="s">
        <v>74</v>
      </c>
      <c r="P483" s="1" t="s">
        <v>74</v>
      </c>
      <c r="Q483" s="1" t="s">
        <v>74</v>
      </c>
      <c r="R483" s="1" t="s">
        <v>74</v>
      </c>
      <c r="S483" s="1" t="s">
        <v>74</v>
      </c>
      <c r="T483" s="1" t="s">
        <v>74</v>
      </c>
      <c r="U483" s="1" t="s">
        <v>74</v>
      </c>
      <c r="V483" s="1" t="s">
        <v>4841</v>
      </c>
      <c r="W483" s="1" t="s">
        <v>74</v>
      </c>
      <c r="X483" s="1" t="s">
        <v>74</v>
      </c>
      <c r="Y483" s="1" t="s">
        <v>74</v>
      </c>
      <c r="Z483" s="1" t="s">
        <v>74</v>
      </c>
      <c r="AA483" s="1" t="s">
        <v>74</v>
      </c>
      <c r="AB483" s="1" t="s">
        <v>74</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4842</v>
      </c>
      <c r="AP483" s="1" t="s">
        <v>74</v>
      </c>
      <c r="AQ483" s="1" t="s">
        <v>74</v>
      </c>
      <c r="AR483" s="1" t="s">
        <v>74</v>
      </c>
      <c r="AS483" s="1" t="s">
        <v>74</v>
      </c>
      <c r="AT483" s="1" t="s">
        <v>496</v>
      </c>
      <c r="AU483" s="1">
        <v>2011.0</v>
      </c>
      <c r="AV483" s="1">
        <v>80.0</v>
      </c>
      <c r="AW483" s="1">
        <v>1.0</v>
      </c>
      <c r="AX483" s="1" t="s">
        <v>74</v>
      </c>
      <c r="AY483" s="1" t="s">
        <v>74</v>
      </c>
      <c r="AZ483" s="1" t="s">
        <v>74</v>
      </c>
      <c r="BA483" s="1" t="s">
        <v>74</v>
      </c>
      <c r="BB483" s="1">
        <v>119.0</v>
      </c>
      <c r="BC483" s="1">
        <v>122.0</v>
      </c>
      <c r="BD483" s="1" t="s">
        <v>74</v>
      </c>
      <c r="BE483" s="1" t="s">
        <v>4843</v>
      </c>
      <c r="BF483" s="2" t="str">
        <f>HYPERLINK("http://dx.doi.org/10.1016/j.radphyschem.2010.08.001","http://dx.doi.org/10.1016/j.radphyschem.2010.08.001")</f>
        <v>http://dx.doi.org/10.1016/j.radphyschem.2010.08.001</v>
      </c>
      <c r="BG483" s="1" t="s">
        <v>74</v>
      </c>
      <c r="BH483" s="1" t="s">
        <v>74</v>
      </c>
      <c r="BI483" s="1" t="s">
        <v>74</v>
      </c>
      <c r="BJ483" s="1" t="s">
        <v>74</v>
      </c>
      <c r="BK483" s="1" t="s">
        <v>74</v>
      </c>
      <c r="BL483" s="1" t="s">
        <v>74</v>
      </c>
      <c r="BM483" s="1" t="s">
        <v>74</v>
      </c>
      <c r="BN483" s="1" t="s">
        <v>74</v>
      </c>
      <c r="BO483" s="1" t="s">
        <v>74</v>
      </c>
      <c r="BP483" s="1" t="s">
        <v>74</v>
      </c>
      <c r="BQ483" s="1" t="s">
        <v>74</v>
      </c>
      <c r="BR483" s="1" t="s">
        <v>74</v>
      </c>
      <c r="BS483" s="1" t="s">
        <v>4844</v>
      </c>
      <c r="BT483" s="1" t="str">
        <f>HYPERLINK("https%3A%2F%2Fwww.webofscience.com%2Fwos%2Fwoscc%2Ffull-record%2FWOS:000283972000019","View Full Record in Web of Science")</f>
        <v>View Full Record in Web of Science</v>
      </c>
    </row>
    <row r="484" ht="12.75" customHeight="1">
      <c r="A484" s="1" t="s">
        <v>72</v>
      </c>
      <c r="B484" s="1" t="s">
        <v>4845</v>
      </c>
      <c r="C484" s="1" t="s">
        <v>74</v>
      </c>
      <c r="D484" s="1" t="s">
        <v>74</v>
      </c>
      <c r="E484" s="1" t="s">
        <v>74</v>
      </c>
      <c r="F484" s="1" t="s">
        <v>4846</v>
      </c>
      <c r="G484" s="1" t="s">
        <v>74</v>
      </c>
      <c r="H484" s="1" t="s">
        <v>74</v>
      </c>
      <c r="I484" s="1" t="s">
        <v>4847</v>
      </c>
      <c r="J484" s="1" t="s">
        <v>4848</v>
      </c>
      <c r="K484" s="1" t="s">
        <v>74</v>
      </c>
      <c r="L484" s="1" t="s">
        <v>74</v>
      </c>
      <c r="M484" s="1" t="s">
        <v>74</v>
      </c>
      <c r="N484" s="1" t="s">
        <v>74</v>
      </c>
      <c r="O484" s="1" t="s">
        <v>74</v>
      </c>
      <c r="P484" s="1" t="s">
        <v>74</v>
      </c>
      <c r="Q484" s="1" t="s">
        <v>74</v>
      </c>
      <c r="R484" s="1" t="s">
        <v>74</v>
      </c>
      <c r="S484" s="1" t="s">
        <v>74</v>
      </c>
      <c r="T484" s="1" t="s">
        <v>74</v>
      </c>
      <c r="U484" s="1" t="s">
        <v>74</v>
      </c>
      <c r="V484" s="1" t="s">
        <v>4849</v>
      </c>
      <c r="W484" s="1" t="s">
        <v>74</v>
      </c>
      <c r="X484" s="1" t="s">
        <v>74</v>
      </c>
      <c r="Y484" s="1" t="s">
        <v>74</v>
      </c>
      <c r="Z484" s="1" t="s">
        <v>74</v>
      </c>
      <c r="AA484" s="1" t="s">
        <v>4850</v>
      </c>
      <c r="AB484" s="1" t="s">
        <v>4851</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4852</v>
      </c>
      <c r="AP484" s="1" t="s">
        <v>4853</v>
      </c>
      <c r="AQ484" s="1" t="s">
        <v>74</v>
      </c>
      <c r="AR484" s="1" t="s">
        <v>74</v>
      </c>
      <c r="AS484" s="1" t="s">
        <v>74</v>
      </c>
      <c r="AT484" s="1" t="s">
        <v>647</v>
      </c>
      <c r="AU484" s="1">
        <v>2009.0</v>
      </c>
      <c r="AV484" s="1">
        <v>48.0</v>
      </c>
      <c r="AW484" s="1">
        <v>8.0</v>
      </c>
      <c r="AX484" s="1" t="s">
        <v>74</v>
      </c>
      <c r="AY484" s="1" t="s">
        <v>74</v>
      </c>
      <c r="AZ484" s="1" t="s">
        <v>74</v>
      </c>
      <c r="BA484" s="1" t="s">
        <v>74</v>
      </c>
      <c r="BB484" s="1">
        <v>830.0</v>
      </c>
      <c r="BC484" s="1">
        <v>833.0</v>
      </c>
      <c r="BD484" s="1" t="s">
        <v>74</v>
      </c>
      <c r="BE484" s="1" t="s">
        <v>4854</v>
      </c>
      <c r="BF484" s="2" t="str">
        <f>HYPERLINK("http://dx.doi.org/10.1111/j.1365-4632.2009.04079.x","http://dx.doi.org/10.1111/j.1365-4632.2009.04079.x")</f>
        <v>http://dx.doi.org/10.1111/j.1365-4632.2009.04079.x</v>
      </c>
      <c r="BG484" s="1" t="s">
        <v>74</v>
      </c>
      <c r="BH484" s="1" t="s">
        <v>74</v>
      </c>
      <c r="BI484" s="1" t="s">
        <v>74</v>
      </c>
      <c r="BJ484" s="1" t="s">
        <v>74</v>
      </c>
      <c r="BK484" s="1" t="s">
        <v>74</v>
      </c>
      <c r="BL484" s="1" t="s">
        <v>74</v>
      </c>
      <c r="BM484" s="1" t="s">
        <v>74</v>
      </c>
      <c r="BN484" s="1">
        <v>1.9659861E7</v>
      </c>
      <c r="BO484" s="1" t="s">
        <v>74</v>
      </c>
      <c r="BP484" s="1" t="s">
        <v>74</v>
      </c>
      <c r="BQ484" s="1" t="s">
        <v>74</v>
      </c>
      <c r="BR484" s="1" t="s">
        <v>74</v>
      </c>
      <c r="BS484" s="1" t="s">
        <v>4855</v>
      </c>
      <c r="BT484" s="1" t="str">
        <f>HYPERLINK("https%3A%2F%2Fwww.webofscience.com%2Fwos%2Fwoscc%2Ffull-record%2FWOS:000268175400005","View Full Record in Web of Science")</f>
        <v>View Full Record in Web of Science</v>
      </c>
    </row>
    <row r="485" ht="12.75" customHeight="1">
      <c r="A485" s="1" t="s">
        <v>346</v>
      </c>
      <c r="B485" s="1" t="s">
        <v>2542</v>
      </c>
      <c r="C485" s="1" t="s">
        <v>74</v>
      </c>
      <c r="D485" s="1" t="s">
        <v>2543</v>
      </c>
      <c r="E485" s="1" t="s">
        <v>74</v>
      </c>
      <c r="F485" s="1" t="s">
        <v>2544</v>
      </c>
      <c r="G485" s="1" t="s">
        <v>74</v>
      </c>
      <c r="H485" s="1" t="s">
        <v>74</v>
      </c>
      <c r="I485" s="1" t="s">
        <v>4856</v>
      </c>
      <c r="J485" s="1" t="s">
        <v>2546</v>
      </c>
      <c r="K485" s="1" t="s">
        <v>1807</v>
      </c>
      <c r="L485" s="1" t="s">
        <v>74</v>
      </c>
      <c r="M485" s="1" t="s">
        <v>74</v>
      </c>
      <c r="N485" s="1" t="s">
        <v>74</v>
      </c>
      <c r="O485" s="1" t="s">
        <v>2547</v>
      </c>
      <c r="P485" s="1" t="s">
        <v>2548</v>
      </c>
      <c r="Q485" s="1" t="s">
        <v>2549</v>
      </c>
      <c r="R485" s="1" t="s">
        <v>2550</v>
      </c>
      <c r="S485" s="1" t="s">
        <v>74</v>
      </c>
      <c r="T485" s="1" t="s">
        <v>74</v>
      </c>
      <c r="U485" s="1" t="s">
        <v>74</v>
      </c>
      <c r="V485" s="1" t="s">
        <v>4857</v>
      </c>
      <c r="W485" s="1" t="s">
        <v>74</v>
      </c>
      <c r="X485" s="1" t="s">
        <v>74</v>
      </c>
      <c r="Y485" s="1" t="s">
        <v>74</v>
      </c>
      <c r="Z485" s="1" t="s">
        <v>74</v>
      </c>
      <c r="AA485" s="1" t="s">
        <v>74</v>
      </c>
      <c r="AB485" s="1" t="s">
        <v>74</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1813</v>
      </c>
      <c r="AP485" s="1" t="s">
        <v>1814</v>
      </c>
      <c r="AQ485" s="1" t="s">
        <v>2552</v>
      </c>
      <c r="AR485" s="1" t="s">
        <v>74</v>
      </c>
      <c r="AS485" s="1" t="s">
        <v>74</v>
      </c>
      <c r="AT485" s="1" t="s">
        <v>74</v>
      </c>
      <c r="AU485" s="1">
        <v>2007.0</v>
      </c>
      <c r="AV485" s="1">
        <v>6538.0</v>
      </c>
      <c r="AW485" s="1" t="s">
        <v>74</v>
      </c>
      <c r="AX485" s="1" t="s">
        <v>74</v>
      </c>
      <c r="AY485" s="1" t="s">
        <v>74</v>
      </c>
      <c r="AZ485" s="1" t="s">
        <v>74</v>
      </c>
      <c r="BA485" s="1" t="s">
        <v>74</v>
      </c>
      <c r="BB485" s="1" t="s">
        <v>74</v>
      </c>
      <c r="BC485" s="1" t="s">
        <v>74</v>
      </c>
      <c r="BD485" s="1" t="s">
        <v>4858</v>
      </c>
      <c r="BE485" s="1" t="s">
        <v>4859</v>
      </c>
      <c r="BF485" s="2" t="str">
        <f>HYPERLINK("http://dx.doi.org/10.1117/12.718320","http://dx.doi.org/10.1117/12.718320")</f>
        <v>http://dx.doi.org/10.1117/12.718320</v>
      </c>
      <c r="BG485" s="1" t="s">
        <v>74</v>
      </c>
      <c r="BH485" s="1" t="s">
        <v>74</v>
      </c>
      <c r="BI485" s="1" t="s">
        <v>74</v>
      </c>
      <c r="BJ485" s="1" t="s">
        <v>74</v>
      </c>
      <c r="BK485" s="1" t="s">
        <v>74</v>
      </c>
      <c r="BL485" s="1" t="s">
        <v>74</v>
      </c>
      <c r="BM485" s="1" t="s">
        <v>74</v>
      </c>
      <c r="BN485" s="1" t="s">
        <v>74</v>
      </c>
      <c r="BO485" s="1" t="s">
        <v>74</v>
      </c>
      <c r="BP485" s="1" t="s">
        <v>74</v>
      </c>
      <c r="BQ485" s="1" t="s">
        <v>74</v>
      </c>
      <c r="BR485" s="1" t="s">
        <v>74</v>
      </c>
      <c r="BS485" s="1" t="s">
        <v>4860</v>
      </c>
      <c r="BT485" s="1" t="str">
        <f>HYPERLINK("https%3A%2F%2Fwww.webofscience.com%2Fwos%2Fwoscc%2Ffull-record%2FWOS:000247902200031","View Full Record in Web of Science")</f>
        <v>View Full Record in Web of Science</v>
      </c>
    </row>
    <row r="486" ht="12.75" customHeight="1">
      <c r="A486" s="1" t="s">
        <v>72</v>
      </c>
      <c r="B486" s="1" t="s">
        <v>4861</v>
      </c>
      <c r="C486" s="1" t="s">
        <v>74</v>
      </c>
      <c r="D486" s="1" t="s">
        <v>74</v>
      </c>
      <c r="E486" s="1" t="s">
        <v>74</v>
      </c>
      <c r="F486" s="1" t="s">
        <v>4862</v>
      </c>
      <c r="G486" s="1" t="s">
        <v>74</v>
      </c>
      <c r="H486" s="1" t="s">
        <v>74</v>
      </c>
      <c r="I486" s="1" t="s">
        <v>4863</v>
      </c>
      <c r="J486" s="1" t="s">
        <v>836</v>
      </c>
      <c r="K486" s="1" t="s">
        <v>74</v>
      </c>
      <c r="L486" s="1" t="s">
        <v>74</v>
      </c>
      <c r="M486" s="1" t="s">
        <v>74</v>
      </c>
      <c r="N486" s="1" t="s">
        <v>74</v>
      </c>
      <c r="O486" s="1" t="s">
        <v>74</v>
      </c>
      <c r="P486" s="1" t="s">
        <v>74</v>
      </c>
      <c r="Q486" s="1" t="s">
        <v>74</v>
      </c>
      <c r="R486" s="1" t="s">
        <v>74</v>
      </c>
      <c r="S486" s="1" t="s">
        <v>74</v>
      </c>
      <c r="T486" s="1" t="s">
        <v>74</v>
      </c>
      <c r="U486" s="1" t="s">
        <v>74</v>
      </c>
      <c r="V486" s="1" t="s">
        <v>4864</v>
      </c>
      <c r="W486" s="1" t="s">
        <v>74</v>
      </c>
      <c r="X486" s="1" t="s">
        <v>74</v>
      </c>
      <c r="Y486" s="1" t="s">
        <v>74</v>
      </c>
      <c r="Z486" s="1" t="s">
        <v>74</v>
      </c>
      <c r="AA486" s="1" t="s">
        <v>799</v>
      </c>
      <c r="AB486" s="1" t="s">
        <v>4865</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838</v>
      </c>
      <c r="AP486" s="1" t="s">
        <v>4141</v>
      </c>
      <c r="AQ486" s="1" t="s">
        <v>74</v>
      </c>
      <c r="AR486" s="1" t="s">
        <v>74</v>
      </c>
      <c r="AS486" s="1" t="s">
        <v>74</v>
      </c>
      <c r="AT486" s="1" t="s">
        <v>74</v>
      </c>
      <c r="AU486" s="1">
        <v>2007.0</v>
      </c>
      <c r="AV486" s="1">
        <v>40.0</v>
      </c>
      <c r="AW486" s="1">
        <v>2.0</v>
      </c>
      <c r="AX486" s="1" t="s">
        <v>74</v>
      </c>
      <c r="AY486" s="1" t="s">
        <v>74</v>
      </c>
      <c r="AZ486" s="1" t="s">
        <v>74</v>
      </c>
      <c r="BA486" s="1" t="s">
        <v>74</v>
      </c>
      <c r="BB486" s="1">
        <v>213.0</v>
      </c>
      <c r="BC486" s="1">
        <v>222.0</v>
      </c>
      <c r="BD486" s="1" t="s">
        <v>74</v>
      </c>
      <c r="BE486" s="1" t="s">
        <v>74</v>
      </c>
      <c r="BF486" s="1" t="s">
        <v>74</v>
      </c>
      <c r="BG486" s="1" t="s">
        <v>74</v>
      </c>
      <c r="BH486" s="1" t="s">
        <v>74</v>
      </c>
      <c r="BI486" s="1" t="s">
        <v>74</v>
      </c>
      <c r="BJ486" s="1" t="s">
        <v>74</v>
      </c>
      <c r="BK486" s="1" t="s">
        <v>74</v>
      </c>
      <c r="BL486" s="1" t="s">
        <v>74</v>
      </c>
      <c r="BM486" s="1" t="s">
        <v>74</v>
      </c>
      <c r="BN486" s="1">
        <v>1.8064358E7</v>
      </c>
      <c r="BO486" s="1" t="s">
        <v>74</v>
      </c>
      <c r="BP486" s="1" t="s">
        <v>74</v>
      </c>
      <c r="BQ486" s="1" t="s">
        <v>74</v>
      </c>
      <c r="BR486" s="1" t="s">
        <v>74</v>
      </c>
      <c r="BS486" s="1" t="s">
        <v>4866</v>
      </c>
      <c r="BT486" s="1" t="str">
        <f>HYPERLINK("https%3A%2F%2Fwww.webofscience.com%2Fwos%2Fwoscc%2Ffull-record%2FWOS:000250812900012","View Full Record in Web of Science")</f>
        <v>View Full Record in Web of Science</v>
      </c>
    </row>
    <row r="487" ht="12.75" customHeight="1">
      <c r="A487" s="1" t="s">
        <v>72</v>
      </c>
      <c r="B487" s="1" t="s">
        <v>4867</v>
      </c>
      <c r="C487" s="1" t="s">
        <v>74</v>
      </c>
      <c r="D487" s="1" t="s">
        <v>74</v>
      </c>
      <c r="E487" s="1" t="s">
        <v>74</v>
      </c>
      <c r="F487" s="1" t="s">
        <v>4868</v>
      </c>
      <c r="G487" s="1" t="s">
        <v>74</v>
      </c>
      <c r="H487" s="1" t="s">
        <v>74</v>
      </c>
      <c r="I487" s="1" t="s">
        <v>4869</v>
      </c>
      <c r="J487" s="1" t="s">
        <v>3373</v>
      </c>
      <c r="K487" s="1" t="s">
        <v>74</v>
      </c>
      <c r="L487" s="1" t="s">
        <v>74</v>
      </c>
      <c r="M487" s="1" t="s">
        <v>74</v>
      </c>
      <c r="N487" s="1" t="s">
        <v>74</v>
      </c>
      <c r="O487" s="1" t="s">
        <v>74</v>
      </c>
      <c r="P487" s="1" t="s">
        <v>74</v>
      </c>
      <c r="Q487" s="1" t="s">
        <v>74</v>
      </c>
      <c r="R487" s="1" t="s">
        <v>74</v>
      </c>
      <c r="S487" s="1" t="s">
        <v>74</v>
      </c>
      <c r="T487" s="1" t="s">
        <v>74</v>
      </c>
      <c r="U487" s="1" t="s">
        <v>74</v>
      </c>
      <c r="V487" s="1" t="s">
        <v>4870</v>
      </c>
      <c r="W487" s="1" t="s">
        <v>74</v>
      </c>
      <c r="X487" s="1" t="s">
        <v>74</v>
      </c>
      <c r="Y487" s="1" t="s">
        <v>74</v>
      </c>
      <c r="Z487" s="1" t="s">
        <v>74</v>
      </c>
      <c r="AA487" s="1" t="s">
        <v>4871</v>
      </c>
      <c r="AB487" s="1" t="s">
        <v>74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3376</v>
      </c>
      <c r="AP487" s="1" t="s">
        <v>3377</v>
      </c>
      <c r="AQ487" s="1" t="s">
        <v>74</v>
      </c>
      <c r="AR487" s="1" t="s">
        <v>74</v>
      </c>
      <c r="AS487" s="1" t="s">
        <v>74</v>
      </c>
      <c r="AT487" s="1" t="s">
        <v>164</v>
      </c>
      <c r="AU487" s="1">
        <v>2006.0</v>
      </c>
      <c r="AV487" s="1">
        <v>49.0</v>
      </c>
      <c r="AW487" s="1" t="s">
        <v>4872</v>
      </c>
      <c r="AX487" s="1" t="s">
        <v>74</v>
      </c>
      <c r="AY487" s="1" t="s">
        <v>74</v>
      </c>
      <c r="AZ487" s="1" t="s">
        <v>74</v>
      </c>
      <c r="BA487" s="1" t="s">
        <v>74</v>
      </c>
      <c r="BB487" s="1">
        <v>2578.0</v>
      </c>
      <c r="BC487" s="1">
        <v>2586.0</v>
      </c>
      <c r="BD487" s="1" t="s">
        <v>74</v>
      </c>
      <c r="BE487" s="1" t="s">
        <v>4873</v>
      </c>
      <c r="BF487" s="2" t="str">
        <f>HYPERLINK("http://dx.doi.org/10.1016/j.ijheatmasstransfer.2006.01.019","http://dx.doi.org/10.1016/j.ijheatmasstransfer.2006.01.019")</f>
        <v>http://dx.doi.org/10.1016/j.ijheatmasstransfer.2006.01.019</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4874</v>
      </c>
      <c r="BT487" s="1" t="str">
        <f>HYPERLINK("https%3A%2F%2Fwww.webofscience.com%2Fwos%2Fwoscc%2Ffull-record%2FWOS:000238245000017","View Full Record in Web of Science")</f>
        <v>View Full Record in Web of Science</v>
      </c>
    </row>
    <row r="488" ht="12.75" customHeight="1">
      <c r="A488" s="1" t="s">
        <v>72</v>
      </c>
      <c r="B488" s="1" t="s">
        <v>4875</v>
      </c>
      <c r="C488" s="1" t="s">
        <v>74</v>
      </c>
      <c r="D488" s="1" t="s">
        <v>74</v>
      </c>
      <c r="E488" s="1" t="s">
        <v>74</v>
      </c>
      <c r="F488" s="1" t="s">
        <v>4875</v>
      </c>
      <c r="G488" s="1" t="s">
        <v>74</v>
      </c>
      <c r="H488" s="1" t="s">
        <v>74</v>
      </c>
      <c r="I488" s="1" t="s">
        <v>4876</v>
      </c>
      <c r="J488" s="1" t="s">
        <v>2026</v>
      </c>
      <c r="K488" s="1" t="s">
        <v>74</v>
      </c>
      <c r="L488" s="1" t="s">
        <v>74</v>
      </c>
      <c r="M488" s="1" t="s">
        <v>74</v>
      </c>
      <c r="N488" s="1" t="s">
        <v>74</v>
      </c>
      <c r="O488" s="1" t="s">
        <v>74</v>
      </c>
      <c r="P488" s="1" t="s">
        <v>74</v>
      </c>
      <c r="Q488" s="1" t="s">
        <v>74</v>
      </c>
      <c r="R488" s="1" t="s">
        <v>74</v>
      </c>
      <c r="S488" s="1" t="s">
        <v>74</v>
      </c>
      <c r="T488" s="1" t="s">
        <v>74</v>
      </c>
      <c r="U488" s="1" t="s">
        <v>74</v>
      </c>
      <c r="V488" s="1" t="s">
        <v>4877</v>
      </c>
      <c r="W488" s="1" t="s">
        <v>74</v>
      </c>
      <c r="X488" s="1" t="s">
        <v>74</v>
      </c>
      <c r="Y488" s="1" t="s">
        <v>74</v>
      </c>
      <c r="Z488" s="1" t="s">
        <v>74</v>
      </c>
      <c r="AA488" s="1" t="s">
        <v>4878</v>
      </c>
      <c r="AB488" s="1" t="s">
        <v>4879</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2028</v>
      </c>
      <c r="AP488" s="1" t="s">
        <v>4880</v>
      </c>
      <c r="AQ488" s="1" t="s">
        <v>74</v>
      </c>
      <c r="AR488" s="1" t="s">
        <v>74</v>
      </c>
      <c r="AS488" s="1" t="s">
        <v>74</v>
      </c>
      <c r="AT488" s="1" t="s">
        <v>164</v>
      </c>
      <c r="AU488" s="1">
        <v>2004.0</v>
      </c>
      <c r="AV488" s="1">
        <v>86.0</v>
      </c>
      <c r="AW488" s="1">
        <v>7.0</v>
      </c>
      <c r="AX488" s="1" t="s">
        <v>74</v>
      </c>
      <c r="AY488" s="1" t="s">
        <v>74</v>
      </c>
      <c r="AZ488" s="1" t="s">
        <v>74</v>
      </c>
      <c r="BA488" s="1" t="s">
        <v>74</v>
      </c>
      <c r="BB488" s="1">
        <v>481.0</v>
      </c>
      <c r="BC488" s="1">
        <v>485.0</v>
      </c>
      <c r="BD488" s="1" t="s">
        <v>74</v>
      </c>
      <c r="BE488" s="1" t="s">
        <v>4881</v>
      </c>
      <c r="BF488" s="2" t="str">
        <f>HYPERLINK("http://dx.doi.org/10.1016/j.biochi.2004.06.003","http://dx.doi.org/10.1016/j.biochi.2004.06.003")</f>
        <v>http://dx.doi.org/10.1016/j.biochi.2004.06.003</v>
      </c>
      <c r="BG488" s="1" t="s">
        <v>74</v>
      </c>
      <c r="BH488" s="1" t="s">
        <v>74</v>
      </c>
      <c r="BI488" s="1" t="s">
        <v>74</v>
      </c>
      <c r="BJ488" s="1" t="s">
        <v>74</v>
      </c>
      <c r="BK488" s="1" t="s">
        <v>74</v>
      </c>
      <c r="BL488" s="1" t="s">
        <v>74</v>
      </c>
      <c r="BM488" s="1" t="s">
        <v>74</v>
      </c>
      <c r="BN488" s="1">
        <v>1.5308337E7</v>
      </c>
      <c r="BO488" s="1" t="s">
        <v>74</v>
      </c>
      <c r="BP488" s="1" t="s">
        <v>74</v>
      </c>
      <c r="BQ488" s="1" t="s">
        <v>74</v>
      </c>
      <c r="BR488" s="1" t="s">
        <v>74</v>
      </c>
      <c r="BS488" s="1" t="s">
        <v>4882</v>
      </c>
      <c r="BT488" s="1" t="str">
        <f>HYPERLINK("https%3A%2F%2Fwww.webofscience.com%2Fwos%2Fwoscc%2Ffull-record%2FWOS:000223499900007","View Full Record in Web of Science")</f>
        <v>View Full Record in Web of Science</v>
      </c>
    </row>
    <row r="489" ht="12.75" customHeight="1">
      <c r="A489" s="1" t="s">
        <v>72</v>
      </c>
      <c r="B489" s="1" t="s">
        <v>4526</v>
      </c>
      <c r="C489" s="1" t="s">
        <v>74</v>
      </c>
      <c r="D489" s="1" t="s">
        <v>74</v>
      </c>
      <c r="E489" s="1" t="s">
        <v>74</v>
      </c>
      <c r="F489" s="1" t="s">
        <v>4526</v>
      </c>
      <c r="G489" s="1" t="s">
        <v>74</v>
      </c>
      <c r="H489" s="1" t="s">
        <v>74</v>
      </c>
      <c r="I489" s="1" t="s">
        <v>4883</v>
      </c>
      <c r="J489" s="1" t="s">
        <v>1216</v>
      </c>
      <c r="K489" s="1" t="s">
        <v>74</v>
      </c>
      <c r="L489" s="1" t="s">
        <v>74</v>
      </c>
      <c r="M489" s="1" t="s">
        <v>74</v>
      </c>
      <c r="N489" s="1" t="s">
        <v>74</v>
      </c>
      <c r="O489" s="1" t="s">
        <v>74</v>
      </c>
      <c r="P489" s="1" t="s">
        <v>74</v>
      </c>
      <c r="Q489" s="1" t="s">
        <v>74</v>
      </c>
      <c r="R489" s="1" t="s">
        <v>74</v>
      </c>
      <c r="S489" s="1" t="s">
        <v>74</v>
      </c>
      <c r="T489" s="1" t="s">
        <v>74</v>
      </c>
      <c r="U489" s="1" t="s">
        <v>74</v>
      </c>
      <c r="V489" s="1" t="s">
        <v>4884</v>
      </c>
      <c r="W489" s="1" t="s">
        <v>74</v>
      </c>
      <c r="X489" s="1" t="s">
        <v>74</v>
      </c>
      <c r="Y489" s="1" t="s">
        <v>74</v>
      </c>
      <c r="Z489" s="1" t="s">
        <v>74</v>
      </c>
      <c r="AA489" s="1" t="s">
        <v>74</v>
      </c>
      <c r="AB489" s="1" t="s">
        <v>74</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1220</v>
      </c>
      <c r="AP489" s="1" t="s">
        <v>4081</v>
      </c>
      <c r="AQ489" s="1" t="s">
        <v>74</v>
      </c>
      <c r="AR489" s="1" t="s">
        <v>74</v>
      </c>
      <c r="AS489" s="1" t="s">
        <v>74</v>
      </c>
      <c r="AT489" s="1" t="s">
        <v>4885</v>
      </c>
      <c r="AU489" s="1">
        <v>2004.0</v>
      </c>
      <c r="AV489" s="1">
        <v>582.0</v>
      </c>
      <c r="AW489" s="1" t="s">
        <v>428</v>
      </c>
      <c r="AX489" s="1" t="s">
        <v>74</v>
      </c>
      <c r="AY489" s="1" t="s">
        <v>74</v>
      </c>
      <c r="AZ489" s="1" t="s">
        <v>74</v>
      </c>
      <c r="BA489" s="1" t="s">
        <v>74</v>
      </c>
      <c r="BB489" s="1">
        <v>135.0</v>
      </c>
      <c r="BC489" s="1">
        <v>143.0</v>
      </c>
      <c r="BD489" s="1" t="s">
        <v>74</v>
      </c>
      <c r="BE489" s="1" t="s">
        <v>4886</v>
      </c>
      <c r="BF489" s="2" t="str">
        <f>HYPERLINK("http://dx.doi.org/10.1016/j.physletb.2003.12.041","http://dx.doi.org/10.1016/j.physletb.2003.12.041")</f>
        <v>http://dx.doi.org/10.1016/j.physletb.2003.12.041</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4887</v>
      </c>
      <c r="BT489" s="1" t="str">
        <f>HYPERLINK("https%3A%2F%2Fwww.webofscience.com%2Fwos%2Fwoscc%2Ffull-record%2FWOS:000188793200020","View Full Record in Web of Science")</f>
        <v>View Full Record in Web of Science</v>
      </c>
    </row>
    <row r="490" ht="12.75" customHeight="1">
      <c r="A490" s="1" t="s">
        <v>72</v>
      </c>
      <c r="B490" s="1" t="s">
        <v>4888</v>
      </c>
      <c r="C490" s="1" t="s">
        <v>74</v>
      </c>
      <c r="D490" s="1" t="s">
        <v>74</v>
      </c>
      <c r="E490" s="1" t="s">
        <v>74</v>
      </c>
      <c r="F490" s="1" t="s">
        <v>4888</v>
      </c>
      <c r="G490" s="1" t="s">
        <v>74</v>
      </c>
      <c r="H490" s="1" t="s">
        <v>74</v>
      </c>
      <c r="I490" s="1" t="s">
        <v>4889</v>
      </c>
      <c r="J490" s="1" t="s">
        <v>2579</v>
      </c>
      <c r="K490" s="1" t="s">
        <v>74</v>
      </c>
      <c r="L490" s="1" t="s">
        <v>74</v>
      </c>
      <c r="M490" s="1" t="s">
        <v>74</v>
      </c>
      <c r="N490" s="1" t="s">
        <v>74</v>
      </c>
      <c r="O490" s="1" t="s">
        <v>74</v>
      </c>
      <c r="P490" s="1" t="s">
        <v>74</v>
      </c>
      <c r="Q490" s="1" t="s">
        <v>74</v>
      </c>
      <c r="R490" s="1" t="s">
        <v>74</v>
      </c>
      <c r="S490" s="1" t="s">
        <v>74</v>
      </c>
      <c r="T490" s="1" t="s">
        <v>74</v>
      </c>
      <c r="U490" s="1" t="s">
        <v>74</v>
      </c>
      <c r="V490" s="1" t="s">
        <v>4890</v>
      </c>
      <c r="W490" s="1" t="s">
        <v>74</v>
      </c>
      <c r="X490" s="1" t="s">
        <v>74</v>
      </c>
      <c r="Y490" s="1" t="s">
        <v>74</v>
      </c>
      <c r="Z490" s="1" t="s">
        <v>74</v>
      </c>
      <c r="AA490" s="1" t="s">
        <v>74</v>
      </c>
      <c r="AB490" s="1" t="s">
        <v>2582</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2583</v>
      </c>
      <c r="AP490" s="1" t="s">
        <v>74</v>
      </c>
      <c r="AQ490" s="1" t="s">
        <v>74</v>
      </c>
      <c r="AR490" s="1" t="s">
        <v>74</v>
      </c>
      <c r="AS490" s="1" t="s">
        <v>74</v>
      </c>
      <c r="AT490" s="1" t="s">
        <v>164</v>
      </c>
      <c r="AU490" s="1">
        <v>2003.0</v>
      </c>
      <c r="AV490" s="1">
        <v>69.0</v>
      </c>
      <c r="AW490" s="1">
        <v>7.0</v>
      </c>
      <c r="AX490" s="1" t="s">
        <v>74</v>
      </c>
      <c r="AY490" s="1" t="s">
        <v>74</v>
      </c>
      <c r="AZ490" s="1" t="s">
        <v>74</v>
      </c>
      <c r="BA490" s="1" t="s">
        <v>74</v>
      </c>
      <c r="BB490" s="1">
        <v>675.0</v>
      </c>
      <c r="BC490" s="1">
        <v>677.0</v>
      </c>
      <c r="BD490" s="1" t="s">
        <v>74</v>
      </c>
      <c r="BE490" s="1" t="s">
        <v>74</v>
      </c>
      <c r="BF490" s="1" t="s">
        <v>74</v>
      </c>
      <c r="BG490" s="1" t="s">
        <v>74</v>
      </c>
      <c r="BH490" s="1" t="s">
        <v>74</v>
      </c>
      <c r="BI490" s="1" t="s">
        <v>74</v>
      </c>
      <c r="BJ490" s="1" t="s">
        <v>74</v>
      </c>
      <c r="BK490" s="1" t="s">
        <v>74</v>
      </c>
      <c r="BL490" s="1" t="s">
        <v>74</v>
      </c>
      <c r="BM490" s="1" t="s">
        <v>74</v>
      </c>
      <c r="BN490" s="1">
        <v>1.2898428E7</v>
      </c>
      <c r="BO490" s="1" t="s">
        <v>74</v>
      </c>
      <c r="BP490" s="1" t="s">
        <v>74</v>
      </c>
      <c r="BQ490" s="1" t="s">
        <v>74</v>
      </c>
      <c r="BR490" s="1" t="s">
        <v>74</v>
      </c>
      <c r="BS490" s="1" t="s">
        <v>4891</v>
      </c>
      <c r="BT490" s="1" t="str">
        <f>HYPERLINK("https%3A%2F%2Fwww.webofscience.com%2Fwos%2Fwoscc%2Ffull-record%2FWOS:000184890000017","View Full Record in Web of Science")</f>
        <v>View Full Record in Web of Science</v>
      </c>
    </row>
    <row r="491" ht="12.75" customHeight="1">
      <c r="A491" s="1" t="s">
        <v>72</v>
      </c>
      <c r="B491" s="1" t="s">
        <v>4892</v>
      </c>
      <c r="C491" s="1" t="s">
        <v>74</v>
      </c>
      <c r="D491" s="1" t="s">
        <v>74</v>
      </c>
      <c r="E491" s="1" t="s">
        <v>74</v>
      </c>
      <c r="F491" s="1" t="s">
        <v>4892</v>
      </c>
      <c r="G491" s="1" t="s">
        <v>74</v>
      </c>
      <c r="H491" s="1" t="s">
        <v>74</v>
      </c>
      <c r="I491" s="1" t="s">
        <v>4893</v>
      </c>
      <c r="J491" s="1" t="s">
        <v>4894</v>
      </c>
      <c r="K491" s="1" t="s">
        <v>74</v>
      </c>
      <c r="L491" s="1" t="s">
        <v>74</v>
      </c>
      <c r="M491" s="1" t="s">
        <v>74</v>
      </c>
      <c r="N491" s="1" t="s">
        <v>74</v>
      </c>
      <c r="O491" s="1" t="s">
        <v>4895</v>
      </c>
      <c r="P491" s="1">
        <v>2002.0</v>
      </c>
      <c r="Q491" s="1" t="s">
        <v>4896</v>
      </c>
      <c r="R491" s="1" t="s">
        <v>74</v>
      </c>
      <c r="S491" s="1" t="s">
        <v>74</v>
      </c>
      <c r="T491" s="1" t="s">
        <v>74</v>
      </c>
      <c r="U491" s="1" t="s">
        <v>74</v>
      </c>
      <c r="V491" s="1" t="s">
        <v>4897</v>
      </c>
      <c r="W491" s="1" t="s">
        <v>74</v>
      </c>
      <c r="X491" s="1" t="s">
        <v>74</v>
      </c>
      <c r="Y491" s="1" t="s">
        <v>74</v>
      </c>
      <c r="Z491" s="1" t="s">
        <v>74</v>
      </c>
      <c r="AA491" s="1" t="s">
        <v>3815</v>
      </c>
      <c r="AB491" s="1" t="s">
        <v>3816</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4898</v>
      </c>
      <c r="AP491" s="1" t="s">
        <v>4899</v>
      </c>
      <c r="AQ491" s="1" t="s">
        <v>74</v>
      </c>
      <c r="AR491" s="1" t="s">
        <v>74</v>
      </c>
      <c r="AS491" s="1" t="s">
        <v>74</v>
      </c>
      <c r="AT491" s="1" t="s">
        <v>496</v>
      </c>
      <c r="AU491" s="1">
        <v>2003.0</v>
      </c>
      <c r="AV491" s="1">
        <v>235.0</v>
      </c>
      <c r="AW491" s="1">
        <v>1.0</v>
      </c>
      <c r="AX491" s="1" t="s">
        <v>74</v>
      </c>
      <c r="AY491" s="1" t="s">
        <v>74</v>
      </c>
      <c r="AZ491" s="1" t="s">
        <v>74</v>
      </c>
      <c r="BA491" s="1" t="s">
        <v>74</v>
      </c>
      <c r="BB491" s="1">
        <v>146.0</v>
      </c>
      <c r="BC491" s="1">
        <v>150.0</v>
      </c>
      <c r="BD491" s="1" t="s">
        <v>74</v>
      </c>
      <c r="BE491" s="1" t="s">
        <v>4900</v>
      </c>
      <c r="BF491" s="2" t="str">
        <f>HYPERLINK("http://dx.doi.org/10.1002/pssb.200301529","http://dx.doi.org/10.1002/pssb.200301529")</f>
        <v>http://dx.doi.org/10.1002/pssb.200301529</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4901</v>
      </c>
      <c r="BT491" s="1" t="str">
        <f>HYPERLINK("https%3A%2F%2Fwww.webofscience.com%2Fwos%2Fwoscc%2Ffull-record%2FWOS:000180751400026","View Full Record in Web of Science")</f>
        <v>View Full Record in Web of Science</v>
      </c>
    </row>
    <row r="492" ht="12.75" customHeight="1">
      <c r="A492" s="1" t="s">
        <v>72</v>
      </c>
      <c r="B492" s="1" t="s">
        <v>4902</v>
      </c>
      <c r="C492" s="1" t="s">
        <v>74</v>
      </c>
      <c r="D492" s="1" t="s">
        <v>74</v>
      </c>
      <c r="E492" s="1" t="s">
        <v>74</v>
      </c>
      <c r="F492" s="1" t="s">
        <v>4902</v>
      </c>
      <c r="G492" s="1" t="s">
        <v>74</v>
      </c>
      <c r="H492" s="1" t="s">
        <v>74</v>
      </c>
      <c r="I492" s="1" t="s">
        <v>4903</v>
      </c>
      <c r="J492" s="1" t="s">
        <v>3076</v>
      </c>
      <c r="K492" s="1" t="s">
        <v>74</v>
      </c>
      <c r="L492" s="1" t="s">
        <v>74</v>
      </c>
      <c r="M492" s="1" t="s">
        <v>74</v>
      </c>
      <c r="N492" s="1" t="s">
        <v>74</v>
      </c>
      <c r="O492" s="1" t="s">
        <v>3077</v>
      </c>
      <c r="P492" s="1" t="s">
        <v>3078</v>
      </c>
      <c r="Q492" s="1" t="s">
        <v>3079</v>
      </c>
      <c r="R492" s="1" t="s">
        <v>74</v>
      </c>
      <c r="S492" s="1" t="s">
        <v>74</v>
      </c>
      <c r="T492" s="1" t="s">
        <v>74</v>
      </c>
      <c r="U492" s="1" t="s">
        <v>74</v>
      </c>
      <c r="V492" s="1" t="s">
        <v>4904</v>
      </c>
      <c r="W492" s="1" t="s">
        <v>74</v>
      </c>
      <c r="X492" s="1" t="s">
        <v>74</v>
      </c>
      <c r="Y492" s="1" t="s">
        <v>74</v>
      </c>
      <c r="Z492" s="1" t="s">
        <v>74</v>
      </c>
      <c r="AA492" s="1" t="s">
        <v>3815</v>
      </c>
      <c r="AB492" s="1" t="s">
        <v>3816</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3083</v>
      </c>
      <c r="AP492" s="1" t="s">
        <v>74</v>
      </c>
      <c r="AQ492" s="1" t="s">
        <v>74</v>
      </c>
      <c r="AR492" s="1" t="s">
        <v>74</v>
      </c>
      <c r="AS492" s="1" t="s">
        <v>74</v>
      </c>
      <c r="AT492" s="1" t="s">
        <v>95</v>
      </c>
      <c r="AU492" s="1">
        <v>2002.0</v>
      </c>
      <c r="AV492" s="1">
        <v>48.0</v>
      </c>
      <c r="AW492" s="1" t="s">
        <v>74</v>
      </c>
      <c r="AX492" s="1" t="s">
        <v>74</v>
      </c>
      <c r="AY492" s="1">
        <v>3.0</v>
      </c>
      <c r="AZ492" s="1" t="s">
        <v>74</v>
      </c>
      <c r="BA492" s="1" t="s">
        <v>74</v>
      </c>
      <c r="BB492" s="1">
        <v>43.0</v>
      </c>
      <c r="BC492" s="1">
        <v>45.0</v>
      </c>
      <c r="BD492" s="1" t="s">
        <v>74</v>
      </c>
      <c r="BE492" s="1" t="s">
        <v>74</v>
      </c>
      <c r="BF492" s="1" t="s">
        <v>74</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4905</v>
      </c>
      <c r="BT492" s="1" t="str">
        <f>HYPERLINK("https%3A%2F%2Fwww.webofscience.com%2Fwos%2Fwoscc%2Ffull-record%2FWOS:000180065500015","View Full Record in Web of Science")</f>
        <v>View Full Record in Web of Science</v>
      </c>
    </row>
    <row r="493" ht="12.75" customHeight="1">
      <c r="A493" s="1" t="s">
        <v>72</v>
      </c>
      <c r="B493" s="1" t="s">
        <v>4906</v>
      </c>
      <c r="C493" s="1" t="s">
        <v>74</v>
      </c>
      <c r="D493" s="1" t="s">
        <v>74</v>
      </c>
      <c r="E493" s="1" t="s">
        <v>74</v>
      </c>
      <c r="F493" s="1" t="s">
        <v>4906</v>
      </c>
      <c r="G493" s="1" t="s">
        <v>74</v>
      </c>
      <c r="H493" s="1" t="s">
        <v>74</v>
      </c>
      <c r="I493" s="1" t="s">
        <v>4907</v>
      </c>
      <c r="J493" s="1" t="s">
        <v>4908</v>
      </c>
      <c r="K493" s="1" t="s">
        <v>74</v>
      </c>
      <c r="L493" s="1" t="s">
        <v>74</v>
      </c>
      <c r="M493" s="1" t="s">
        <v>74</v>
      </c>
      <c r="N493" s="1" t="s">
        <v>74</v>
      </c>
      <c r="O493" s="1" t="s">
        <v>74</v>
      </c>
      <c r="P493" s="1" t="s">
        <v>74</v>
      </c>
      <c r="Q493" s="1" t="s">
        <v>74</v>
      </c>
      <c r="R493" s="1" t="s">
        <v>74</v>
      </c>
      <c r="S493" s="1" t="s">
        <v>74</v>
      </c>
      <c r="T493" s="1" t="s">
        <v>74</v>
      </c>
      <c r="U493" s="1" t="s">
        <v>74</v>
      </c>
      <c r="V493" s="1" t="s">
        <v>4909</v>
      </c>
      <c r="W493" s="1" t="s">
        <v>74</v>
      </c>
      <c r="X493" s="1" t="s">
        <v>74</v>
      </c>
      <c r="Y493" s="1" t="s">
        <v>74</v>
      </c>
      <c r="Z493" s="1" t="s">
        <v>74</v>
      </c>
      <c r="AA493" s="1" t="s">
        <v>4910</v>
      </c>
      <c r="AB493" s="1" t="s">
        <v>4911</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4912</v>
      </c>
      <c r="AP493" s="1" t="s">
        <v>74</v>
      </c>
      <c r="AQ493" s="1" t="s">
        <v>74</v>
      </c>
      <c r="AR493" s="1" t="s">
        <v>74</v>
      </c>
      <c r="AS493" s="1" t="s">
        <v>74</v>
      </c>
      <c r="AT493" s="1" t="s">
        <v>3249</v>
      </c>
      <c r="AU493" s="1">
        <v>2002.0</v>
      </c>
      <c r="AV493" s="1">
        <v>307.0</v>
      </c>
      <c r="AW493" s="1">
        <v>1.0</v>
      </c>
      <c r="AX493" s="1" t="s">
        <v>74</v>
      </c>
      <c r="AY493" s="1" t="s">
        <v>74</v>
      </c>
      <c r="AZ493" s="1" t="s">
        <v>74</v>
      </c>
      <c r="BA493" s="1" t="s">
        <v>74</v>
      </c>
      <c r="BB493" s="1">
        <v>18.0</v>
      </c>
      <c r="BC493" s="1">
        <v>24.0</v>
      </c>
      <c r="BD493" s="1" t="s">
        <v>4913</v>
      </c>
      <c r="BE493" s="1" t="s">
        <v>4914</v>
      </c>
      <c r="BF493" s="2" t="str">
        <f>HYPERLINK("http://dx.doi.org/10.1016/S0003-2697(02)00009-X","http://dx.doi.org/10.1016/S0003-2697(02)00009-X")</f>
        <v>http://dx.doi.org/10.1016/S0003-2697(02)00009-X</v>
      </c>
      <c r="BG493" s="1" t="s">
        <v>74</v>
      </c>
      <c r="BH493" s="1" t="s">
        <v>74</v>
      </c>
      <c r="BI493" s="1" t="s">
        <v>74</v>
      </c>
      <c r="BJ493" s="1" t="s">
        <v>74</v>
      </c>
      <c r="BK493" s="1" t="s">
        <v>74</v>
      </c>
      <c r="BL493" s="1" t="s">
        <v>74</v>
      </c>
      <c r="BM493" s="1" t="s">
        <v>74</v>
      </c>
      <c r="BN493" s="1">
        <v>1.2137774E7</v>
      </c>
      <c r="BO493" s="1" t="s">
        <v>74</v>
      </c>
      <c r="BP493" s="1" t="s">
        <v>74</v>
      </c>
      <c r="BQ493" s="1" t="s">
        <v>74</v>
      </c>
      <c r="BR493" s="1" t="s">
        <v>74</v>
      </c>
      <c r="BS493" s="1" t="s">
        <v>4915</v>
      </c>
      <c r="BT493" s="1" t="str">
        <f>HYPERLINK("https%3A%2F%2Fwww.webofscience.com%2Fwos%2Fwoscc%2Ffull-record%2FWOS:000177498000003","View Full Record in Web of Science")</f>
        <v>View Full Record in Web of Science</v>
      </c>
    </row>
    <row r="494" ht="12.75" customHeight="1">
      <c r="A494" s="1" t="s">
        <v>72</v>
      </c>
      <c r="B494" s="1" t="s">
        <v>4916</v>
      </c>
      <c r="C494" s="1" t="s">
        <v>74</v>
      </c>
      <c r="D494" s="1" t="s">
        <v>74</v>
      </c>
      <c r="E494" s="1" t="s">
        <v>74</v>
      </c>
      <c r="F494" s="1" t="s">
        <v>4916</v>
      </c>
      <c r="G494" s="1" t="s">
        <v>74</v>
      </c>
      <c r="H494" s="1" t="s">
        <v>74</v>
      </c>
      <c r="I494" s="1" t="s">
        <v>4917</v>
      </c>
      <c r="J494" s="1" t="s">
        <v>4918</v>
      </c>
      <c r="K494" s="1" t="s">
        <v>74</v>
      </c>
      <c r="L494" s="1" t="s">
        <v>74</v>
      </c>
      <c r="M494" s="1" t="s">
        <v>74</v>
      </c>
      <c r="N494" s="1" t="s">
        <v>74</v>
      </c>
      <c r="O494" s="1" t="s">
        <v>74</v>
      </c>
      <c r="P494" s="1" t="s">
        <v>74</v>
      </c>
      <c r="Q494" s="1" t="s">
        <v>74</v>
      </c>
      <c r="R494" s="1" t="s">
        <v>74</v>
      </c>
      <c r="S494" s="1" t="s">
        <v>74</v>
      </c>
      <c r="T494" s="1" t="s">
        <v>74</v>
      </c>
      <c r="U494" s="1" t="s">
        <v>74</v>
      </c>
      <c r="V494" s="1" t="s">
        <v>4919</v>
      </c>
      <c r="W494" s="1" t="s">
        <v>74</v>
      </c>
      <c r="X494" s="1" t="s">
        <v>74</v>
      </c>
      <c r="Y494" s="1" t="s">
        <v>74</v>
      </c>
      <c r="Z494" s="1" t="s">
        <v>74</v>
      </c>
      <c r="AA494" s="1" t="s">
        <v>74</v>
      </c>
      <c r="AB494" s="1" t="s">
        <v>74</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4920</v>
      </c>
      <c r="AP494" s="1" t="s">
        <v>74</v>
      </c>
      <c r="AQ494" s="1" t="s">
        <v>74</v>
      </c>
      <c r="AR494" s="1" t="s">
        <v>74</v>
      </c>
      <c r="AS494" s="1" t="s">
        <v>74</v>
      </c>
      <c r="AT494" s="1" t="s">
        <v>74</v>
      </c>
      <c r="AU494" s="1">
        <v>2001.0</v>
      </c>
      <c r="AV494" s="1">
        <v>32.0</v>
      </c>
      <c r="AW494" s="1" t="s">
        <v>3341</v>
      </c>
      <c r="AX494" s="1" t="s">
        <v>74</v>
      </c>
      <c r="AY494" s="1" t="s">
        <v>74</v>
      </c>
      <c r="AZ494" s="1" t="s">
        <v>74</v>
      </c>
      <c r="BA494" s="1" t="s">
        <v>74</v>
      </c>
      <c r="BB494" s="1">
        <v>601.0</v>
      </c>
      <c r="BC494" s="1">
        <v>616.0</v>
      </c>
      <c r="BD494" s="1" t="s">
        <v>74</v>
      </c>
      <c r="BE494" s="1" t="s">
        <v>4921</v>
      </c>
      <c r="BF494" s="2" t="str">
        <f>HYPERLINK("http://dx.doi.org/10.1081/CSS-100103895","http://dx.doi.org/10.1081/CSS-100103895")</f>
        <v>http://dx.doi.org/10.1081/CSS-100103895</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4922</v>
      </c>
      <c r="BT494" s="1" t="str">
        <f>HYPERLINK("https%3A%2F%2Fwww.webofscience.com%2Fwos%2Fwoscc%2Ffull-record%2FWOS:000170043700001","View Full Record in Web of Science")</f>
        <v>View Full Record in Web of Science</v>
      </c>
    </row>
    <row r="495" ht="12.75" customHeight="1">
      <c r="A495" s="1" t="s">
        <v>72</v>
      </c>
      <c r="B495" s="1" t="s">
        <v>4923</v>
      </c>
      <c r="C495" s="1" t="s">
        <v>74</v>
      </c>
      <c r="D495" s="1" t="s">
        <v>74</v>
      </c>
      <c r="E495" s="1" t="s">
        <v>74</v>
      </c>
      <c r="F495" s="1" t="s">
        <v>4923</v>
      </c>
      <c r="G495" s="1" t="s">
        <v>74</v>
      </c>
      <c r="H495" s="1" t="s">
        <v>74</v>
      </c>
      <c r="I495" s="1" t="s">
        <v>4924</v>
      </c>
      <c r="J495" s="1" t="s">
        <v>4925</v>
      </c>
      <c r="K495" s="1" t="s">
        <v>74</v>
      </c>
      <c r="L495" s="1" t="s">
        <v>74</v>
      </c>
      <c r="M495" s="1" t="s">
        <v>74</v>
      </c>
      <c r="N495" s="1" t="s">
        <v>74</v>
      </c>
      <c r="O495" s="1" t="s">
        <v>74</v>
      </c>
      <c r="P495" s="1" t="s">
        <v>74</v>
      </c>
      <c r="Q495" s="1" t="s">
        <v>74</v>
      </c>
      <c r="R495" s="1" t="s">
        <v>74</v>
      </c>
      <c r="S495" s="1" t="s">
        <v>74</v>
      </c>
      <c r="T495" s="1" t="s">
        <v>74</v>
      </c>
      <c r="U495" s="1" t="s">
        <v>74</v>
      </c>
      <c r="V495" s="1" t="s">
        <v>4926</v>
      </c>
      <c r="W495" s="1" t="s">
        <v>74</v>
      </c>
      <c r="X495" s="1" t="s">
        <v>74</v>
      </c>
      <c r="Y495" s="1" t="s">
        <v>74</v>
      </c>
      <c r="Z495" s="1" t="s">
        <v>74</v>
      </c>
      <c r="AA495" s="1" t="s">
        <v>74</v>
      </c>
      <c r="AB495" s="1" t="s">
        <v>74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4927</v>
      </c>
      <c r="AP495" s="1" t="s">
        <v>74</v>
      </c>
      <c r="AQ495" s="1" t="s">
        <v>74</v>
      </c>
      <c r="AR495" s="1" t="s">
        <v>74</v>
      </c>
      <c r="AS495" s="1" t="s">
        <v>74</v>
      </c>
      <c r="AT495" s="1" t="s">
        <v>496</v>
      </c>
      <c r="AU495" s="1">
        <v>1996.0</v>
      </c>
      <c r="AV495" s="1">
        <v>23.0</v>
      </c>
      <c r="AW495" s="1">
        <v>1.0</v>
      </c>
      <c r="AX495" s="1" t="s">
        <v>74</v>
      </c>
      <c r="AY495" s="1" t="s">
        <v>74</v>
      </c>
      <c r="AZ495" s="1" t="s">
        <v>74</v>
      </c>
      <c r="BA495" s="1" t="s">
        <v>74</v>
      </c>
      <c r="BB495" s="1">
        <v>44.0</v>
      </c>
      <c r="BC495" s="1">
        <v>51.0</v>
      </c>
      <c r="BD495" s="1" t="s">
        <v>74</v>
      </c>
      <c r="BE495" s="1" t="s">
        <v>74</v>
      </c>
      <c r="BF495" s="1" t="s">
        <v>74</v>
      </c>
      <c r="BG495" s="1" t="s">
        <v>74</v>
      </c>
      <c r="BH495" s="1" t="s">
        <v>74</v>
      </c>
      <c r="BI495" s="1" t="s">
        <v>74</v>
      </c>
      <c r="BJ495" s="1" t="s">
        <v>74</v>
      </c>
      <c r="BK495" s="1" t="s">
        <v>74</v>
      </c>
      <c r="BL495" s="1" t="s">
        <v>74</v>
      </c>
      <c r="BM495" s="1" t="s">
        <v>74</v>
      </c>
      <c r="BN495" s="1">
        <v>8838507.0</v>
      </c>
      <c r="BO495" s="1" t="s">
        <v>74</v>
      </c>
      <c r="BP495" s="1" t="s">
        <v>74</v>
      </c>
      <c r="BQ495" s="1" t="s">
        <v>74</v>
      </c>
      <c r="BR495" s="1" t="s">
        <v>74</v>
      </c>
      <c r="BS495" s="1" t="s">
        <v>4928</v>
      </c>
      <c r="BT495" s="1" t="str">
        <f>HYPERLINK("https%3A%2F%2Fwww.webofscience.com%2Fwos%2Fwoscc%2Ffull-record%2FWOS:A1996TN51400009","View Full Record in Web of Science")</f>
        <v>View Full Record in Web of Science</v>
      </c>
    </row>
    <row r="496" ht="12.75" customHeight="1">
      <c r="A496" s="1" t="s">
        <v>72</v>
      </c>
      <c r="B496" s="1" t="s">
        <v>4929</v>
      </c>
      <c r="C496" s="1" t="s">
        <v>74</v>
      </c>
      <c r="D496" s="1" t="s">
        <v>74</v>
      </c>
      <c r="E496" s="1" t="s">
        <v>74</v>
      </c>
      <c r="F496" s="1" t="s">
        <v>4929</v>
      </c>
      <c r="G496" s="1" t="s">
        <v>74</v>
      </c>
      <c r="H496" s="1" t="s">
        <v>74</v>
      </c>
      <c r="I496" s="1" t="s">
        <v>4930</v>
      </c>
      <c r="J496" s="1" t="s">
        <v>4931</v>
      </c>
      <c r="K496" s="1" t="s">
        <v>74</v>
      </c>
      <c r="L496" s="1" t="s">
        <v>74</v>
      </c>
      <c r="M496" s="1" t="s">
        <v>74</v>
      </c>
      <c r="N496" s="1" t="s">
        <v>74</v>
      </c>
      <c r="O496" s="1" t="s">
        <v>74</v>
      </c>
      <c r="P496" s="1" t="s">
        <v>74</v>
      </c>
      <c r="Q496" s="1" t="s">
        <v>74</v>
      </c>
      <c r="R496" s="1" t="s">
        <v>74</v>
      </c>
      <c r="S496" s="1" t="s">
        <v>74</v>
      </c>
      <c r="T496" s="1" t="s">
        <v>74</v>
      </c>
      <c r="U496" s="1" t="s">
        <v>74</v>
      </c>
      <c r="V496" s="1" t="s">
        <v>4932</v>
      </c>
      <c r="W496" s="1" t="s">
        <v>74</v>
      </c>
      <c r="X496" s="1" t="s">
        <v>74</v>
      </c>
      <c r="Y496" s="1" t="s">
        <v>74</v>
      </c>
      <c r="Z496" s="1" t="s">
        <v>74</v>
      </c>
      <c r="AA496" s="1" t="s">
        <v>74</v>
      </c>
      <c r="AB496" s="1" t="s">
        <v>74</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4933</v>
      </c>
      <c r="AP496" s="1" t="s">
        <v>4934</v>
      </c>
      <c r="AQ496" s="1" t="s">
        <v>74</v>
      </c>
      <c r="AR496" s="1" t="s">
        <v>74</v>
      </c>
      <c r="AS496" s="1" t="s">
        <v>74</v>
      </c>
      <c r="AT496" s="1" t="s">
        <v>74</v>
      </c>
      <c r="AU496" s="1">
        <v>1992.0</v>
      </c>
      <c r="AV496" s="1">
        <v>12.0</v>
      </c>
      <c r="AW496" s="1">
        <v>4.0</v>
      </c>
      <c r="AX496" s="1" t="s">
        <v>74</v>
      </c>
      <c r="AY496" s="1" t="s">
        <v>74</v>
      </c>
      <c r="AZ496" s="1" t="s">
        <v>74</v>
      </c>
      <c r="BA496" s="1" t="s">
        <v>74</v>
      </c>
      <c r="BB496" s="1">
        <v>317.0</v>
      </c>
      <c r="BC496" s="1">
        <v>322.0</v>
      </c>
      <c r="BD496" s="1" t="s">
        <v>74</v>
      </c>
      <c r="BE496" s="1" t="s">
        <v>4935</v>
      </c>
      <c r="BF496" s="2" t="str">
        <f>HYPERLINK("http://dx.doi.org/10.1016/0891-5849(92)90118-Z","http://dx.doi.org/10.1016/0891-5849(92)90118-Z")</f>
        <v>http://dx.doi.org/10.1016/0891-5849(92)90118-Z</v>
      </c>
      <c r="BG496" s="1" t="s">
        <v>74</v>
      </c>
      <c r="BH496" s="1" t="s">
        <v>74</v>
      </c>
      <c r="BI496" s="1" t="s">
        <v>74</v>
      </c>
      <c r="BJ496" s="1" t="s">
        <v>74</v>
      </c>
      <c r="BK496" s="1" t="s">
        <v>74</v>
      </c>
      <c r="BL496" s="1" t="s">
        <v>74</v>
      </c>
      <c r="BM496" s="1" t="s">
        <v>74</v>
      </c>
      <c r="BN496" s="1">
        <v>1577333.0</v>
      </c>
      <c r="BO496" s="1" t="s">
        <v>74</v>
      </c>
      <c r="BP496" s="1" t="s">
        <v>74</v>
      </c>
      <c r="BQ496" s="1" t="s">
        <v>74</v>
      </c>
      <c r="BR496" s="1" t="s">
        <v>74</v>
      </c>
      <c r="BS496" s="1" t="s">
        <v>4936</v>
      </c>
      <c r="BT496" s="1" t="str">
        <f>HYPERLINK("https%3A%2F%2Fwww.webofscience.com%2Fwos%2Fwoscc%2Ffull-record%2FWOS:A1992HK67800008","View Full Record in Web of Science")</f>
        <v>View Full Record in Web of Science</v>
      </c>
    </row>
    <row r="497" ht="12.75" customHeight="1">
      <c r="A497" s="1" t="s">
        <v>72</v>
      </c>
      <c r="B497" s="1" t="s">
        <v>4937</v>
      </c>
      <c r="C497" s="1" t="s">
        <v>74</v>
      </c>
      <c r="D497" s="1" t="s">
        <v>74</v>
      </c>
      <c r="E497" s="1" t="s">
        <v>74</v>
      </c>
      <c r="F497" s="1" t="s">
        <v>4937</v>
      </c>
      <c r="G497" s="1" t="s">
        <v>74</v>
      </c>
      <c r="H497" s="1" t="s">
        <v>74</v>
      </c>
      <c r="I497" s="1" t="s">
        <v>4938</v>
      </c>
      <c r="J497" s="1" t="s">
        <v>326</v>
      </c>
      <c r="K497" s="1" t="s">
        <v>74</v>
      </c>
      <c r="L497" s="1" t="s">
        <v>74</v>
      </c>
      <c r="M497" s="1" t="s">
        <v>74</v>
      </c>
      <c r="N497" s="1" t="s">
        <v>74</v>
      </c>
      <c r="O497" s="1" t="s">
        <v>74</v>
      </c>
      <c r="P497" s="1" t="s">
        <v>74</v>
      </c>
      <c r="Q497" s="1" t="s">
        <v>74</v>
      </c>
      <c r="R497" s="1" t="s">
        <v>74</v>
      </c>
      <c r="S497" s="1" t="s">
        <v>74</v>
      </c>
      <c r="T497" s="1" t="s">
        <v>74</v>
      </c>
      <c r="U497" s="1" t="s">
        <v>74</v>
      </c>
      <c r="V497" s="1" t="s">
        <v>74</v>
      </c>
      <c r="W497" s="1" t="s">
        <v>74</v>
      </c>
      <c r="X497" s="1" t="s">
        <v>74</v>
      </c>
      <c r="Y497" s="1" t="s">
        <v>74</v>
      </c>
      <c r="Z497" s="1" t="s">
        <v>74</v>
      </c>
      <c r="AA497" s="1" t="s">
        <v>4025</v>
      </c>
      <c r="AB497" s="1" t="s">
        <v>74</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330</v>
      </c>
      <c r="AP497" s="1" t="s">
        <v>74</v>
      </c>
      <c r="AQ497" s="1" t="s">
        <v>74</v>
      </c>
      <c r="AR497" s="1" t="s">
        <v>74</v>
      </c>
      <c r="AS497" s="1" t="s">
        <v>74</v>
      </c>
      <c r="AT497" s="1" t="s">
        <v>74</v>
      </c>
      <c r="AU497" s="1">
        <v>1984.0</v>
      </c>
      <c r="AV497" s="1">
        <v>29.0</v>
      </c>
      <c r="AW497" s="1">
        <v>11.0</v>
      </c>
      <c r="AX497" s="1" t="s">
        <v>74</v>
      </c>
      <c r="AY497" s="1" t="s">
        <v>74</v>
      </c>
      <c r="AZ497" s="1" t="s">
        <v>74</v>
      </c>
      <c r="BA497" s="1" t="s">
        <v>74</v>
      </c>
      <c r="BB497" s="1">
        <v>1609.0</v>
      </c>
      <c r="BC497" s="1">
        <v>1609.0</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4939</v>
      </c>
      <c r="BT497" s="1" t="str">
        <f>HYPERLINK("https%3A%2F%2Fwww.webofscience.com%2Fwos%2Fwoscc%2Ffull-record%2FWOS:A1984TU21200023","View Full Record in Web of Science")</f>
        <v>View Full Record in Web of Science</v>
      </c>
    </row>
    <row r="498" ht="12.75" customHeight="1">
      <c r="A498" s="1" t="s">
        <v>72</v>
      </c>
      <c r="B498" s="1" t="s">
        <v>4940</v>
      </c>
      <c r="C498" s="1" t="s">
        <v>74</v>
      </c>
      <c r="D498" s="1" t="s">
        <v>74</v>
      </c>
      <c r="E498" s="1" t="s">
        <v>74</v>
      </c>
      <c r="F498" s="1" t="s">
        <v>4941</v>
      </c>
      <c r="G498" s="1" t="s">
        <v>74</v>
      </c>
      <c r="H498" s="1" t="s">
        <v>74</v>
      </c>
      <c r="I498" s="1" t="s">
        <v>4942</v>
      </c>
      <c r="J498" s="1" t="s">
        <v>4943</v>
      </c>
      <c r="K498" s="1" t="s">
        <v>74</v>
      </c>
      <c r="L498" s="1" t="s">
        <v>74</v>
      </c>
      <c r="M498" s="1" t="s">
        <v>74</v>
      </c>
      <c r="N498" s="1" t="s">
        <v>74</v>
      </c>
      <c r="O498" s="1" t="s">
        <v>74</v>
      </c>
      <c r="P498" s="1" t="s">
        <v>74</v>
      </c>
      <c r="Q498" s="1" t="s">
        <v>74</v>
      </c>
      <c r="R498" s="1" t="s">
        <v>74</v>
      </c>
      <c r="S498" s="1" t="s">
        <v>74</v>
      </c>
      <c r="T498" s="1" t="s">
        <v>74</v>
      </c>
      <c r="U498" s="1" t="s">
        <v>74</v>
      </c>
      <c r="V498" s="1" t="s">
        <v>4944</v>
      </c>
      <c r="W498" s="1" t="s">
        <v>74</v>
      </c>
      <c r="X498" s="1" t="s">
        <v>74</v>
      </c>
      <c r="Y498" s="1" t="s">
        <v>74</v>
      </c>
      <c r="Z498" s="1" t="s">
        <v>74</v>
      </c>
      <c r="AA498" s="1" t="s">
        <v>4945</v>
      </c>
      <c r="AB498" s="1" t="s">
        <v>4946</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4947</v>
      </c>
      <c r="AP498" s="1" t="s">
        <v>4948</v>
      </c>
      <c r="AQ498" s="1" t="s">
        <v>74</v>
      </c>
      <c r="AR498" s="1" t="s">
        <v>74</v>
      </c>
      <c r="AS498" s="1" t="s">
        <v>74</v>
      </c>
      <c r="AT498" s="1" t="s">
        <v>496</v>
      </c>
      <c r="AU498" s="1">
        <v>2025.0</v>
      </c>
      <c r="AV498" s="1">
        <v>177.0</v>
      </c>
      <c r="AW498" s="1">
        <v>1.0</v>
      </c>
      <c r="AX498" s="1" t="s">
        <v>74</v>
      </c>
      <c r="AY498" s="1" t="s">
        <v>74</v>
      </c>
      <c r="AZ498" s="1" t="s">
        <v>74</v>
      </c>
      <c r="BA498" s="1" t="s">
        <v>74</v>
      </c>
      <c r="BB498" s="1" t="s">
        <v>74</v>
      </c>
      <c r="BC498" s="1" t="s">
        <v>74</v>
      </c>
      <c r="BD498" s="1" t="s">
        <v>4949</v>
      </c>
      <c r="BE498" s="1" t="s">
        <v>4950</v>
      </c>
      <c r="BF498" s="2" t="str">
        <f>HYPERLINK("http://dx.doi.org/10.1111/ppl.70097","http://dx.doi.org/10.1111/ppl.70097")</f>
        <v>http://dx.doi.org/10.1111/ppl.70097</v>
      </c>
      <c r="BG498" s="1" t="s">
        <v>74</v>
      </c>
      <c r="BH498" s="1" t="s">
        <v>74</v>
      </c>
      <c r="BI498" s="1" t="s">
        <v>74</v>
      </c>
      <c r="BJ498" s="1" t="s">
        <v>74</v>
      </c>
      <c r="BK498" s="1" t="s">
        <v>74</v>
      </c>
      <c r="BL498" s="1" t="s">
        <v>74</v>
      </c>
      <c r="BM498" s="1" t="s">
        <v>74</v>
      </c>
      <c r="BN498" s="1">
        <v>3.9887727E7</v>
      </c>
      <c r="BO498" s="1" t="s">
        <v>74</v>
      </c>
      <c r="BP498" s="1" t="s">
        <v>74</v>
      </c>
      <c r="BQ498" s="1" t="s">
        <v>74</v>
      </c>
      <c r="BR498" s="1" t="s">
        <v>74</v>
      </c>
      <c r="BS498" s="1" t="s">
        <v>4951</v>
      </c>
      <c r="BT498" s="1" t="str">
        <f>HYPERLINK("https%3A%2F%2Fwww.webofscience.com%2Fwos%2Fwoscc%2Ffull-record%2FWOS:001410134100001","View Full Record in Web of Science")</f>
        <v>View Full Record in Web of Science</v>
      </c>
    </row>
    <row r="499" ht="12.75" customHeight="1">
      <c r="A499" s="1" t="s">
        <v>72</v>
      </c>
      <c r="B499" s="1" t="s">
        <v>4952</v>
      </c>
      <c r="C499" s="1" t="s">
        <v>74</v>
      </c>
      <c r="D499" s="1" t="s">
        <v>74</v>
      </c>
      <c r="E499" s="1" t="s">
        <v>74</v>
      </c>
      <c r="F499" s="1" t="s">
        <v>4953</v>
      </c>
      <c r="G499" s="1" t="s">
        <v>74</v>
      </c>
      <c r="H499" s="1" t="s">
        <v>74</v>
      </c>
      <c r="I499" s="1" t="s">
        <v>4954</v>
      </c>
      <c r="J499" s="1" t="s">
        <v>4955</v>
      </c>
      <c r="K499" s="1" t="s">
        <v>74</v>
      </c>
      <c r="L499" s="1" t="s">
        <v>74</v>
      </c>
      <c r="M499" s="1" t="s">
        <v>74</v>
      </c>
      <c r="N499" s="1" t="s">
        <v>74</v>
      </c>
      <c r="O499" s="1" t="s">
        <v>74</v>
      </c>
      <c r="P499" s="1" t="s">
        <v>74</v>
      </c>
      <c r="Q499" s="1" t="s">
        <v>74</v>
      </c>
      <c r="R499" s="1" t="s">
        <v>74</v>
      </c>
      <c r="S499" s="1" t="s">
        <v>74</v>
      </c>
      <c r="T499" s="1" t="s">
        <v>74</v>
      </c>
      <c r="U499" s="1" t="s">
        <v>74</v>
      </c>
      <c r="V499" s="1" t="s">
        <v>4956</v>
      </c>
      <c r="W499" s="1" t="s">
        <v>74</v>
      </c>
      <c r="X499" s="1" t="s">
        <v>74</v>
      </c>
      <c r="Y499" s="1" t="s">
        <v>74</v>
      </c>
      <c r="Z499" s="1" t="s">
        <v>74</v>
      </c>
      <c r="AA499" s="1" t="s">
        <v>4957</v>
      </c>
      <c r="AB499" s="1" t="s">
        <v>4958</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4959</v>
      </c>
      <c r="AP499" s="1" t="s">
        <v>4960</v>
      </c>
      <c r="AQ499" s="1" t="s">
        <v>74</v>
      </c>
      <c r="AR499" s="1" t="s">
        <v>74</v>
      </c>
      <c r="AS499" s="1" t="s">
        <v>74</v>
      </c>
      <c r="AT499" s="1" t="s">
        <v>95</v>
      </c>
      <c r="AU499" s="1">
        <v>2024.0</v>
      </c>
      <c r="AV499" s="1">
        <v>7.0</v>
      </c>
      <c r="AW499" s="1">
        <v>1.0</v>
      </c>
      <c r="AX499" s="1" t="s">
        <v>74</v>
      </c>
      <c r="AY499" s="1" t="s">
        <v>74</v>
      </c>
      <c r="AZ499" s="1" t="s">
        <v>74</v>
      </c>
      <c r="BA499" s="1" t="s">
        <v>74</v>
      </c>
      <c r="BB499" s="1" t="s">
        <v>74</v>
      </c>
      <c r="BC499" s="1" t="s">
        <v>74</v>
      </c>
      <c r="BD499" s="1">
        <v>1.0</v>
      </c>
      <c r="BE499" s="1" t="s">
        <v>4961</v>
      </c>
      <c r="BF499" s="2" t="str">
        <f>HYPERLINK("http://dx.doi.org/10.1007/s41918-023-00197-3","http://dx.doi.org/10.1007/s41918-023-00197-3")</f>
        <v>http://dx.doi.org/10.1007/s41918-023-00197-3</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4962</v>
      </c>
      <c r="BT499" s="1" t="str">
        <f>HYPERLINK("https%3A%2F%2Fwww.webofscience.com%2Fwos%2Fwoscc%2Ffull-record%2FWOS:001142296800002","View Full Record in Web of Science")</f>
        <v>View Full Record in Web of Science</v>
      </c>
    </row>
    <row r="500" ht="12.75" customHeight="1">
      <c r="A500" s="1" t="s">
        <v>72</v>
      </c>
      <c r="B500" s="1" t="s">
        <v>4963</v>
      </c>
      <c r="C500" s="1" t="s">
        <v>74</v>
      </c>
      <c r="D500" s="1" t="s">
        <v>74</v>
      </c>
      <c r="E500" s="1" t="s">
        <v>74</v>
      </c>
      <c r="F500" s="1" t="s">
        <v>4964</v>
      </c>
      <c r="G500" s="1" t="s">
        <v>74</v>
      </c>
      <c r="H500" s="1" t="s">
        <v>74</v>
      </c>
      <c r="I500" s="1" t="s">
        <v>4965</v>
      </c>
      <c r="J500" s="1" t="s">
        <v>4966</v>
      </c>
      <c r="K500" s="1" t="s">
        <v>74</v>
      </c>
      <c r="L500" s="1" t="s">
        <v>74</v>
      </c>
      <c r="M500" s="1" t="s">
        <v>74</v>
      </c>
      <c r="N500" s="1" t="s">
        <v>74</v>
      </c>
      <c r="O500" s="1" t="s">
        <v>74</v>
      </c>
      <c r="P500" s="1" t="s">
        <v>74</v>
      </c>
      <c r="Q500" s="1" t="s">
        <v>74</v>
      </c>
      <c r="R500" s="1" t="s">
        <v>74</v>
      </c>
      <c r="S500" s="1" t="s">
        <v>74</v>
      </c>
      <c r="T500" s="1" t="s">
        <v>74</v>
      </c>
      <c r="U500" s="1" t="s">
        <v>74</v>
      </c>
      <c r="V500" s="1" t="s">
        <v>4967</v>
      </c>
      <c r="W500" s="1" t="s">
        <v>74</v>
      </c>
      <c r="X500" s="1" t="s">
        <v>74</v>
      </c>
      <c r="Y500" s="1" t="s">
        <v>74</v>
      </c>
      <c r="Z500" s="1" t="s">
        <v>74</v>
      </c>
      <c r="AA500" s="1" t="s">
        <v>4968</v>
      </c>
      <c r="AB500" s="1" t="s">
        <v>4969</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4970</v>
      </c>
      <c r="AP500" s="1" t="s">
        <v>4971</v>
      </c>
      <c r="AQ500" s="1" t="s">
        <v>74</v>
      </c>
      <c r="AR500" s="1" t="s">
        <v>74</v>
      </c>
      <c r="AS500" s="1" t="s">
        <v>74</v>
      </c>
      <c r="AT500" s="1" t="s">
        <v>4757</v>
      </c>
      <c r="AU500" s="1">
        <v>2025.0</v>
      </c>
      <c r="AV500" s="1">
        <v>46.0</v>
      </c>
      <c r="AW500" s="1">
        <v>2.0</v>
      </c>
      <c r="AX500" s="1" t="s">
        <v>74</v>
      </c>
      <c r="AY500" s="1" t="s">
        <v>74</v>
      </c>
      <c r="AZ500" s="1" t="s">
        <v>74</v>
      </c>
      <c r="BA500" s="1" t="s">
        <v>74</v>
      </c>
      <c r="BB500" s="1">
        <v>197.0</v>
      </c>
      <c r="BC500" s="1">
        <v>217.0</v>
      </c>
      <c r="BD500" s="1" t="s">
        <v>74</v>
      </c>
      <c r="BE500" s="1" t="s">
        <v>4972</v>
      </c>
      <c r="BF500" s="2" t="str">
        <f>HYPERLINK("http://dx.doi.org/10.1108/IJM-01-2024-0022","http://dx.doi.org/10.1108/IJM-01-2024-0022")</f>
        <v>http://dx.doi.org/10.1108/IJM-01-2024-0022</v>
      </c>
      <c r="BG500" s="1" t="s">
        <v>74</v>
      </c>
      <c r="BH500" s="1" t="s">
        <v>4133</v>
      </c>
      <c r="BI500" s="1" t="s">
        <v>74</v>
      </c>
      <c r="BJ500" s="1" t="s">
        <v>74</v>
      </c>
      <c r="BK500" s="1" t="s">
        <v>74</v>
      </c>
      <c r="BL500" s="1" t="s">
        <v>74</v>
      </c>
      <c r="BM500" s="1" t="s">
        <v>74</v>
      </c>
      <c r="BN500" s="1" t="s">
        <v>74</v>
      </c>
      <c r="BO500" s="1" t="s">
        <v>74</v>
      </c>
      <c r="BP500" s="1" t="s">
        <v>74</v>
      </c>
      <c r="BQ500" s="1" t="s">
        <v>74</v>
      </c>
      <c r="BR500" s="1" t="s">
        <v>74</v>
      </c>
      <c r="BS500" s="1" t="s">
        <v>4973</v>
      </c>
      <c r="BT500" s="1" t="str">
        <f>HYPERLINK("https%3A%2F%2Fwww.webofscience.com%2Fwos%2Fwoscc%2Ffull-record%2FWOS:001350213900001","View Full Record in Web of Science")</f>
        <v>View Full Record in Web of Science</v>
      </c>
    </row>
    <row r="501" ht="12.75" customHeight="1">
      <c r="A501" s="1" t="s">
        <v>72</v>
      </c>
      <c r="B501" s="1" t="s">
        <v>4974</v>
      </c>
      <c r="C501" s="1" t="s">
        <v>74</v>
      </c>
      <c r="D501" s="1" t="s">
        <v>74</v>
      </c>
      <c r="E501" s="1" t="s">
        <v>74</v>
      </c>
      <c r="F501" s="1" t="s">
        <v>4975</v>
      </c>
      <c r="G501" s="1" t="s">
        <v>74</v>
      </c>
      <c r="H501" s="1" t="s">
        <v>74</v>
      </c>
      <c r="I501" s="1" t="s">
        <v>4976</v>
      </c>
      <c r="J501" s="1" t="s">
        <v>4977</v>
      </c>
      <c r="K501" s="1" t="s">
        <v>74</v>
      </c>
      <c r="L501" s="1" t="s">
        <v>74</v>
      </c>
      <c r="M501" s="1" t="s">
        <v>74</v>
      </c>
      <c r="N501" s="1" t="s">
        <v>74</v>
      </c>
      <c r="O501" s="1" t="s">
        <v>74</v>
      </c>
      <c r="P501" s="1" t="s">
        <v>74</v>
      </c>
      <c r="Q501" s="1" t="s">
        <v>74</v>
      </c>
      <c r="R501" s="1" t="s">
        <v>74</v>
      </c>
      <c r="S501" s="1" t="s">
        <v>74</v>
      </c>
      <c r="T501" s="1" t="s">
        <v>74</v>
      </c>
      <c r="U501" s="1" t="s">
        <v>74</v>
      </c>
      <c r="V501" s="1" t="s">
        <v>74</v>
      </c>
      <c r="W501" s="1" t="s">
        <v>74</v>
      </c>
      <c r="X501" s="1" t="s">
        <v>74</v>
      </c>
      <c r="Y501" s="1" t="s">
        <v>74</v>
      </c>
      <c r="Z501" s="1" t="s">
        <v>74</v>
      </c>
      <c r="AA501" s="1" t="s">
        <v>74</v>
      </c>
      <c r="AB501" s="1" t="s">
        <v>74</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4978</v>
      </c>
      <c r="AP501" s="1" t="s">
        <v>4979</v>
      </c>
      <c r="AQ501" s="1" t="s">
        <v>74</v>
      </c>
      <c r="AR501" s="1" t="s">
        <v>74</v>
      </c>
      <c r="AS501" s="1" t="s">
        <v>74</v>
      </c>
      <c r="AT501" s="1" t="s">
        <v>1778</v>
      </c>
      <c r="AU501" s="1">
        <v>2024.0</v>
      </c>
      <c r="AV501" s="1">
        <v>29.0</v>
      </c>
      <c r="AW501" s="1">
        <v>65.0</v>
      </c>
      <c r="AX501" s="1" t="s">
        <v>74</v>
      </c>
      <c r="AY501" s="1" t="s">
        <v>74</v>
      </c>
      <c r="AZ501" s="1" t="s">
        <v>74</v>
      </c>
      <c r="BA501" s="1" t="s">
        <v>74</v>
      </c>
      <c r="BB501" s="1" t="s">
        <v>74</v>
      </c>
      <c r="BC501" s="1" t="s">
        <v>74</v>
      </c>
      <c r="BD501" s="1" t="s">
        <v>4980</v>
      </c>
      <c r="BE501" s="1" t="s">
        <v>4981</v>
      </c>
      <c r="BF501" s="2" t="str">
        <f>HYPERLINK("http://dx.doi.org/10.22409/gragoata.v29i65.65457.es","http://dx.doi.org/10.22409/gragoata.v29i65.65457.es")</f>
        <v>http://dx.doi.org/10.22409/gragoata.v29i65.65457.es</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4982</v>
      </c>
      <c r="BT501" s="1" t="str">
        <f>HYPERLINK("https%3A%2F%2Fwww.webofscience.com%2Fwos%2Fwoscc%2Ffull-record%2FWOS:001383080200004","View Full Record in Web of Science")</f>
        <v>View Full Record in Web of Science</v>
      </c>
    </row>
    <row r="502" ht="12.75" customHeight="1">
      <c r="A502" s="1" t="s">
        <v>72</v>
      </c>
      <c r="B502" s="1" t="s">
        <v>4983</v>
      </c>
      <c r="C502" s="1" t="s">
        <v>74</v>
      </c>
      <c r="D502" s="1" t="s">
        <v>74</v>
      </c>
      <c r="E502" s="1" t="s">
        <v>74</v>
      </c>
      <c r="F502" s="1" t="s">
        <v>4984</v>
      </c>
      <c r="G502" s="1" t="s">
        <v>74</v>
      </c>
      <c r="H502" s="1" t="s">
        <v>74</v>
      </c>
      <c r="I502" s="1" t="s">
        <v>4985</v>
      </c>
      <c r="J502" s="1" t="s">
        <v>4986</v>
      </c>
      <c r="K502" s="1" t="s">
        <v>74</v>
      </c>
      <c r="L502" s="1" t="s">
        <v>74</v>
      </c>
      <c r="M502" s="1" t="s">
        <v>74</v>
      </c>
      <c r="N502" s="1" t="s">
        <v>74</v>
      </c>
      <c r="O502" s="1" t="s">
        <v>74</v>
      </c>
      <c r="P502" s="1" t="s">
        <v>74</v>
      </c>
      <c r="Q502" s="1" t="s">
        <v>74</v>
      </c>
      <c r="R502" s="1" t="s">
        <v>74</v>
      </c>
      <c r="S502" s="1" t="s">
        <v>74</v>
      </c>
      <c r="T502" s="1" t="s">
        <v>74</v>
      </c>
      <c r="U502" s="1" t="s">
        <v>74</v>
      </c>
      <c r="V502" s="1" t="s">
        <v>4987</v>
      </c>
      <c r="W502" s="1" t="s">
        <v>74</v>
      </c>
      <c r="X502" s="1" t="s">
        <v>74</v>
      </c>
      <c r="Y502" s="1" t="s">
        <v>74</v>
      </c>
      <c r="Z502" s="1" t="s">
        <v>74</v>
      </c>
      <c r="AA502" s="1" t="s">
        <v>4988</v>
      </c>
      <c r="AB502" s="1" t="s">
        <v>74</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4989</v>
      </c>
      <c r="AP502" s="1" t="s">
        <v>74</v>
      </c>
      <c r="AQ502" s="1" t="s">
        <v>74</v>
      </c>
      <c r="AR502" s="1" t="s">
        <v>74</v>
      </c>
      <c r="AS502" s="1" t="s">
        <v>74</v>
      </c>
      <c r="AT502" s="1" t="s">
        <v>554</v>
      </c>
      <c r="AU502" s="1">
        <v>2024.0</v>
      </c>
      <c r="AV502" s="1">
        <v>16.0</v>
      </c>
      <c r="AW502" s="1">
        <v>6.0</v>
      </c>
      <c r="AX502" s="1" t="s">
        <v>74</v>
      </c>
      <c r="AY502" s="1" t="s">
        <v>74</v>
      </c>
      <c r="AZ502" s="1" t="s">
        <v>74</v>
      </c>
      <c r="BA502" s="1" t="s">
        <v>74</v>
      </c>
      <c r="BB502" s="1" t="s">
        <v>74</v>
      </c>
      <c r="BC502" s="1" t="s">
        <v>74</v>
      </c>
      <c r="BD502" s="1">
        <v>202.0</v>
      </c>
      <c r="BE502" s="1" t="s">
        <v>4990</v>
      </c>
      <c r="BF502" s="2" t="str">
        <f>HYPERLINK("http://dx.doi.org/10.3390/fi16060202","http://dx.doi.org/10.3390/fi16060202")</f>
        <v>http://dx.doi.org/10.3390/fi16060202</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4991</v>
      </c>
      <c r="BT502" s="1" t="str">
        <f>HYPERLINK("https%3A%2F%2Fwww.webofscience.com%2Fwos%2Fwoscc%2Ffull-record%2FWOS:001255860100001","View Full Record in Web of Science")</f>
        <v>View Full Record in Web of Science</v>
      </c>
    </row>
    <row r="503" ht="12.75" customHeight="1">
      <c r="A503" s="1" t="s">
        <v>72</v>
      </c>
      <c r="B503" s="1" t="s">
        <v>4992</v>
      </c>
      <c r="C503" s="1" t="s">
        <v>74</v>
      </c>
      <c r="D503" s="1" t="s">
        <v>74</v>
      </c>
      <c r="E503" s="1" t="s">
        <v>74</v>
      </c>
      <c r="F503" s="1" t="s">
        <v>4993</v>
      </c>
      <c r="G503" s="1" t="s">
        <v>74</v>
      </c>
      <c r="H503" s="1" t="s">
        <v>74</v>
      </c>
      <c r="I503" s="1" t="s">
        <v>4994</v>
      </c>
      <c r="J503" s="1" t="s">
        <v>4995</v>
      </c>
      <c r="K503" s="1" t="s">
        <v>74</v>
      </c>
      <c r="L503" s="1" t="s">
        <v>74</v>
      </c>
      <c r="M503" s="1" t="s">
        <v>74</v>
      </c>
      <c r="N503" s="1" t="s">
        <v>74</v>
      </c>
      <c r="O503" s="1" t="s">
        <v>74</v>
      </c>
      <c r="P503" s="1" t="s">
        <v>74</v>
      </c>
      <c r="Q503" s="1" t="s">
        <v>74</v>
      </c>
      <c r="R503" s="1" t="s">
        <v>74</v>
      </c>
      <c r="S503" s="1" t="s">
        <v>74</v>
      </c>
      <c r="T503" s="1" t="s">
        <v>74</v>
      </c>
      <c r="U503" s="1" t="s">
        <v>74</v>
      </c>
      <c r="V503" s="1" t="s">
        <v>4996</v>
      </c>
      <c r="W503" s="1" t="s">
        <v>74</v>
      </c>
      <c r="X503" s="1" t="s">
        <v>74</v>
      </c>
      <c r="Y503" s="1" t="s">
        <v>74</v>
      </c>
      <c r="Z503" s="1" t="s">
        <v>74</v>
      </c>
      <c r="AA503" s="1" t="s">
        <v>74</v>
      </c>
      <c r="AB503" s="1" t="s">
        <v>74</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74</v>
      </c>
      <c r="AP503" s="1" t="s">
        <v>4997</v>
      </c>
      <c r="AQ503" s="1" t="s">
        <v>74</v>
      </c>
      <c r="AR503" s="1" t="s">
        <v>74</v>
      </c>
      <c r="AS503" s="1" t="s">
        <v>74</v>
      </c>
      <c r="AT503" s="1" t="s">
        <v>120</v>
      </c>
      <c r="AU503" s="1">
        <v>2024.0</v>
      </c>
      <c r="AV503" s="1">
        <v>13.0</v>
      </c>
      <c r="AW503" s="1">
        <v>2.0</v>
      </c>
      <c r="AX503" s="1" t="s">
        <v>74</v>
      </c>
      <c r="AY503" s="1" t="s">
        <v>74</v>
      </c>
      <c r="AZ503" s="1" t="s">
        <v>74</v>
      </c>
      <c r="BA503" s="1" t="s">
        <v>74</v>
      </c>
      <c r="BB503" s="1" t="s">
        <v>74</v>
      </c>
      <c r="BC503" s="1" t="s">
        <v>74</v>
      </c>
      <c r="BD503" s="1">
        <v>90.0</v>
      </c>
      <c r="BE503" s="1" t="s">
        <v>4998</v>
      </c>
      <c r="BF503" s="2" t="str">
        <f>HYPERLINK("http://dx.doi.org/10.3390/socsci13020090","http://dx.doi.org/10.3390/socsci13020090")</f>
        <v>http://dx.doi.org/10.3390/socsci13020090</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4999</v>
      </c>
      <c r="BT503" s="1" t="str">
        <f>HYPERLINK("https%3A%2F%2Fwww.webofscience.com%2Fwos%2Fwoscc%2Ffull-record%2FWOS:001172510300001","View Full Record in Web of Science")</f>
        <v>View Full Record in Web of Science</v>
      </c>
    </row>
    <row r="504" ht="12.75" customHeight="1">
      <c r="A504" s="1" t="s">
        <v>72</v>
      </c>
      <c r="B504" s="1" t="s">
        <v>5000</v>
      </c>
      <c r="C504" s="1" t="s">
        <v>74</v>
      </c>
      <c r="D504" s="1" t="s">
        <v>74</v>
      </c>
      <c r="E504" s="1" t="s">
        <v>74</v>
      </c>
      <c r="F504" s="1" t="s">
        <v>5001</v>
      </c>
      <c r="G504" s="1" t="s">
        <v>74</v>
      </c>
      <c r="H504" s="1" t="s">
        <v>74</v>
      </c>
      <c r="I504" s="1" t="s">
        <v>5002</v>
      </c>
      <c r="J504" s="1" t="s">
        <v>1685</v>
      </c>
      <c r="K504" s="1" t="s">
        <v>74</v>
      </c>
      <c r="L504" s="1" t="s">
        <v>74</v>
      </c>
      <c r="M504" s="1" t="s">
        <v>74</v>
      </c>
      <c r="N504" s="1" t="s">
        <v>74</v>
      </c>
      <c r="O504" s="1" t="s">
        <v>74</v>
      </c>
      <c r="P504" s="1" t="s">
        <v>74</v>
      </c>
      <c r="Q504" s="1" t="s">
        <v>74</v>
      </c>
      <c r="R504" s="1" t="s">
        <v>74</v>
      </c>
      <c r="S504" s="1" t="s">
        <v>74</v>
      </c>
      <c r="T504" s="1" t="s">
        <v>74</v>
      </c>
      <c r="U504" s="1" t="s">
        <v>74</v>
      </c>
      <c r="V504" s="1" t="s">
        <v>5003</v>
      </c>
      <c r="W504" s="1" t="s">
        <v>74</v>
      </c>
      <c r="X504" s="1" t="s">
        <v>74</v>
      </c>
      <c r="Y504" s="1" t="s">
        <v>74</v>
      </c>
      <c r="Z504" s="1" t="s">
        <v>74</v>
      </c>
      <c r="AA504" s="1" t="s">
        <v>5004</v>
      </c>
      <c r="AB504" s="1" t="s">
        <v>5005</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1689</v>
      </c>
      <c r="AP504" s="1" t="s">
        <v>74</v>
      </c>
      <c r="AQ504" s="1" t="s">
        <v>74</v>
      </c>
      <c r="AR504" s="1" t="s">
        <v>74</v>
      </c>
      <c r="AS504" s="1" t="s">
        <v>74</v>
      </c>
      <c r="AT504" s="1" t="s">
        <v>5006</v>
      </c>
      <c r="AU504" s="1">
        <v>2024.0</v>
      </c>
      <c r="AV504" s="1">
        <v>14.0</v>
      </c>
      <c r="AW504" s="1">
        <v>4.0</v>
      </c>
      <c r="AX504" s="1" t="s">
        <v>74</v>
      </c>
      <c r="AY504" s="1" t="s">
        <v>74</v>
      </c>
      <c r="AZ504" s="1" t="s">
        <v>74</v>
      </c>
      <c r="BA504" s="1" t="s">
        <v>74</v>
      </c>
      <c r="BB504" s="1">
        <v>2264.0</v>
      </c>
      <c r="BC504" s="1">
        <v>2283.0</v>
      </c>
      <c r="BD504" s="1" t="s">
        <v>74</v>
      </c>
      <c r="BE504" s="1" t="s">
        <v>5007</v>
      </c>
      <c r="BF504" s="2" t="str">
        <f>HYPERLINK("http://dx.doi.org/10.1021/acscatal.3c05657","http://dx.doi.org/10.1021/acscatal.3c05657")</f>
        <v>http://dx.doi.org/10.1021/acscatal.3c05657</v>
      </c>
      <c r="BG504" s="1" t="s">
        <v>74</v>
      </c>
      <c r="BH504" s="1" t="s">
        <v>1235</v>
      </c>
      <c r="BI504" s="1" t="s">
        <v>74</v>
      </c>
      <c r="BJ504" s="1" t="s">
        <v>74</v>
      </c>
      <c r="BK504" s="1" t="s">
        <v>74</v>
      </c>
      <c r="BL504" s="1" t="s">
        <v>74</v>
      </c>
      <c r="BM504" s="1" t="s">
        <v>74</v>
      </c>
      <c r="BN504" s="1" t="s">
        <v>74</v>
      </c>
      <c r="BO504" s="1" t="s">
        <v>74</v>
      </c>
      <c r="BP504" s="1" t="s">
        <v>74</v>
      </c>
      <c r="BQ504" s="1" t="s">
        <v>74</v>
      </c>
      <c r="BR504" s="1" t="s">
        <v>74</v>
      </c>
      <c r="BS504" s="1" t="s">
        <v>5008</v>
      </c>
      <c r="BT504" s="1" t="str">
        <f>HYPERLINK("https%3A%2F%2Fwww.webofscience.com%2Fwos%2Fwoscc%2Ffull-record%2FWOS:001162289900001","View Full Record in Web of Science")</f>
        <v>View Full Record in Web of Science</v>
      </c>
    </row>
    <row r="505" ht="12.75" customHeight="1">
      <c r="A505" s="1" t="s">
        <v>72</v>
      </c>
      <c r="B505" s="1" t="s">
        <v>5009</v>
      </c>
      <c r="C505" s="1" t="s">
        <v>74</v>
      </c>
      <c r="D505" s="1" t="s">
        <v>74</v>
      </c>
      <c r="E505" s="1" t="s">
        <v>74</v>
      </c>
      <c r="F505" s="1" t="s">
        <v>5010</v>
      </c>
      <c r="G505" s="1" t="s">
        <v>74</v>
      </c>
      <c r="H505" s="1" t="s">
        <v>74</v>
      </c>
      <c r="I505" s="1" t="s">
        <v>5011</v>
      </c>
      <c r="J505" s="1" t="s">
        <v>5012</v>
      </c>
      <c r="K505" s="1" t="s">
        <v>74</v>
      </c>
      <c r="L505" s="1" t="s">
        <v>74</v>
      </c>
      <c r="M505" s="1" t="s">
        <v>74</v>
      </c>
      <c r="N505" s="1" t="s">
        <v>74</v>
      </c>
      <c r="O505" s="1" t="s">
        <v>74</v>
      </c>
      <c r="P505" s="1" t="s">
        <v>74</v>
      </c>
      <c r="Q505" s="1" t="s">
        <v>74</v>
      </c>
      <c r="R505" s="1" t="s">
        <v>74</v>
      </c>
      <c r="S505" s="1" t="s">
        <v>74</v>
      </c>
      <c r="T505" s="1" t="s">
        <v>74</v>
      </c>
      <c r="U505" s="1" t="s">
        <v>74</v>
      </c>
      <c r="V505" s="1" t="s">
        <v>5013</v>
      </c>
      <c r="W505" s="1" t="s">
        <v>74</v>
      </c>
      <c r="X505" s="1" t="s">
        <v>74</v>
      </c>
      <c r="Y505" s="1" t="s">
        <v>74</v>
      </c>
      <c r="Z505" s="1" t="s">
        <v>74</v>
      </c>
      <c r="AA505" s="1" t="s">
        <v>74</v>
      </c>
      <c r="AB505" s="1" t="s">
        <v>74</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5014</v>
      </c>
      <c r="AP505" s="1" t="s">
        <v>5015</v>
      </c>
      <c r="AQ505" s="1" t="s">
        <v>74</v>
      </c>
      <c r="AR505" s="1" t="s">
        <v>74</v>
      </c>
      <c r="AS505" s="1" t="s">
        <v>74</v>
      </c>
      <c r="AT505" s="1" t="s">
        <v>5016</v>
      </c>
      <c r="AU505" s="1">
        <v>2024.0</v>
      </c>
      <c r="AV505" s="1">
        <v>59.0</v>
      </c>
      <c r="AW505" s="1">
        <v>1.0</v>
      </c>
      <c r="AX505" s="1" t="s">
        <v>74</v>
      </c>
      <c r="AY505" s="1" t="s">
        <v>74</v>
      </c>
      <c r="AZ505" s="1" t="s">
        <v>74</v>
      </c>
      <c r="BA505" s="1" t="s">
        <v>74</v>
      </c>
      <c r="BB505" s="1" t="s">
        <v>74</v>
      </c>
      <c r="BC505" s="1" t="s">
        <v>74</v>
      </c>
      <c r="BD505" s="1" t="s">
        <v>5017</v>
      </c>
      <c r="BE505" s="1" t="s">
        <v>5018</v>
      </c>
      <c r="BF505" s="2" t="str">
        <f>HYPERLINK("http://dx.doi.org/10.15448/1984-7726.2024.1.45723","http://dx.doi.org/10.15448/1984-7726.2024.1.45723")</f>
        <v>http://dx.doi.org/10.15448/1984-7726.2024.1.45723</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5019</v>
      </c>
      <c r="BT505" s="1" t="str">
        <f>HYPERLINK("https%3A%2F%2Fwww.webofscience.com%2Fwos%2Fwoscc%2Ffull-record%2FWOS:001307678400004","View Full Record in Web of Science")</f>
        <v>View Full Record in Web of Science</v>
      </c>
    </row>
    <row r="506" ht="12.75" customHeight="1">
      <c r="A506" s="1" t="s">
        <v>72</v>
      </c>
      <c r="B506" s="1" t="s">
        <v>5020</v>
      </c>
      <c r="C506" s="1" t="s">
        <v>74</v>
      </c>
      <c r="D506" s="1" t="s">
        <v>74</v>
      </c>
      <c r="E506" s="1" t="s">
        <v>74</v>
      </c>
      <c r="F506" s="1" t="s">
        <v>5021</v>
      </c>
      <c r="G506" s="1" t="s">
        <v>74</v>
      </c>
      <c r="H506" s="1" t="s">
        <v>74</v>
      </c>
      <c r="I506" s="1" t="s">
        <v>5022</v>
      </c>
      <c r="J506" s="1" t="s">
        <v>5023</v>
      </c>
      <c r="K506" s="1" t="s">
        <v>74</v>
      </c>
      <c r="L506" s="1" t="s">
        <v>74</v>
      </c>
      <c r="M506" s="1" t="s">
        <v>74</v>
      </c>
      <c r="N506" s="1" t="s">
        <v>74</v>
      </c>
      <c r="O506" s="1" t="s">
        <v>74</v>
      </c>
      <c r="P506" s="1" t="s">
        <v>74</v>
      </c>
      <c r="Q506" s="1" t="s">
        <v>74</v>
      </c>
      <c r="R506" s="1" t="s">
        <v>74</v>
      </c>
      <c r="S506" s="1" t="s">
        <v>74</v>
      </c>
      <c r="T506" s="1" t="s">
        <v>74</v>
      </c>
      <c r="U506" s="1" t="s">
        <v>74</v>
      </c>
      <c r="V506" s="1" t="s">
        <v>5024</v>
      </c>
      <c r="W506" s="1" t="s">
        <v>74</v>
      </c>
      <c r="X506" s="1" t="s">
        <v>74</v>
      </c>
      <c r="Y506" s="1" t="s">
        <v>74</v>
      </c>
      <c r="Z506" s="1" t="s">
        <v>74</v>
      </c>
      <c r="AA506" s="1" t="s">
        <v>5025</v>
      </c>
      <c r="AB506" s="1" t="s">
        <v>5026</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5027</v>
      </c>
      <c r="AP506" s="1" t="s">
        <v>5028</v>
      </c>
      <c r="AQ506" s="1" t="s">
        <v>74</v>
      </c>
      <c r="AR506" s="1" t="s">
        <v>74</v>
      </c>
      <c r="AS506" s="1" t="s">
        <v>74</v>
      </c>
      <c r="AT506" s="1" t="s">
        <v>417</v>
      </c>
      <c r="AU506" s="1">
        <v>2023.0</v>
      </c>
      <c r="AV506" s="1">
        <v>44.0</v>
      </c>
      <c r="AW506" s="1">
        <v>3.0</v>
      </c>
      <c r="AX506" s="1" t="s">
        <v>74</v>
      </c>
      <c r="AY506" s="1" t="s">
        <v>74</v>
      </c>
      <c r="AZ506" s="1" t="s">
        <v>74</v>
      </c>
      <c r="BA506" s="1" t="s">
        <v>74</v>
      </c>
      <c r="BB506" s="1">
        <v>154.0</v>
      </c>
      <c r="BC506" s="1">
        <v>158.0</v>
      </c>
      <c r="BD506" s="1" t="s">
        <v>74</v>
      </c>
      <c r="BE506" s="1" t="s">
        <v>5029</v>
      </c>
      <c r="BF506" s="2" t="str">
        <f>HYPERLINK("http://dx.doi.org/10.1097/01.NEP.0000000000001104","http://dx.doi.org/10.1097/01.NEP.0000000000001104")</f>
        <v>http://dx.doi.org/10.1097/01.NEP.0000000000001104</v>
      </c>
      <c r="BG506" s="1" t="s">
        <v>74</v>
      </c>
      <c r="BH506" s="1" t="s">
        <v>74</v>
      </c>
      <c r="BI506" s="1" t="s">
        <v>74</v>
      </c>
      <c r="BJ506" s="1" t="s">
        <v>74</v>
      </c>
      <c r="BK506" s="1" t="s">
        <v>74</v>
      </c>
      <c r="BL506" s="1" t="s">
        <v>74</v>
      </c>
      <c r="BM506" s="1" t="s">
        <v>74</v>
      </c>
      <c r="BN506" s="1">
        <v>3.698846E7</v>
      </c>
      <c r="BO506" s="1" t="s">
        <v>74</v>
      </c>
      <c r="BP506" s="1" t="s">
        <v>74</v>
      </c>
      <c r="BQ506" s="1" t="s">
        <v>74</v>
      </c>
      <c r="BR506" s="1" t="s">
        <v>74</v>
      </c>
      <c r="BS506" s="1" t="s">
        <v>5030</v>
      </c>
      <c r="BT506" s="1" t="str">
        <f>HYPERLINK("https%3A%2F%2Fwww.webofscience.com%2Fwos%2Fwoscc%2Ffull-record%2FWOS:000985346600006","View Full Record in Web of Science")</f>
        <v>View Full Record in Web of Science</v>
      </c>
    </row>
    <row r="507" ht="12.75" customHeight="1">
      <c r="A507" s="1" t="s">
        <v>72</v>
      </c>
      <c r="B507" s="1" t="s">
        <v>5031</v>
      </c>
      <c r="C507" s="1" t="s">
        <v>74</v>
      </c>
      <c r="D507" s="1" t="s">
        <v>74</v>
      </c>
      <c r="E507" s="1" t="s">
        <v>74</v>
      </c>
      <c r="F507" s="1" t="s">
        <v>5032</v>
      </c>
      <c r="G507" s="1" t="s">
        <v>74</v>
      </c>
      <c r="H507" s="1" t="s">
        <v>74</v>
      </c>
      <c r="I507" s="1" t="s">
        <v>5033</v>
      </c>
      <c r="J507" s="1" t="s">
        <v>1216</v>
      </c>
      <c r="K507" s="1" t="s">
        <v>74</v>
      </c>
      <c r="L507" s="1" t="s">
        <v>74</v>
      </c>
      <c r="M507" s="1" t="s">
        <v>74</v>
      </c>
      <c r="N507" s="1" t="s">
        <v>74</v>
      </c>
      <c r="O507" s="1" t="s">
        <v>74</v>
      </c>
      <c r="P507" s="1" t="s">
        <v>74</v>
      </c>
      <c r="Q507" s="1" t="s">
        <v>74</v>
      </c>
      <c r="R507" s="1" t="s">
        <v>74</v>
      </c>
      <c r="S507" s="1" t="s">
        <v>74</v>
      </c>
      <c r="T507" s="1" t="s">
        <v>74</v>
      </c>
      <c r="U507" s="1" t="s">
        <v>74</v>
      </c>
      <c r="V507" s="1" t="s">
        <v>5034</v>
      </c>
      <c r="W507" s="1" t="s">
        <v>74</v>
      </c>
      <c r="X507" s="1" t="s">
        <v>74</v>
      </c>
      <c r="Y507" s="1" t="s">
        <v>74</v>
      </c>
      <c r="Z507" s="1" t="s">
        <v>74</v>
      </c>
      <c r="AA507" s="1" t="s">
        <v>5035</v>
      </c>
      <c r="AB507" s="1" t="s">
        <v>5036</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1220</v>
      </c>
      <c r="AP507" s="1" t="s">
        <v>4081</v>
      </c>
      <c r="AQ507" s="1" t="s">
        <v>74</v>
      </c>
      <c r="AR507" s="1" t="s">
        <v>74</v>
      </c>
      <c r="AS507" s="1" t="s">
        <v>74</v>
      </c>
      <c r="AT507" s="1" t="s">
        <v>332</v>
      </c>
      <c r="AU507" s="1">
        <v>2022.0</v>
      </c>
      <c r="AV507" s="1">
        <v>832.0</v>
      </c>
      <c r="AW507" s="1" t="s">
        <v>74</v>
      </c>
      <c r="AX507" s="1" t="s">
        <v>74</v>
      </c>
      <c r="AY507" s="1" t="s">
        <v>74</v>
      </c>
      <c r="AZ507" s="1" t="s">
        <v>74</v>
      </c>
      <c r="BA507" s="1" t="s">
        <v>74</v>
      </c>
      <c r="BB507" s="1" t="s">
        <v>74</v>
      </c>
      <c r="BC507" s="1" t="s">
        <v>74</v>
      </c>
      <c r="BD507" s="1">
        <v>137264.0</v>
      </c>
      <c r="BE507" s="1" t="s">
        <v>5037</v>
      </c>
      <c r="BF507" s="2" t="str">
        <f>HYPERLINK("http://dx.doi.org/10.1016/j.physletb.2022.137264","http://dx.doi.org/10.1016/j.physletb.2022.137264")</f>
        <v>http://dx.doi.org/10.1016/j.physletb.2022.137264</v>
      </c>
      <c r="BG507" s="1" t="s">
        <v>74</v>
      </c>
      <c r="BH507" s="1" t="s">
        <v>3158</v>
      </c>
      <c r="BI507" s="1" t="s">
        <v>74</v>
      </c>
      <c r="BJ507" s="1" t="s">
        <v>74</v>
      </c>
      <c r="BK507" s="1" t="s">
        <v>74</v>
      </c>
      <c r="BL507" s="1" t="s">
        <v>74</v>
      </c>
      <c r="BM507" s="1" t="s">
        <v>74</v>
      </c>
      <c r="BN507" s="1" t="s">
        <v>74</v>
      </c>
      <c r="BO507" s="1" t="s">
        <v>74</v>
      </c>
      <c r="BP507" s="1" t="s">
        <v>74</v>
      </c>
      <c r="BQ507" s="1" t="s">
        <v>74</v>
      </c>
      <c r="BR507" s="1" t="s">
        <v>74</v>
      </c>
      <c r="BS507" s="1" t="s">
        <v>5038</v>
      </c>
      <c r="BT507" s="1" t="str">
        <f>HYPERLINK("https%3A%2F%2Fwww.webofscience.com%2Fwos%2Fwoscc%2Ffull-record%2FWOS:000847214300011","View Full Record in Web of Science")</f>
        <v>View Full Record in Web of Science</v>
      </c>
    </row>
    <row r="508" ht="12.75" customHeight="1">
      <c r="A508" s="1" t="s">
        <v>72</v>
      </c>
      <c r="B508" s="1" t="s">
        <v>5039</v>
      </c>
      <c r="C508" s="1" t="s">
        <v>74</v>
      </c>
      <c r="D508" s="1" t="s">
        <v>74</v>
      </c>
      <c r="E508" s="1" t="s">
        <v>74</v>
      </c>
      <c r="F508" s="1" t="s">
        <v>5040</v>
      </c>
      <c r="G508" s="1" t="s">
        <v>74</v>
      </c>
      <c r="H508" s="1" t="s">
        <v>74</v>
      </c>
      <c r="I508" s="1" t="s">
        <v>5041</v>
      </c>
      <c r="J508" s="1" t="s">
        <v>2395</v>
      </c>
      <c r="K508" s="1" t="s">
        <v>74</v>
      </c>
      <c r="L508" s="1" t="s">
        <v>74</v>
      </c>
      <c r="M508" s="1" t="s">
        <v>74</v>
      </c>
      <c r="N508" s="1" t="s">
        <v>74</v>
      </c>
      <c r="O508" s="1" t="s">
        <v>74</v>
      </c>
      <c r="P508" s="1" t="s">
        <v>74</v>
      </c>
      <c r="Q508" s="1" t="s">
        <v>74</v>
      </c>
      <c r="R508" s="1" t="s">
        <v>74</v>
      </c>
      <c r="S508" s="1" t="s">
        <v>74</v>
      </c>
      <c r="T508" s="1" t="s">
        <v>74</v>
      </c>
      <c r="U508" s="1" t="s">
        <v>74</v>
      </c>
      <c r="V508" s="1" t="s">
        <v>5042</v>
      </c>
      <c r="W508" s="1" t="s">
        <v>74</v>
      </c>
      <c r="X508" s="1" t="s">
        <v>74</v>
      </c>
      <c r="Y508" s="1" t="s">
        <v>74</v>
      </c>
      <c r="Z508" s="1" t="s">
        <v>74</v>
      </c>
      <c r="AA508" s="1" t="s">
        <v>5043</v>
      </c>
      <c r="AB508" s="1" t="s">
        <v>5044</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74</v>
      </c>
      <c r="AP508" s="1" t="s">
        <v>2399</v>
      </c>
      <c r="AQ508" s="1" t="s">
        <v>74</v>
      </c>
      <c r="AR508" s="1" t="s">
        <v>74</v>
      </c>
      <c r="AS508" s="1" t="s">
        <v>74</v>
      </c>
      <c r="AT508" s="1" t="s">
        <v>187</v>
      </c>
      <c r="AU508" s="1">
        <v>2022.0</v>
      </c>
      <c r="AV508" s="1">
        <v>12.0</v>
      </c>
      <c r="AW508" s="1">
        <v>4.0</v>
      </c>
      <c r="AX508" s="1" t="s">
        <v>74</v>
      </c>
      <c r="AY508" s="1" t="s">
        <v>74</v>
      </c>
      <c r="AZ508" s="1" t="s">
        <v>74</v>
      </c>
      <c r="BA508" s="1" t="s">
        <v>74</v>
      </c>
      <c r="BB508" s="1" t="s">
        <v>74</v>
      </c>
      <c r="BC508" s="1" t="s">
        <v>74</v>
      </c>
      <c r="BD508" s="1">
        <v>487.0</v>
      </c>
      <c r="BE508" s="1" t="s">
        <v>5045</v>
      </c>
      <c r="BF508" s="2" t="str">
        <f>HYPERLINK("http://dx.doi.org/10.3390/min12040487","http://dx.doi.org/10.3390/min12040487")</f>
        <v>http://dx.doi.org/10.3390/min12040487</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5046</v>
      </c>
      <c r="BT508" s="1" t="str">
        <f>HYPERLINK("https%3A%2F%2Fwww.webofscience.com%2Fwos%2Fwoscc%2Ffull-record%2FWOS:000785508800001","View Full Record in Web of Science")</f>
        <v>View Full Record in Web of Science</v>
      </c>
    </row>
    <row r="509" ht="12.75" customHeight="1">
      <c r="A509" s="1" t="s">
        <v>72</v>
      </c>
      <c r="B509" s="1" t="s">
        <v>5047</v>
      </c>
      <c r="C509" s="1" t="s">
        <v>74</v>
      </c>
      <c r="D509" s="1" t="s">
        <v>74</v>
      </c>
      <c r="E509" s="1" t="s">
        <v>74</v>
      </c>
      <c r="F509" s="1" t="s">
        <v>5048</v>
      </c>
      <c r="G509" s="1" t="s">
        <v>74</v>
      </c>
      <c r="H509" s="1" t="s">
        <v>74</v>
      </c>
      <c r="I509" s="1" t="s">
        <v>5049</v>
      </c>
      <c r="J509" s="1" t="s">
        <v>5050</v>
      </c>
      <c r="K509" s="1" t="s">
        <v>74</v>
      </c>
      <c r="L509" s="1" t="s">
        <v>74</v>
      </c>
      <c r="M509" s="1" t="s">
        <v>74</v>
      </c>
      <c r="N509" s="1" t="s">
        <v>74</v>
      </c>
      <c r="O509" s="1" t="s">
        <v>74</v>
      </c>
      <c r="P509" s="1" t="s">
        <v>74</v>
      </c>
      <c r="Q509" s="1" t="s">
        <v>74</v>
      </c>
      <c r="R509" s="1" t="s">
        <v>74</v>
      </c>
      <c r="S509" s="1" t="s">
        <v>74</v>
      </c>
      <c r="T509" s="1" t="s">
        <v>74</v>
      </c>
      <c r="U509" s="1" t="s">
        <v>74</v>
      </c>
      <c r="V509" s="1" t="s">
        <v>5051</v>
      </c>
      <c r="W509" s="1" t="s">
        <v>74</v>
      </c>
      <c r="X509" s="1" t="s">
        <v>74</v>
      </c>
      <c r="Y509" s="1" t="s">
        <v>74</v>
      </c>
      <c r="Z509" s="1" t="s">
        <v>74</v>
      </c>
      <c r="AA509" s="1" t="s">
        <v>5052</v>
      </c>
      <c r="AB509" s="1" t="s">
        <v>5053</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5054</v>
      </c>
      <c r="AP509" s="1" t="s">
        <v>74</v>
      </c>
      <c r="AQ509" s="1" t="s">
        <v>74</v>
      </c>
      <c r="AR509" s="1" t="s">
        <v>74</v>
      </c>
      <c r="AS509" s="1" t="s">
        <v>74</v>
      </c>
      <c r="AT509" s="1" t="s">
        <v>74</v>
      </c>
      <c r="AU509" s="1">
        <v>2022.0</v>
      </c>
      <c r="AV509" s="1">
        <v>15.0</v>
      </c>
      <c r="AW509" s="1" t="s">
        <v>74</v>
      </c>
      <c r="AX509" s="1" t="s">
        <v>74</v>
      </c>
      <c r="AY509" s="1" t="s">
        <v>74</v>
      </c>
      <c r="AZ509" s="1" t="s">
        <v>74</v>
      </c>
      <c r="BA509" s="1" t="s">
        <v>74</v>
      </c>
      <c r="BB509" s="1">
        <v>783.0</v>
      </c>
      <c r="BC509" s="1">
        <v>797.0</v>
      </c>
      <c r="BD509" s="1" t="s">
        <v>74</v>
      </c>
      <c r="BE509" s="1" t="s">
        <v>5055</v>
      </c>
      <c r="BF509" s="2" t="str">
        <f>HYPERLINK("http://dx.doi.org/10.2147/OTT.S326614","http://dx.doi.org/10.2147/OTT.S326614")</f>
        <v>http://dx.doi.org/10.2147/OTT.S326614</v>
      </c>
      <c r="BG509" s="1" t="s">
        <v>74</v>
      </c>
      <c r="BH509" s="1" t="s">
        <v>74</v>
      </c>
      <c r="BI509" s="1" t="s">
        <v>74</v>
      </c>
      <c r="BJ509" s="1" t="s">
        <v>74</v>
      </c>
      <c r="BK509" s="1" t="s">
        <v>74</v>
      </c>
      <c r="BL509" s="1" t="s">
        <v>74</v>
      </c>
      <c r="BM509" s="1" t="s">
        <v>74</v>
      </c>
      <c r="BN509" s="1">
        <v>3.5899081E7</v>
      </c>
      <c r="BO509" s="1" t="s">
        <v>74</v>
      </c>
      <c r="BP509" s="1" t="s">
        <v>74</v>
      </c>
      <c r="BQ509" s="1" t="s">
        <v>74</v>
      </c>
      <c r="BR509" s="1" t="s">
        <v>74</v>
      </c>
      <c r="BS509" s="1" t="s">
        <v>5056</v>
      </c>
      <c r="BT509" s="1" t="str">
        <f>HYPERLINK("https%3A%2F%2Fwww.webofscience.com%2Fwos%2Fwoscc%2Ffull-record%2FWOS:000831686000001","View Full Record in Web of Science")</f>
        <v>View Full Record in Web of Science</v>
      </c>
    </row>
    <row r="510" ht="12.75" customHeight="1">
      <c r="A510" s="1" t="s">
        <v>72</v>
      </c>
      <c r="B510" s="1" t="s">
        <v>5057</v>
      </c>
      <c r="C510" s="1" t="s">
        <v>74</v>
      </c>
      <c r="D510" s="1" t="s">
        <v>74</v>
      </c>
      <c r="E510" s="1" t="s">
        <v>74</v>
      </c>
      <c r="F510" s="1" t="s">
        <v>5058</v>
      </c>
      <c r="G510" s="1" t="s">
        <v>74</v>
      </c>
      <c r="H510" s="1" t="s">
        <v>74</v>
      </c>
      <c r="I510" s="1" t="s">
        <v>5059</v>
      </c>
      <c r="J510" s="1" t="s">
        <v>3802</v>
      </c>
      <c r="K510" s="1" t="s">
        <v>74</v>
      </c>
      <c r="L510" s="1" t="s">
        <v>74</v>
      </c>
      <c r="M510" s="1" t="s">
        <v>74</v>
      </c>
      <c r="N510" s="1" t="s">
        <v>74</v>
      </c>
      <c r="O510" s="1" t="s">
        <v>74</v>
      </c>
      <c r="P510" s="1" t="s">
        <v>74</v>
      </c>
      <c r="Q510" s="1" t="s">
        <v>74</v>
      </c>
      <c r="R510" s="1" t="s">
        <v>74</v>
      </c>
      <c r="S510" s="1" t="s">
        <v>74</v>
      </c>
      <c r="T510" s="1" t="s">
        <v>74</v>
      </c>
      <c r="U510" s="1" t="s">
        <v>74</v>
      </c>
      <c r="V510" s="1" t="s">
        <v>5060</v>
      </c>
      <c r="W510" s="1" t="s">
        <v>74</v>
      </c>
      <c r="X510" s="1" t="s">
        <v>74</v>
      </c>
      <c r="Y510" s="1" t="s">
        <v>74</v>
      </c>
      <c r="Z510" s="1" t="s">
        <v>74</v>
      </c>
      <c r="AA510" s="1" t="s">
        <v>74</v>
      </c>
      <c r="AB510" s="1" t="s">
        <v>74</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3804</v>
      </c>
      <c r="AP510" s="1" t="s">
        <v>3805</v>
      </c>
      <c r="AQ510" s="1" t="s">
        <v>74</v>
      </c>
      <c r="AR510" s="1" t="s">
        <v>74</v>
      </c>
      <c r="AS510" s="1" t="s">
        <v>74</v>
      </c>
      <c r="AT510" s="1" t="s">
        <v>5061</v>
      </c>
      <c r="AU510" s="1">
        <v>2021.0</v>
      </c>
      <c r="AV510" s="1">
        <v>36.0</v>
      </c>
      <c r="AW510" s="1">
        <v>13.0</v>
      </c>
      <c r="AX510" s="1" t="s">
        <v>74</v>
      </c>
      <c r="AY510" s="1" t="s">
        <v>74</v>
      </c>
      <c r="AZ510" s="1" t="s">
        <v>74</v>
      </c>
      <c r="BA510" s="1" t="s">
        <v>74</v>
      </c>
      <c r="BB510" s="1" t="s">
        <v>74</v>
      </c>
      <c r="BC510" s="1" t="s">
        <v>74</v>
      </c>
      <c r="BD510" s="1">
        <v>2150074.0</v>
      </c>
      <c r="BE510" s="1" t="s">
        <v>5062</v>
      </c>
      <c r="BF510" s="2" t="str">
        <f>HYPERLINK("http://dx.doi.org/10.1142/S0217751X21500743","http://dx.doi.org/10.1142/S0217751X21500743")</f>
        <v>http://dx.doi.org/10.1142/S0217751X21500743</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5063</v>
      </c>
      <c r="BT510" s="1" t="str">
        <f>HYPERLINK("https%3A%2F%2Fwww.webofscience.com%2Fwos%2Fwoscc%2Ffull-record%2FWOS:000653684000006","View Full Record in Web of Science")</f>
        <v>View Full Record in Web of Science</v>
      </c>
    </row>
    <row r="511" ht="12.75" customHeight="1">
      <c r="A511" s="1" t="s">
        <v>380</v>
      </c>
      <c r="B511" s="1" t="s">
        <v>5064</v>
      </c>
      <c r="C511" s="1" t="s">
        <v>74</v>
      </c>
      <c r="D511" s="1" t="s">
        <v>5065</v>
      </c>
      <c r="E511" s="1" t="s">
        <v>74</v>
      </c>
      <c r="F511" s="1" t="s">
        <v>5066</v>
      </c>
      <c r="G511" s="1" t="s">
        <v>74</v>
      </c>
      <c r="H511" s="1" t="s">
        <v>74</v>
      </c>
      <c r="I511" s="1" t="s">
        <v>5067</v>
      </c>
      <c r="J511" s="1" t="s">
        <v>5068</v>
      </c>
      <c r="K511" s="1" t="s">
        <v>74</v>
      </c>
      <c r="L511" s="1" t="s">
        <v>74</v>
      </c>
      <c r="M511" s="1" t="s">
        <v>74</v>
      </c>
      <c r="N511" s="1" t="s">
        <v>74</v>
      </c>
      <c r="O511" s="1" t="s">
        <v>74</v>
      </c>
      <c r="P511" s="1" t="s">
        <v>74</v>
      </c>
      <c r="Q511" s="1" t="s">
        <v>74</v>
      </c>
      <c r="R511" s="1" t="s">
        <v>74</v>
      </c>
      <c r="S511" s="1" t="s">
        <v>74</v>
      </c>
      <c r="T511" s="1" t="s">
        <v>74</v>
      </c>
      <c r="U511" s="1" t="s">
        <v>74</v>
      </c>
      <c r="V511" s="1" t="s">
        <v>74</v>
      </c>
      <c r="W511" s="1" t="s">
        <v>74</v>
      </c>
      <c r="X511" s="1" t="s">
        <v>74</v>
      </c>
      <c r="Y511" s="1" t="s">
        <v>74</v>
      </c>
      <c r="Z511" s="1" t="s">
        <v>74</v>
      </c>
      <c r="AA511" s="1" t="s">
        <v>5069</v>
      </c>
      <c r="AB511" s="1" t="s">
        <v>74</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74</v>
      </c>
      <c r="AP511" s="1" t="s">
        <v>74</v>
      </c>
      <c r="AQ511" s="1" t="s">
        <v>5070</v>
      </c>
      <c r="AR511" s="1" t="s">
        <v>74</v>
      </c>
      <c r="AS511" s="1" t="s">
        <v>74</v>
      </c>
      <c r="AT511" s="1" t="s">
        <v>74</v>
      </c>
      <c r="AU511" s="1">
        <v>2021.0</v>
      </c>
      <c r="AV511" s="1" t="s">
        <v>74</v>
      </c>
      <c r="AW511" s="1" t="s">
        <v>74</v>
      </c>
      <c r="AX511" s="1" t="s">
        <v>74</v>
      </c>
      <c r="AY511" s="1" t="s">
        <v>74</v>
      </c>
      <c r="AZ511" s="1" t="s">
        <v>74</v>
      </c>
      <c r="BA511" s="1" t="s">
        <v>74</v>
      </c>
      <c r="BB511" s="1">
        <v>311.0</v>
      </c>
      <c r="BC511" s="1">
        <v>329.0</v>
      </c>
      <c r="BD511" s="1" t="s">
        <v>74</v>
      </c>
      <c r="BE511" s="1" t="s">
        <v>74</v>
      </c>
      <c r="BF511" s="1" t="s">
        <v>74</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5071</v>
      </c>
      <c r="BT511" s="1" t="str">
        <f>HYPERLINK("https%3A%2F%2Fwww.webofscience.com%2Fwos%2Fwoscc%2Ffull-record%2FWOS:000651158400016","View Full Record in Web of Science")</f>
        <v>View Full Record in Web of Science</v>
      </c>
    </row>
    <row r="512" ht="12.75" customHeight="1">
      <c r="A512" s="1" t="s">
        <v>72</v>
      </c>
      <c r="B512" s="1" t="s">
        <v>5072</v>
      </c>
      <c r="C512" s="1" t="s">
        <v>74</v>
      </c>
      <c r="D512" s="1" t="s">
        <v>74</v>
      </c>
      <c r="E512" s="1" t="s">
        <v>74</v>
      </c>
      <c r="F512" s="1" t="s">
        <v>5073</v>
      </c>
      <c r="G512" s="1" t="s">
        <v>74</v>
      </c>
      <c r="H512" s="1" t="s">
        <v>74</v>
      </c>
      <c r="I512" s="1" t="s">
        <v>5074</v>
      </c>
      <c r="J512" s="1" t="s">
        <v>5075</v>
      </c>
      <c r="K512" s="1" t="s">
        <v>74</v>
      </c>
      <c r="L512" s="1" t="s">
        <v>74</v>
      </c>
      <c r="M512" s="1" t="s">
        <v>74</v>
      </c>
      <c r="N512" s="1" t="s">
        <v>74</v>
      </c>
      <c r="O512" s="1" t="s">
        <v>74</v>
      </c>
      <c r="P512" s="1" t="s">
        <v>74</v>
      </c>
      <c r="Q512" s="1" t="s">
        <v>74</v>
      </c>
      <c r="R512" s="1" t="s">
        <v>74</v>
      </c>
      <c r="S512" s="1" t="s">
        <v>74</v>
      </c>
      <c r="T512" s="1" t="s">
        <v>74</v>
      </c>
      <c r="U512" s="1" t="s">
        <v>74</v>
      </c>
      <c r="V512" s="1" t="s">
        <v>5076</v>
      </c>
      <c r="W512" s="1" t="s">
        <v>74</v>
      </c>
      <c r="X512" s="1" t="s">
        <v>74</v>
      </c>
      <c r="Y512" s="1" t="s">
        <v>74</v>
      </c>
      <c r="Z512" s="1" t="s">
        <v>74</v>
      </c>
      <c r="AA512" s="1" t="s">
        <v>5077</v>
      </c>
      <c r="AB512" s="1" t="s">
        <v>5078</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5079</v>
      </c>
      <c r="AP512" s="1" t="s">
        <v>5080</v>
      </c>
      <c r="AQ512" s="1" t="s">
        <v>74</v>
      </c>
      <c r="AR512" s="1" t="s">
        <v>74</v>
      </c>
      <c r="AS512" s="1" t="s">
        <v>74</v>
      </c>
      <c r="AT512" s="1" t="s">
        <v>496</v>
      </c>
      <c r="AU512" s="1">
        <v>2020.0</v>
      </c>
      <c r="AV512" s="1">
        <v>81.0</v>
      </c>
      <c r="AW512" s="1" t="s">
        <v>74</v>
      </c>
      <c r="AX512" s="1" t="s">
        <v>74</v>
      </c>
      <c r="AY512" s="1" t="s">
        <v>74</v>
      </c>
      <c r="AZ512" s="1" t="s">
        <v>74</v>
      </c>
      <c r="BA512" s="1" t="s">
        <v>74</v>
      </c>
      <c r="BB512" s="1" t="s">
        <v>74</v>
      </c>
      <c r="BC512" s="1" t="s">
        <v>74</v>
      </c>
      <c r="BD512" s="1">
        <v>106266.0</v>
      </c>
      <c r="BE512" s="1" t="s">
        <v>5081</v>
      </c>
      <c r="BF512" s="2" t="str">
        <f>HYPERLINK("http://dx.doi.org/10.1016/j.polymertesting.2019.106266","http://dx.doi.org/10.1016/j.polymertesting.2019.106266")</f>
        <v>http://dx.doi.org/10.1016/j.polymertesting.2019.106266</v>
      </c>
      <c r="BG512" s="1" t="s">
        <v>74</v>
      </c>
      <c r="BH512" s="1" t="s">
        <v>74</v>
      </c>
      <c r="BI512" s="1" t="s">
        <v>74</v>
      </c>
      <c r="BJ512" s="1" t="s">
        <v>74</v>
      </c>
      <c r="BK512" s="1" t="s">
        <v>74</v>
      </c>
      <c r="BL512" s="1" t="s">
        <v>74</v>
      </c>
      <c r="BM512" s="1" t="s">
        <v>74</v>
      </c>
      <c r="BN512" s="1" t="s">
        <v>74</v>
      </c>
      <c r="BO512" s="1" t="s">
        <v>74</v>
      </c>
      <c r="BP512" s="1" t="s">
        <v>74</v>
      </c>
      <c r="BQ512" s="1" t="s">
        <v>74</v>
      </c>
      <c r="BR512" s="1" t="s">
        <v>74</v>
      </c>
      <c r="BS512" s="1" t="s">
        <v>5082</v>
      </c>
      <c r="BT512" s="1" t="str">
        <f>HYPERLINK("https%3A%2F%2Fwww.webofscience.com%2Fwos%2Fwoscc%2Ffull-record%2FWOS:000525303900052","View Full Record in Web of Science")</f>
        <v>View Full Record in Web of Science</v>
      </c>
    </row>
    <row r="513" ht="12.75" customHeight="1">
      <c r="A513" s="1" t="s">
        <v>72</v>
      </c>
      <c r="B513" s="1" t="s">
        <v>5083</v>
      </c>
      <c r="C513" s="1" t="s">
        <v>74</v>
      </c>
      <c r="D513" s="1" t="s">
        <v>74</v>
      </c>
      <c r="E513" s="1" t="s">
        <v>74</v>
      </c>
      <c r="F513" s="1" t="s">
        <v>5084</v>
      </c>
      <c r="G513" s="1" t="s">
        <v>74</v>
      </c>
      <c r="H513" s="1" t="s">
        <v>74</v>
      </c>
      <c r="I513" s="1" t="s">
        <v>5085</v>
      </c>
      <c r="J513" s="1" t="s">
        <v>5086</v>
      </c>
      <c r="K513" s="1" t="s">
        <v>74</v>
      </c>
      <c r="L513" s="1" t="s">
        <v>74</v>
      </c>
      <c r="M513" s="1" t="s">
        <v>74</v>
      </c>
      <c r="N513" s="1" t="s">
        <v>74</v>
      </c>
      <c r="O513" s="1" t="s">
        <v>74</v>
      </c>
      <c r="P513" s="1" t="s">
        <v>74</v>
      </c>
      <c r="Q513" s="1" t="s">
        <v>74</v>
      </c>
      <c r="R513" s="1" t="s">
        <v>74</v>
      </c>
      <c r="S513" s="1" t="s">
        <v>74</v>
      </c>
      <c r="T513" s="1" t="s">
        <v>74</v>
      </c>
      <c r="U513" s="1" t="s">
        <v>74</v>
      </c>
      <c r="V513" s="1" t="s">
        <v>5087</v>
      </c>
      <c r="W513" s="1" t="s">
        <v>74</v>
      </c>
      <c r="X513" s="1" t="s">
        <v>74</v>
      </c>
      <c r="Y513" s="1" t="s">
        <v>74</v>
      </c>
      <c r="Z513" s="1" t="s">
        <v>74</v>
      </c>
      <c r="AA513" s="1" t="s">
        <v>74</v>
      </c>
      <c r="AB513" s="1" t="s">
        <v>5088</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5089</v>
      </c>
      <c r="AP513" s="1" t="s">
        <v>5090</v>
      </c>
      <c r="AQ513" s="1" t="s">
        <v>74</v>
      </c>
      <c r="AR513" s="1" t="s">
        <v>74</v>
      </c>
      <c r="AS513" s="1" t="s">
        <v>74</v>
      </c>
      <c r="AT513" s="1" t="s">
        <v>496</v>
      </c>
      <c r="AU513" s="1">
        <v>2020.0</v>
      </c>
      <c r="AV513" s="1">
        <v>112.0</v>
      </c>
      <c r="AW513" s="1">
        <v>1.0</v>
      </c>
      <c r="AX513" s="1" t="s">
        <v>74</v>
      </c>
      <c r="AY513" s="1" t="s">
        <v>74</v>
      </c>
      <c r="AZ513" s="1" t="s">
        <v>74</v>
      </c>
      <c r="BA513" s="1" t="s">
        <v>74</v>
      </c>
      <c r="BB513" s="1">
        <v>45.0</v>
      </c>
      <c r="BC513" s="1">
        <v>54.0</v>
      </c>
      <c r="BD513" s="1" t="s">
        <v>74</v>
      </c>
      <c r="BE513" s="1" t="s">
        <v>5091</v>
      </c>
      <c r="BF513" s="2" t="str">
        <f>HYPERLINK("http://dx.doi.org/10.1016/j.ygeno.2019.07.015","http://dx.doi.org/10.1016/j.ygeno.2019.07.015")</f>
        <v>http://dx.doi.org/10.1016/j.ygeno.2019.07.015</v>
      </c>
      <c r="BG513" s="1" t="s">
        <v>74</v>
      </c>
      <c r="BH513" s="1" t="s">
        <v>74</v>
      </c>
      <c r="BI513" s="1" t="s">
        <v>74</v>
      </c>
      <c r="BJ513" s="1" t="s">
        <v>74</v>
      </c>
      <c r="BK513" s="1" t="s">
        <v>74</v>
      </c>
      <c r="BL513" s="1" t="s">
        <v>74</v>
      </c>
      <c r="BM513" s="1" t="s">
        <v>74</v>
      </c>
      <c r="BN513" s="1">
        <v>3.1376527E7</v>
      </c>
      <c r="BO513" s="1" t="s">
        <v>74</v>
      </c>
      <c r="BP513" s="1" t="s">
        <v>74</v>
      </c>
      <c r="BQ513" s="1" t="s">
        <v>74</v>
      </c>
      <c r="BR513" s="1" t="s">
        <v>74</v>
      </c>
      <c r="BS513" s="1" t="s">
        <v>5092</v>
      </c>
      <c r="BT513" s="1" t="str">
        <f>HYPERLINK("https%3A%2F%2Fwww.webofscience.com%2Fwos%2Fwoscc%2Ffull-record%2FWOS:000506628500005","View Full Record in Web of Science")</f>
        <v>View Full Record in Web of Science</v>
      </c>
    </row>
    <row r="514" ht="12.75" customHeight="1">
      <c r="A514" s="1" t="s">
        <v>346</v>
      </c>
      <c r="B514" s="1" t="s">
        <v>5093</v>
      </c>
      <c r="C514" s="1" t="s">
        <v>74</v>
      </c>
      <c r="D514" s="1" t="s">
        <v>74</v>
      </c>
      <c r="E514" s="1" t="s">
        <v>348</v>
      </c>
      <c r="F514" s="1" t="s">
        <v>5094</v>
      </c>
      <c r="G514" s="1" t="s">
        <v>74</v>
      </c>
      <c r="H514" s="1" t="s">
        <v>74</v>
      </c>
      <c r="I514" s="1" t="s">
        <v>5095</v>
      </c>
      <c r="J514" s="1" t="s">
        <v>5096</v>
      </c>
      <c r="K514" s="1" t="s">
        <v>5097</v>
      </c>
      <c r="L514" s="1" t="s">
        <v>74</v>
      </c>
      <c r="M514" s="1" t="s">
        <v>74</v>
      </c>
      <c r="N514" s="1" t="s">
        <v>74</v>
      </c>
      <c r="O514" s="1" t="s">
        <v>5098</v>
      </c>
      <c r="P514" s="1" t="s">
        <v>5099</v>
      </c>
      <c r="Q514" s="1" t="s">
        <v>566</v>
      </c>
      <c r="R514" s="1" t="s">
        <v>348</v>
      </c>
      <c r="S514" s="1" t="s">
        <v>74</v>
      </c>
      <c r="T514" s="1" t="s">
        <v>74</v>
      </c>
      <c r="U514" s="1" t="s">
        <v>74</v>
      </c>
      <c r="V514" s="1" t="s">
        <v>5100</v>
      </c>
      <c r="W514" s="1" t="s">
        <v>74</v>
      </c>
      <c r="X514" s="1" t="s">
        <v>74</v>
      </c>
      <c r="Y514" s="1" t="s">
        <v>74</v>
      </c>
      <c r="Z514" s="1" t="s">
        <v>74</v>
      </c>
      <c r="AA514" s="1" t="s">
        <v>5101</v>
      </c>
      <c r="AB514" s="1" t="s">
        <v>5102</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5103</v>
      </c>
      <c r="AP514" s="1" t="s">
        <v>74</v>
      </c>
      <c r="AQ514" s="1" t="s">
        <v>5104</v>
      </c>
      <c r="AR514" s="1" t="s">
        <v>74</v>
      </c>
      <c r="AS514" s="1" t="s">
        <v>74</v>
      </c>
      <c r="AT514" s="1" t="s">
        <v>74</v>
      </c>
      <c r="AU514" s="1">
        <v>2020.0</v>
      </c>
      <c r="AV514" s="1" t="s">
        <v>74</v>
      </c>
      <c r="AW514" s="1" t="s">
        <v>74</v>
      </c>
      <c r="AX514" s="1" t="s">
        <v>74</v>
      </c>
      <c r="AY514" s="1" t="s">
        <v>74</v>
      </c>
      <c r="AZ514" s="1" t="s">
        <v>74</v>
      </c>
      <c r="BA514" s="1" t="s">
        <v>74</v>
      </c>
      <c r="BB514" s="1" t="s">
        <v>74</v>
      </c>
      <c r="BC514" s="1" t="s">
        <v>74</v>
      </c>
      <c r="BD514" s="1" t="s">
        <v>74</v>
      </c>
      <c r="BE514" s="1" t="s">
        <v>5105</v>
      </c>
      <c r="BF514" s="2" t="str">
        <f>HYPERLINK("http://dx.doi.org/10.1109/WIFS49906.2020.9360886","http://dx.doi.org/10.1109/WIFS49906.2020.9360886")</f>
        <v>http://dx.doi.org/10.1109/WIFS49906.2020.9360886</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5106</v>
      </c>
      <c r="BT514" s="1" t="str">
        <f>HYPERLINK("https%3A%2F%2Fwww.webofscience.com%2Fwos%2Fwoscc%2Ffull-record%2FWOS:000679149300006","View Full Record in Web of Science")</f>
        <v>View Full Record in Web of Science</v>
      </c>
    </row>
    <row r="515" ht="12.75" customHeight="1">
      <c r="A515" s="1" t="s">
        <v>72</v>
      </c>
      <c r="B515" s="1" t="s">
        <v>5107</v>
      </c>
      <c r="C515" s="1" t="s">
        <v>74</v>
      </c>
      <c r="D515" s="1" t="s">
        <v>74</v>
      </c>
      <c r="E515" s="1" t="s">
        <v>74</v>
      </c>
      <c r="F515" s="1" t="s">
        <v>5108</v>
      </c>
      <c r="G515" s="1" t="s">
        <v>74</v>
      </c>
      <c r="H515" s="1" t="s">
        <v>74</v>
      </c>
      <c r="I515" s="1" t="s">
        <v>5109</v>
      </c>
      <c r="J515" s="1" t="s">
        <v>3458</v>
      </c>
      <c r="K515" s="1" t="s">
        <v>74</v>
      </c>
      <c r="L515" s="1" t="s">
        <v>74</v>
      </c>
      <c r="M515" s="1" t="s">
        <v>74</v>
      </c>
      <c r="N515" s="1" t="s">
        <v>74</v>
      </c>
      <c r="O515" s="1" t="s">
        <v>74</v>
      </c>
      <c r="P515" s="1" t="s">
        <v>74</v>
      </c>
      <c r="Q515" s="1" t="s">
        <v>74</v>
      </c>
      <c r="R515" s="1" t="s">
        <v>74</v>
      </c>
      <c r="S515" s="1" t="s">
        <v>74</v>
      </c>
      <c r="T515" s="1" t="s">
        <v>74</v>
      </c>
      <c r="U515" s="1" t="s">
        <v>74</v>
      </c>
      <c r="V515" s="1" t="s">
        <v>5110</v>
      </c>
      <c r="W515" s="1" t="s">
        <v>74</v>
      </c>
      <c r="X515" s="1" t="s">
        <v>74</v>
      </c>
      <c r="Y515" s="1" t="s">
        <v>74</v>
      </c>
      <c r="Z515" s="1" t="s">
        <v>74</v>
      </c>
      <c r="AA515" s="1" t="s">
        <v>5111</v>
      </c>
      <c r="AB515" s="1" t="s">
        <v>5112</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3462</v>
      </c>
      <c r="AP515" s="1" t="s">
        <v>74</v>
      </c>
      <c r="AQ515" s="1" t="s">
        <v>74</v>
      </c>
      <c r="AR515" s="1" t="s">
        <v>74</v>
      </c>
      <c r="AS515" s="1" t="s">
        <v>74</v>
      </c>
      <c r="AT515" s="1" t="s">
        <v>5113</v>
      </c>
      <c r="AU515" s="1">
        <v>2019.0</v>
      </c>
      <c r="AV515" s="1" t="s">
        <v>74</v>
      </c>
      <c r="AW515" s="1">
        <v>11.0</v>
      </c>
      <c r="AX515" s="1" t="s">
        <v>74</v>
      </c>
      <c r="AY515" s="1" t="s">
        <v>74</v>
      </c>
      <c r="AZ515" s="1" t="s">
        <v>74</v>
      </c>
      <c r="BA515" s="1" t="s">
        <v>74</v>
      </c>
      <c r="BB515" s="1" t="s">
        <v>74</v>
      </c>
      <c r="BC515" s="1" t="s">
        <v>74</v>
      </c>
      <c r="BD515" s="1">
        <v>123.0</v>
      </c>
      <c r="BE515" s="1" t="s">
        <v>5114</v>
      </c>
      <c r="BF515" s="2" t="str">
        <f>HYPERLINK("http://dx.doi.org/10.1007/JHEP11(2019)123","http://dx.doi.org/10.1007/JHEP11(2019)123")</f>
        <v>http://dx.doi.org/10.1007/JHEP11(2019)123</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5115</v>
      </c>
      <c r="BT515" s="1" t="str">
        <f>HYPERLINK("https%3A%2F%2Fwww.webofscience.com%2Fwos%2Fwoscc%2Ffull-record%2FWOS:000499476000003","View Full Record in Web of Science")</f>
        <v>View Full Record in Web of Science</v>
      </c>
    </row>
    <row r="516" ht="12.75" customHeight="1">
      <c r="A516" s="1" t="s">
        <v>72</v>
      </c>
      <c r="B516" s="1" t="s">
        <v>499</v>
      </c>
      <c r="C516" s="1" t="s">
        <v>74</v>
      </c>
      <c r="D516" s="1" t="s">
        <v>74</v>
      </c>
      <c r="E516" s="1" t="s">
        <v>74</v>
      </c>
      <c r="F516" s="1" t="s">
        <v>2162</v>
      </c>
      <c r="G516" s="1" t="s">
        <v>74</v>
      </c>
      <c r="H516" s="1" t="s">
        <v>74</v>
      </c>
      <c r="I516" s="1" t="s">
        <v>5116</v>
      </c>
      <c r="J516" s="1" t="s">
        <v>502</v>
      </c>
      <c r="K516" s="1" t="s">
        <v>74</v>
      </c>
      <c r="L516" s="1" t="s">
        <v>74</v>
      </c>
      <c r="M516" s="1" t="s">
        <v>74</v>
      </c>
      <c r="N516" s="1" t="s">
        <v>74</v>
      </c>
      <c r="O516" s="1" t="s">
        <v>74</v>
      </c>
      <c r="P516" s="1" t="s">
        <v>74</v>
      </c>
      <c r="Q516" s="1" t="s">
        <v>74</v>
      </c>
      <c r="R516" s="1" t="s">
        <v>74</v>
      </c>
      <c r="S516" s="1" t="s">
        <v>74</v>
      </c>
      <c r="T516" s="1" t="s">
        <v>74</v>
      </c>
      <c r="U516" s="1" t="s">
        <v>74</v>
      </c>
      <c r="V516" s="1" t="s">
        <v>74</v>
      </c>
      <c r="W516" s="1" t="s">
        <v>74</v>
      </c>
      <c r="X516" s="1" t="s">
        <v>74</v>
      </c>
      <c r="Y516" s="1" t="s">
        <v>74</v>
      </c>
      <c r="Z516" s="1" t="s">
        <v>74</v>
      </c>
      <c r="AA516" s="1" t="s">
        <v>74</v>
      </c>
      <c r="AB516" s="1" t="s">
        <v>74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503</v>
      </c>
      <c r="AP516" s="1" t="s">
        <v>504</v>
      </c>
      <c r="AQ516" s="1" t="s">
        <v>74</v>
      </c>
      <c r="AR516" s="1" t="s">
        <v>74</v>
      </c>
      <c r="AS516" s="1" t="s">
        <v>74</v>
      </c>
      <c r="AT516" s="1" t="s">
        <v>232</v>
      </c>
      <c r="AU516" s="1">
        <v>2019.0</v>
      </c>
      <c r="AV516" s="1">
        <v>76.0</v>
      </c>
      <c r="AW516" s="1">
        <v>4.0</v>
      </c>
      <c r="AX516" s="1" t="s">
        <v>74</v>
      </c>
      <c r="AY516" s="1" t="s">
        <v>74</v>
      </c>
      <c r="AZ516" s="1" t="s">
        <v>74</v>
      </c>
      <c r="BA516" s="1" t="s">
        <v>74</v>
      </c>
      <c r="BB516" s="1">
        <v>711.0</v>
      </c>
      <c r="BC516" s="1">
        <v>713.0</v>
      </c>
      <c r="BD516" s="1" t="s">
        <v>74</v>
      </c>
      <c r="BE516" s="1" t="s">
        <v>5117</v>
      </c>
      <c r="BF516" s="2" t="str">
        <f>HYPERLINK("http://dx.doi.org/10.1017/tam.2019.94","http://dx.doi.org/10.1017/tam.2019.94")</f>
        <v>http://dx.doi.org/10.1017/tam.2019.94</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5118</v>
      </c>
      <c r="BT516" s="1" t="str">
        <f>HYPERLINK("https%3A%2F%2Fwww.webofscience.com%2Fwos%2Fwoscc%2Ffull-record%2FWOS:000488837000023","View Full Record in Web of Science")</f>
        <v>View Full Record in Web of Science</v>
      </c>
    </row>
    <row r="517" ht="12.75" customHeight="1">
      <c r="A517" s="1" t="s">
        <v>72</v>
      </c>
      <c r="B517" s="1" t="s">
        <v>5119</v>
      </c>
      <c r="C517" s="1" t="s">
        <v>74</v>
      </c>
      <c r="D517" s="1" t="s">
        <v>74</v>
      </c>
      <c r="E517" s="1" t="s">
        <v>74</v>
      </c>
      <c r="F517" s="1" t="s">
        <v>5120</v>
      </c>
      <c r="G517" s="1" t="s">
        <v>74</v>
      </c>
      <c r="H517" s="1" t="s">
        <v>74</v>
      </c>
      <c r="I517" s="1" t="s">
        <v>5121</v>
      </c>
      <c r="J517" s="1" t="s">
        <v>5122</v>
      </c>
      <c r="K517" s="1" t="s">
        <v>74</v>
      </c>
      <c r="L517" s="1" t="s">
        <v>74</v>
      </c>
      <c r="M517" s="1" t="s">
        <v>74</v>
      </c>
      <c r="N517" s="1" t="s">
        <v>74</v>
      </c>
      <c r="O517" s="1" t="s">
        <v>74</v>
      </c>
      <c r="P517" s="1" t="s">
        <v>74</v>
      </c>
      <c r="Q517" s="1" t="s">
        <v>74</v>
      </c>
      <c r="R517" s="1" t="s">
        <v>74</v>
      </c>
      <c r="S517" s="1" t="s">
        <v>74</v>
      </c>
      <c r="T517" s="1" t="s">
        <v>74</v>
      </c>
      <c r="U517" s="1" t="s">
        <v>74</v>
      </c>
      <c r="V517" s="1" t="s">
        <v>5123</v>
      </c>
      <c r="W517" s="1" t="s">
        <v>74</v>
      </c>
      <c r="X517" s="1" t="s">
        <v>74</v>
      </c>
      <c r="Y517" s="1" t="s">
        <v>74</v>
      </c>
      <c r="Z517" s="1" t="s">
        <v>74</v>
      </c>
      <c r="AA517" s="1" t="s">
        <v>5124</v>
      </c>
      <c r="AB517" s="1" t="s">
        <v>5125</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5126</v>
      </c>
      <c r="AP517" s="1" t="s">
        <v>74</v>
      </c>
      <c r="AQ517" s="1" t="s">
        <v>74</v>
      </c>
      <c r="AR517" s="1" t="s">
        <v>74</v>
      </c>
      <c r="AS517" s="1" t="s">
        <v>74</v>
      </c>
      <c r="AT517" s="1" t="s">
        <v>107</v>
      </c>
      <c r="AU517" s="1">
        <v>2019.0</v>
      </c>
      <c r="AV517" s="1">
        <v>44.0</v>
      </c>
      <c r="AW517" s="1">
        <v>5.0</v>
      </c>
      <c r="AX517" s="1" t="s">
        <v>74</v>
      </c>
      <c r="AY517" s="1" t="s">
        <v>74</v>
      </c>
      <c r="AZ517" s="1" t="s">
        <v>74</v>
      </c>
      <c r="BA517" s="1" t="s">
        <v>74</v>
      </c>
      <c r="BB517" s="1">
        <v>266.0</v>
      </c>
      <c r="BC517" s="1">
        <v>273.0</v>
      </c>
      <c r="BD517" s="1" t="s">
        <v>74</v>
      </c>
      <c r="BE517" s="1" t="s">
        <v>74</v>
      </c>
      <c r="BF517" s="1" t="s">
        <v>74</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5127</v>
      </c>
      <c r="BT517" s="1" t="str">
        <f>HYPERLINK("https%3A%2F%2Fwww.webofscience.com%2Fwos%2Fwoscc%2Ffull-record%2FWOS:000471118300003","View Full Record in Web of Science")</f>
        <v>View Full Record in Web of Science</v>
      </c>
    </row>
    <row r="518" ht="12.75" customHeight="1">
      <c r="A518" s="1" t="s">
        <v>72</v>
      </c>
      <c r="B518" s="1" t="s">
        <v>5128</v>
      </c>
      <c r="C518" s="1" t="s">
        <v>74</v>
      </c>
      <c r="D518" s="1" t="s">
        <v>74</v>
      </c>
      <c r="E518" s="1" t="s">
        <v>74</v>
      </c>
      <c r="F518" s="1" t="s">
        <v>5129</v>
      </c>
      <c r="G518" s="1" t="s">
        <v>74</v>
      </c>
      <c r="H518" s="1" t="s">
        <v>74</v>
      </c>
      <c r="I518" s="1" t="s">
        <v>5130</v>
      </c>
      <c r="J518" s="1" t="s">
        <v>5131</v>
      </c>
      <c r="K518" s="1" t="s">
        <v>74</v>
      </c>
      <c r="L518" s="1" t="s">
        <v>74</v>
      </c>
      <c r="M518" s="1" t="s">
        <v>74</v>
      </c>
      <c r="N518" s="1" t="s">
        <v>74</v>
      </c>
      <c r="O518" s="1" t="s">
        <v>74</v>
      </c>
      <c r="P518" s="1" t="s">
        <v>74</v>
      </c>
      <c r="Q518" s="1" t="s">
        <v>74</v>
      </c>
      <c r="R518" s="1" t="s">
        <v>74</v>
      </c>
      <c r="S518" s="1" t="s">
        <v>74</v>
      </c>
      <c r="T518" s="1" t="s">
        <v>74</v>
      </c>
      <c r="U518" s="1" t="s">
        <v>74</v>
      </c>
      <c r="V518" s="1" t="s">
        <v>5132</v>
      </c>
      <c r="W518" s="1" t="s">
        <v>74</v>
      </c>
      <c r="X518" s="1" t="s">
        <v>74</v>
      </c>
      <c r="Y518" s="1" t="s">
        <v>74</v>
      </c>
      <c r="Z518" s="1" t="s">
        <v>74</v>
      </c>
      <c r="AA518" s="1" t="s">
        <v>5133</v>
      </c>
      <c r="AB518" s="1" t="s">
        <v>5134</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5135</v>
      </c>
      <c r="AP518" s="1" t="s">
        <v>74</v>
      </c>
      <c r="AQ518" s="1" t="s">
        <v>74</v>
      </c>
      <c r="AR518" s="1" t="s">
        <v>74</v>
      </c>
      <c r="AS518" s="1" t="s">
        <v>74</v>
      </c>
      <c r="AT518" s="1" t="s">
        <v>647</v>
      </c>
      <c r="AU518" s="1">
        <v>2018.0</v>
      </c>
      <c r="AV518" s="1">
        <v>5.0</v>
      </c>
      <c r="AW518" s="1">
        <v>2.0</v>
      </c>
      <c r="AX518" s="1" t="s">
        <v>74</v>
      </c>
      <c r="AY518" s="1" t="s">
        <v>74</v>
      </c>
      <c r="AZ518" s="1" t="s">
        <v>74</v>
      </c>
      <c r="BA518" s="1" t="s">
        <v>74</v>
      </c>
      <c r="BB518" s="1" t="s">
        <v>74</v>
      </c>
      <c r="BC518" s="1" t="s">
        <v>74</v>
      </c>
      <c r="BD518" s="1">
        <v>19.0</v>
      </c>
      <c r="BE518" s="1" t="s">
        <v>5136</v>
      </c>
      <c r="BF518" s="2" t="str">
        <f>HYPERLINK("http://dx.doi.org/10.21468/SciPostPhys.5.2.019","http://dx.doi.org/10.21468/SciPostPhys.5.2.019")</f>
        <v>http://dx.doi.org/10.21468/SciPostPhys.5.2.019</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5137</v>
      </c>
      <c r="BT518" s="1" t="str">
        <f>HYPERLINK("https%3A%2F%2Fwww.webofscience.com%2Fwos%2Fwoscc%2Ffull-record%2FWOS:000443745100006","View Full Record in Web of Science")</f>
        <v>View Full Record in Web of Science</v>
      </c>
    </row>
    <row r="519" ht="12.75" customHeight="1">
      <c r="A519" s="1" t="s">
        <v>72</v>
      </c>
      <c r="B519" s="1" t="s">
        <v>5138</v>
      </c>
      <c r="C519" s="1" t="s">
        <v>74</v>
      </c>
      <c r="D519" s="1" t="s">
        <v>74</v>
      </c>
      <c r="E519" s="1" t="s">
        <v>74</v>
      </c>
      <c r="F519" s="1" t="s">
        <v>5139</v>
      </c>
      <c r="G519" s="1" t="s">
        <v>74</v>
      </c>
      <c r="H519" s="1" t="s">
        <v>74</v>
      </c>
      <c r="I519" s="1" t="s">
        <v>5140</v>
      </c>
      <c r="J519" s="1" t="s">
        <v>5141</v>
      </c>
      <c r="K519" s="1" t="s">
        <v>74</v>
      </c>
      <c r="L519" s="1" t="s">
        <v>74</v>
      </c>
      <c r="M519" s="1" t="s">
        <v>74</v>
      </c>
      <c r="N519" s="1" t="s">
        <v>74</v>
      </c>
      <c r="O519" s="1" t="s">
        <v>74</v>
      </c>
      <c r="P519" s="1" t="s">
        <v>74</v>
      </c>
      <c r="Q519" s="1" t="s">
        <v>74</v>
      </c>
      <c r="R519" s="1" t="s">
        <v>74</v>
      </c>
      <c r="S519" s="1" t="s">
        <v>74</v>
      </c>
      <c r="T519" s="1" t="s">
        <v>74</v>
      </c>
      <c r="U519" s="1" t="s">
        <v>74</v>
      </c>
      <c r="V519" s="1" t="s">
        <v>5142</v>
      </c>
      <c r="W519" s="1" t="s">
        <v>74</v>
      </c>
      <c r="X519" s="1" t="s">
        <v>74</v>
      </c>
      <c r="Y519" s="1" t="s">
        <v>74</v>
      </c>
      <c r="Z519" s="1" t="s">
        <v>74</v>
      </c>
      <c r="AA519" s="1" t="s">
        <v>5143</v>
      </c>
      <c r="AB519" s="1" t="s">
        <v>5144</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5145</v>
      </c>
      <c r="AP519" s="1" t="s">
        <v>5146</v>
      </c>
      <c r="AQ519" s="1" t="s">
        <v>74</v>
      </c>
      <c r="AR519" s="1" t="s">
        <v>74</v>
      </c>
      <c r="AS519" s="1" t="s">
        <v>74</v>
      </c>
      <c r="AT519" s="1" t="s">
        <v>554</v>
      </c>
      <c r="AU519" s="1">
        <v>2018.0</v>
      </c>
      <c r="AV519" s="1">
        <v>36.0</v>
      </c>
      <c r="AW519" s="1">
        <v>3.0</v>
      </c>
      <c r="AX519" s="1" t="s">
        <v>74</v>
      </c>
      <c r="AY519" s="1" t="s">
        <v>74</v>
      </c>
      <c r="AZ519" s="1" t="s">
        <v>74</v>
      </c>
      <c r="BA519" s="1" t="s">
        <v>74</v>
      </c>
      <c r="BB519" s="1">
        <v>295.0</v>
      </c>
      <c r="BC519" s="1">
        <v>304.0</v>
      </c>
      <c r="BD519" s="1" t="s">
        <v>74</v>
      </c>
      <c r="BE519" s="1" t="s">
        <v>5147</v>
      </c>
      <c r="BF519" s="2" t="str">
        <f>HYPERLINK("http://dx.doi.org/10.1515/corrrev-2017-0083","http://dx.doi.org/10.1515/corrrev-2017-0083")</f>
        <v>http://dx.doi.org/10.1515/corrrev-2017-0083</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5148</v>
      </c>
      <c r="BT519" s="1" t="str">
        <f>HYPERLINK("https%3A%2F%2Fwww.webofscience.com%2Fwos%2Fwoscc%2Ffull-record%2FWOS:000433911200005","View Full Record in Web of Science")</f>
        <v>View Full Record in Web of Science</v>
      </c>
    </row>
    <row r="520" ht="12.75" customHeight="1">
      <c r="A520" s="1" t="s">
        <v>72</v>
      </c>
      <c r="B520" s="1" t="s">
        <v>5149</v>
      </c>
      <c r="C520" s="1" t="s">
        <v>74</v>
      </c>
      <c r="D520" s="1" t="s">
        <v>74</v>
      </c>
      <c r="E520" s="1" t="s">
        <v>74</v>
      </c>
      <c r="F520" s="1" t="s">
        <v>5150</v>
      </c>
      <c r="G520" s="1" t="s">
        <v>74</v>
      </c>
      <c r="H520" s="1" t="s">
        <v>74</v>
      </c>
      <c r="I520" s="1" t="s">
        <v>5151</v>
      </c>
      <c r="J520" s="1" t="s">
        <v>5152</v>
      </c>
      <c r="K520" s="1" t="s">
        <v>74</v>
      </c>
      <c r="L520" s="1" t="s">
        <v>74</v>
      </c>
      <c r="M520" s="1" t="s">
        <v>74</v>
      </c>
      <c r="N520" s="1" t="s">
        <v>74</v>
      </c>
      <c r="O520" s="1" t="s">
        <v>74</v>
      </c>
      <c r="P520" s="1" t="s">
        <v>74</v>
      </c>
      <c r="Q520" s="1" t="s">
        <v>74</v>
      </c>
      <c r="R520" s="1" t="s">
        <v>74</v>
      </c>
      <c r="S520" s="1" t="s">
        <v>74</v>
      </c>
      <c r="T520" s="1" t="s">
        <v>74</v>
      </c>
      <c r="U520" s="1" t="s">
        <v>74</v>
      </c>
      <c r="V520" s="1" t="s">
        <v>5153</v>
      </c>
      <c r="W520" s="1" t="s">
        <v>74</v>
      </c>
      <c r="X520" s="1" t="s">
        <v>74</v>
      </c>
      <c r="Y520" s="1" t="s">
        <v>74</v>
      </c>
      <c r="Z520" s="1" t="s">
        <v>74</v>
      </c>
      <c r="AA520" s="1" t="s">
        <v>5154</v>
      </c>
      <c r="AB520" s="1" t="s">
        <v>5155</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5156</v>
      </c>
      <c r="AP520" s="1" t="s">
        <v>5157</v>
      </c>
      <c r="AQ520" s="1" t="s">
        <v>74</v>
      </c>
      <c r="AR520" s="1" t="s">
        <v>74</v>
      </c>
      <c r="AS520" s="1" t="s">
        <v>74</v>
      </c>
      <c r="AT520" s="1" t="s">
        <v>95</v>
      </c>
      <c r="AU520" s="1">
        <v>2013.0</v>
      </c>
      <c r="AV520" s="1">
        <v>112.0</v>
      </c>
      <c r="AW520" s="1">
        <v>3.0</v>
      </c>
      <c r="AX520" s="1" t="s">
        <v>74</v>
      </c>
      <c r="AY520" s="1" t="s">
        <v>74</v>
      </c>
      <c r="AZ520" s="1" t="s">
        <v>74</v>
      </c>
      <c r="BA520" s="1" t="s">
        <v>74</v>
      </c>
      <c r="BB520" s="1">
        <v>673.0</v>
      </c>
      <c r="BC520" s="1">
        <v>683.0</v>
      </c>
      <c r="BD520" s="1" t="s">
        <v>74</v>
      </c>
      <c r="BE520" s="1" t="s">
        <v>5158</v>
      </c>
      <c r="BF520" s="2" t="str">
        <f>HYPERLINK("http://dx.doi.org/10.1016/j.cmpb.2013.07.030","http://dx.doi.org/10.1016/j.cmpb.2013.07.030")</f>
        <v>http://dx.doi.org/10.1016/j.cmpb.2013.07.030</v>
      </c>
      <c r="BG520" s="1" t="s">
        <v>74</v>
      </c>
      <c r="BH520" s="1" t="s">
        <v>74</v>
      </c>
      <c r="BI520" s="1" t="s">
        <v>74</v>
      </c>
      <c r="BJ520" s="1" t="s">
        <v>74</v>
      </c>
      <c r="BK520" s="1" t="s">
        <v>74</v>
      </c>
      <c r="BL520" s="1" t="s">
        <v>74</v>
      </c>
      <c r="BM520" s="1" t="s">
        <v>74</v>
      </c>
      <c r="BN520" s="1">
        <v>2.4070545E7</v>
      </c>
      <c r="BO520" s="1" t="s">
        <v>74</v>
      </c>
      <c r="BP520" s="1" t="s">
        <v>74</v>
      </c>
      <c r="BQ520" s="1" t="s">
        <v>74</v>
      </c>
      <c r="BR520" s="1" t="s">
        <v>74</v>
      </c>
      <c r="BS520" s="1" t="s">
        <v>5159</v>
      </c>
      <c r="BT520" s="1" t="str">
        <f>HYPERLINK("https%3A%2F%2Fwww.webofscience.com%2Fwos%2Fwoscc%2Ffull-record%2FWOS:000325750100030","View Full Record in Web of Science")</f>
        <v>View Full Record in Web of Science</v>
      </c>
    </row>
    <row r="521" ht="12.75" customHeight="1">
      <c r="A521" s="1" t="s">
        <v>346</v>
      </c>
      <c r="B521" s="1" t="s">
        <v>5160</v>
      </c>
      <c r="C521" s="1" t="s">
        <v>74</v>
      </c>
      <c r="D521" s="1" t="s">
        <v>5161</v>
      </c>
      <c r="E521" s="1" t="s">
        <v>74</v>
      </c>
      <c r="F521" s="1" t="s">
        <v>5162</v>
      </c>
      <c r="G521" s="1" t="s">
        <v>74</v>
      </c>
      <c r="H521" s="1" t="s">
        <v>74</v>
      </c>
      <c r="I521" s="1" t="s">
        <v>5163</v>
      </c>
      <c r="J521" s="1" t="s">
        <v>5164</v>
      </c>
      <c r="K521" s="1" t="s">
        <v>2560</v>
      </c>
      <c r="L521" s="1" t="s">
        <v>74</v>
      </c>
      <c r="M521" s="1" t="s">
        <v>74</v>
      </c>
      <c r="N521" s="1" t="s">
        <v>74</v>
      </c>
      <c r="O521" s="1" t="s">
        <v>5165</v>
      </c>
      <c r="P521" s="1" t="s">
        <v>5166</v>
      </c>
      <c r="Q521" s="1" t="s">
        <v>5167</v>
      </c>
      <c r="R521" s="1" t="s">
        <v>5168</v>
      </c>
      <c r="S521" s="1" t="s">
        <v>74</v>
      </c>
      <c r="T521" s="1" t="s">
        <v>74</v>
      </c>
      <c r="U521" s="1" t="s">
        <v>74</v>
      </c>
      <c r="V521" s="1" t="s">
        <v>5169</v>
      </c>
      <c r="W521" s="1" t="s">
        <v>74</v>
      </c>
      <c r="X521" s="1" t="s">
        <v>74</v>
      </c>
      <c r="Y521" s="1" t="s">
        <v>74</v>
      </c>
      <c r="Z521" s="1" t="s">
        <v>74</v>
      </c>
      <c r="AA521" s="1" t="s">
        <v>3320</v>
      </c>
      <c r="AB521" s="1" t="s">
        <v>3321</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1903</v>
      </c>
      <c r="AP521" s="1" t="s">
        <v>74</v>
      </c>
      <c r="AQ521" s="1" t="s">
        <v>5170</v>
      </c>
      <c r="AR521" s="1" t="s">
        <v>74</v>
      </c>
      <c r="AS521" s="1" t="s">
        <v>74</v>
      </c>
      <c r="AT521" s="1" t="s">
        <v>74</v>
      </c>
      <c r="AU521" s="1">
        <v>2013.0</v>
      </c>
      <c r="AV521" s="1">
        <v>8214.0</v>
      </c>
      <c r="AW521" s="1" t="s">
        <v>74</v>
      </c>
      <c r="AX521" s="1" t="s">
        <v>74</v>
      </c>
      <c r="AY521" s="1" t="s">
        <v>74</v>
      </c>
      <c r="AZ521" s="1" t="s">
        <v>74</v>
      </c>
      <c r="BA521" s="1" t="s">
        <v>74</v>
      </c>
      <c r="BB521" s="1">
        <v>37.0</v>
      </c>
      <c r="BC521" s="1">
        <v>48.0</v>
      </c>
      <c r="BD521" s="1" t="s">
        <v>74</v>
      </c>
      <c r="BE521" s="1" t="s">
        <v>74</v>
      </c>
      <c r="BF521" s="1" t="s">
        <v>74</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5171</v>
      </c>
      <c r="BT521" s="1" t="str">
        <f>HYPERLINK("https%3A%2F%2Fwww.webofscience.com%2Fwos%2Fwoscc%2Ffull-record%2FWOS:000335220100004","View Full Record in Web of Science")</f>
        <v>View Full Record in Web of Science</v>
      </c>
    </row>
    <row r="522" ht="12.75" customHeight="1">
      <c r="A522" s="1" t="s">
        <v>72</v>
      </c>
      <c r="B522" s="1" t="s">
        <v>5172</v>
      </c>
      <c r="C522" s="1" t="s">
        <v>74</v>
      </c>
      <c r="D522" s="1" t="s">
        <v>74</v>
      </c>
      <c r="E522" s="1" t="s">
        <v>74</v>
      </c>
      <c r="F522" s="1" t="s">
        <v>5173</v>
      </c>
      <c r="G522" s="1" t="s">
        <v>74</v>
      </c>
      <c r="H522" s="1" t="s">
        <v>74</v>
      </c>
      <c r="I522" s="1" t="s">
        <v>5174</v>
      </c>
      <c r="J522" s="1" t="s">
        <v>5175</v>
      </c>
      <c r="K522" s="1" t="s">
        <v>74</v>
      </c>
      <c r="L522" s="1" t="s">
        <v>74</v>
      </c>
      <c r="M522" s="1" t="s">
        <v>74</v>
      </c>
      <c r="N522" s="1" t="s">
        <v>74</v>
      </c>
      <c r="O522" s="1" t="s">
        <v>74</v>
      </c>
      <c r="P522" s="1" t="s">
        <v>74</v>
      </c>
      <c r="Q522" s="1" t="s">
        <v>74</v>
      </c>
      <c r="R522" s="1" t="s">
        <v>74</v>
      </c>
      <c r="S522" s="1" t="s">
        <v>74</v>
      </c>
      <c r="T522" s="1" t="s">
        <v>74</v>
      </c>
      <c r="U522" s="1" t="s">
        <v>74</v>
      </c>
      <c r="V522" s="1" t="s">
        <v>5176</v>
      </c>
      <c r="W522" s="1" t="s">
        <v>74</v>
      </c>
      <c r="X522" s="1" t="s">
        <v>74</v>
      </c>
      <c r="Y522" s="1" t="s">
        <v>74</v>
      </c>
      <c r="Z522" s="1" t="s">
        <v>74</v>
      </c>
      <c r="AA522" s="1" t="s">
        <v>5177</v>
      </c>
      <c r="AB522" s="1" t="s">
        <v>5178</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5179</v>
      </c>
      <c r="AP522" s="1" t="s">
        <v>74</v>
      </c>
      <c r="AQ522" s="1" t="s">
        <v>74</v>
      </c>
      <c r="AR522" s="1" t="s">
        <v>74</v>
      </c>
      <c r="AS522" s="1" t="s">
        <v>74</v>
      </c>
      <c r="AT522" s="1" t="s">
        <v>74</v>
      </c>
      <c r="AU522" s="1">
        <v>2013.0</v>
      </c>
      <c r="AV522" s="1">
        <v>78.0</v>
      </c>
      <c r="AW522" s="1">
        <v>12.0</v>
      </c>
      <c r="AX522" s="1" t="s">
        <v>74</v>
      </c>
      <c r="AY522" s="1" t="s">
        <v>74</v>
      </c>
      <c r="AZ522" s="1" t="s">
        <v>74</v>
      </c>
      <c r="BA522" s="1" t="s">
        <v>74</v>
      </c>
      <c r="BB522" s="1">
        <v>2039.0</v>
      </c>
      <c r="BC522" s="1">
        <v>2052.0</v>
      </c>
      <c r="BD522" s="1" t="s">
        <v>74</v>
      </c>
      <c r="BE522" s="1" t="s">
        <v>5180</v>
      </c>
      <c r="BF522" s="2" t="str">
        <f>HYPERLINK("http://dx.doi.org/10.2298/JSC131024123Z","http://dx.doi.org/10.2298/JSC131024123Z")</f>
        <v>http://dx.doi.org/10.2298/JSC131024123Z</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5181</v>
      </c>
      <c r="BT522" s="1" t="str">
        <f>HYPERLINK("https%3A%2F%2Fwww.webofscience.com%2Fwos%2Fwoscc%2Ffull-record%2FWOS:000329261200016","View Full Record in Web of Science")</f>
        <v>View Full Record in Web of Science</v>
      </c>
    </row>
    <row r="523" ht="12.75" customHeight="1">
      <c r="A523" s="1" t="s">
        <v>72</v>
      </c>
      <c r="B523" s="1" t="s">
        <v>5182</v>
      </c>
      <c r="C523" s="1" t="s">
        <v>74</v>
      </c>
      <c r="D523" s="1" t="s">
        <v>74</v>
      </c>
      <c r="E523" s="1" t="s">
        <v>74</v>
      </c>
      <c r="F523" s="1" t="s">
        <v>5183</v>
      </c>
      <c r="G523" s="1" t="s">
        <v>74</v>
      </c>
      <c r="H523" s="1" t="s">
        <v>74</v>
      </c>
      <c r="I523" s="1" t="s">
        <v>5184</v>
      </c>
      <c r="J523" s="1" t="s">
        <v>5185</v>
      </c>
      <c r="K523" s="1" t="s">
        <v>74</v>
      </c>
      <c r="L523" s="1" t="s">
        <v>74</v>
      </c>
      <c r="M523" s="1" t="s">
        <v>74</v>
      </c>
      <c r="N523" s="1" t="s">
        <v>74</v>
      </c>
      <c r="O523" s="1" t="s">
        <v>74</v>
      </c>
      <c r="P523" s="1" t="s">
        <v>74</v>
      </c>
      <c r="Q523" s="1" t="s">
        <v>74</v>
      </c>
      <c r="R523" s="1" t="s">
        <v>74</v>
      </c>
      <c r="S523" s="1" t="s">
        <v>74</v>
      </c>
      <c r="T523" s="1" t="s">
        <v>74</v>
      </c>
      <c r="U523" s="1" t="s">
        <v>74</v>
      </c>
      <c r="V523" s="1" t="s">
        <v>5186</v>
      </c>
      <c r="W523" s="1" t="s">
        <v>74</v>
      </c>
      <c r="X523" s="1" t="s">
        <v>74</v>
      </c>
      <c r="Y523" s="1" t="s">
        <v>74</v>
      </c>
      <c r="Z523" s="1" t="s">
        <v>74</v>
      </c>
      <c r="AA523" s="1" t="s">
        <v>5187</v>
      </c>
      <c r="AB523" s="1" t="s">
        <v>5188</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5189</v>
      </c>
      <c r="AP523" s="1" t="s">
        <v>74</v>
      </c>
      <c r="AQ523" s="1" t="s">
        <v>74</v>
      </c>
      <c r="AR523" s="1" t="s">
        <v>74</v>
      </c>
      <c r="AS523" s="1" t="s">
        <v>74</v>
      </c>
      <c r="AT523" s="1" t="s">
        <v>461</v>
      </c>
      <c r="AU523" s="1">
        <v>2012.0</v>
      </c>
      <c r="AV523" s="1">
        <v>7.0</v>
      </c>
      <c r="AW523" s="1">
        <v>9.0</v>
      </c>
      <c r="AX523" s="1" t="s">
        <v>74</v>
      </c>
      <c r="AY523" s="1" t="s">
        <v>74</v>
      </c>
      <c r="AZ523" s="1" t="s">
        <v>74</v>
      </c>
      <c r="BA523" s="1" t="s">
        <v>74</v>
      </c>
      <c r="BB523" s="1">
        <v>8905.0</v>
      </c>
      <c r="BC523" s="1">
        <v>8928.0</v>
      </c>
      <c r="BD523" s="1" t="s">
        <v>74</v>
      </c>
      <c r="BE523" s="1" t="s">
        <v>74</v>
      </c>
      <c r="BF523" s="1" t="s">
        <v>74</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5190</v>
      </c>
      <c r="BT523" s="1" t="str">
        <f>HYPERLINK("https%3A%2F%2Fwww.webofscience.com%2Fwos%2Fwoscc%2Ffull-record%2FWOS:000309206900084","View Full Record in Web of Science")</f>
        <v>View Full Record in Web of Science</v>
      </c>
    </row>
    <row r="524" ht="12.75" customHeight="1">
      <c r="A524" s="1" t="s">
        <v>72</v>
      </c>
      <c r="B524" s="1" t="s">
        <v>5191</v>
      </c>
      <c r="C524" s="1" t="s">
        <v>74</v>
      </c>
      <c r="D524" s="1" t="s">
        <v>74</v>
      </c>
      <c r="E524" s="1" t="s">
        <v>74</v>
      </c>
      <c r="F524" s="1" t="s">
        <v>5192</v>
      </c>
      <c r="G524" s="1" t="s">
        <v>74</v>
      </c>
      <c r="H524" s="1" t="s">
        <v>74</v>
      </c>
      <c r="I524" s="1" t="s">
        <v>5193</v>
      </c>
      <c r="J524" s="1" t="s">
        <v>1216</v>
      </c>
      <c r="K524" s="1" t="s">
        <v>74</v>
      </c>
      <c r="L524" s="1" t="s">
        <v>74</v>
      </c>
      <c r="M524" s="1" t="s">
        <v>74</v>
      </c>
      <c r="N524" s="1" t="s">
        <v>74</v>
      </c>
      <c r="O524" s="1" t="s">
        <v>74</v>
      </c>
      <c r="P524" s="1" t="s">
        <v>74</v>
      </c>
      <c r="Q524" s="1" t="s">
        <v>74</v>
      </c>
      <c r="R524" s="1" t="s">
        <v>74</v>
      </c>
      <c r="S524" s="1" t="s">
        <v>74</v>
      </c>
      <c r="T524" s="1" t="s">
        <v>74</v>
      </c>
      <c r="U524" s="1" t="s">
        <v>74</v>
      </c>
      <c r="V524" s="1" t="s">
        <v>5194</v>
      </c>
      <c r="W524" s="1" t="s">
        <v>74</v>
      </c>
      <c r="X524" s="1" t="s">
        <v>74</v>
      </c>
      <c r="Y524" s="1" t="s">
        <v>74</v>
      </c>
      <c r="Z524" s="1" t="s">
        <v>74</v>
      </c>
      <c r="AA524" s="1" t="s">
        <v>3278</v>
      </c>
      <c r="AB524" s="1" t="s">
        <v>5195</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1220</v>
      </c>
      <c r="AP524" s="1" t="s">
        <v>4081</v>
      </c>
      <c r="AQ524" s="1" t="s">
        <v>74</v>
      </c>
      <c r="AR524" s="1" t="s">
        <v>74</v>
      </c>
      <c r="AS524" s="1" t="s">
        <v>74</v>
      </c>
      <c r="AT524" s="1" t="s">
        <v>5196</v>
      </c>
      <c r="AU524" s="1">
        <v>2009.0</v>
      </c>
      <c r="AV524" s="1">
        <v>680.0</v>
      </c>
      <c r="AW524" s="1">
        <v>4.0</v>
      </c>
      <c r="AX524" s="1" t="s">
        <v>74</v>
      </c>
      <c r="AY524" s="1" t="s">
        <v>74</v>
      </c>
      <c r="AZ524" s="1" t="s">
        <v>74</v>
      </c>
      <c r="BA524" s="1" t="s">
        <v>74</v>
      </c>
      <c r="BB524" s="1">
        <v>384.0</v>
      </c>
      <c r="BC524" s="1">
        <v>386.0</v>
      </c>
      <c r="BD524" s="1" t="s">
        <v>74</v>
      </c>
      <c r="BE524" s="1" t="s">
        <v>5197</v>
      </c>
      <c r="BF524" s="2" t="str">
        <f>HYPERLINK("http://dx.doi.org/10.1016/j.physletb.2009.09.007","http://dx.doi.org/10.1016/j.physletb.2009.09.007")</f>
        <v>http://dx.doi.org/10.1016/j.physletb.2009.09.007</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5198</v>
      </c>
      <c r="BT524" s="1" t="str">
        <f>HYPERLINK("https%3A%2F%2Fwww.webofscience.com%2Fwos%2Fwoscc%2Ffull-record%2FWOS:000271360100016","View Full Record in Web of Science")</f>
        <v>View Full Record in Web of Science</v>
      </c>
    </row>
    <row r="525" ht="12.75" customHeight="1">
      <c r="A525" s="1" t="s">
        <v>72</v>
      </c>
      <c r="B525" s="1" t="s">
        <v>5199</v>
      </c>
      <c r="C525" s="1" t="s">
        <v>74</v>
      </c>
      <c r="D525" s="1" t="s">
        <v>74</v>
      </c>
      <c r="E525" s="1" t="s">
        <v>74</v>
      </c>
      <c r="F525" s="1" t="s">
        <v>5200</v>
      </c>
      <c r="G525" s="1" t="s">
        <v>74</v>
      </c>
      <c r="H525" s="1" t="s">
        <v>74</v>
      </c>
      <c r="I525" s="1" t="s">
        <v>5201</v>
      </c>
      <c r="J525" s="1" t="s">
        <v>5202</v>
      </c>
      <c r="K525" s="1" t="s">
        <v>74</v>
      </c>
      <c r="L525" s="1" t="s">
        <v>74</v>
      </c>
      <c r="M525" s="1" t="s">
        <v>74</v>
      </c>
      <c r="N525" s="1" t="s">
        <v>74</v>
      </c>
      <c r="O525" s="1" t="s">
        <v>74</v>
      </c>
      <c r="P525" s="1" t="s">
        <v>74</v>
      </c>
      <c r="Q525" s="1" t="s">
        <v>74</v>
      </c>
      <c r="R525" s="1" t="s">
        <v>74</v>
      </c>
      <c r="S525" s="1" t="s">
        <v>74</v>
      </c>
      <c r="T525" s="1" t="s">
        <v>74</v>
      </c>
      <c r="U525" s="1" t="s">
        <v>74</v>
      </c>
      <c r="V525" s="1" t="s">
        <v>5203</v>
      </c>
      <c r="W525" s="1" t="s">
        <v>74</v>
      </c>
      <c r="X525" s="1" t="s">
        <v>74</v>
      </c>
      <c r="Y525" s="1" t="s">
        <v>74</v>
      </c>
      <c r="Z525" s="1" t="s">
        <v>74</v>
      </c>
      <c r="AA525" s="1" t="s">
        <v>5204</v>
      </c>
      <c r="AB525" s="1" t="s">
        <v>5205</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5206</v>
      </c>
      <c r="AP525" s="1" t="s">
        <v>5207</v>
      </c>
      <c r="AQ525" s="1" t="s">
        <v>74</v>
      </c>
      <c r="AR525" s="1" t="s">
        <v>74</v>
      </c>
      <c r="AS525" s="1" t="s">
        <v>74</v>
      </c>
      <c r="AT525" s="1" t="s">
        <v>95</v>
      </c>
      <c r="AU525" s="1">
        <v>2008.0</v>
      </c>
      <c r="AV525" s="1">
        <v>10.0</v>
      </c>
      <c r="AW525" s="1">
        <v>8.0</v>
      </c>
      <c r="AX525" s="1" t="s">
        <v>74</v>
      </c>
      <c r="AY525" s="1" t="s">
        <v>74</v>
      </c>
      <c r="AZ525" s="1" t="s">
        <v>74</v>
      </c>
      <c r="BA525" s="1" t="s">
        <v>74</v>
      </c>
      <c r="BB525" s="1">
        <v>1299.0</v>
      </c>
      <c r="BC525" s="1">
        <v>1309.0</v>
      </c>
      <c r="BD525" s="1" t="s">
        <v>74</v>
      </c>
      <c r="BE525" s="1" t="s">
        <v>5208</v>
      </c>
      <c r="BF525" s="2" t="str">
        <f>HYPERLINK("http://dx.doi.org/10.1007/s10530-007-9204-z","http://dx.doi.org/10.1007/s10530-007-9204-z")</f>
        <v>http://dx.doi.org/10.1007/s10530-007-9204-z</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5209</v>
      </c>
      <c r="BT525" s="1" t="str">
        <f>HYPERLINK("https%3A%2F%2Fwww.webofscience.com%2Fwos%2Fwoscc%2Ffull-record%2FWOS:000260306700010","View Full Record in Web of Science")</f>
        <v>View Full Record in Web of Science</v>
      </c>
    </row>
    <row r="526" ht="12.75" customHeight="1">
      <c r="A526" s="1" t="s">
        <v>72</v>
      </c>
      <c r="B526" s="1" t="s">
        <v>5210</v>
      </c>
      <c r="C526" s="1" t="s">
        <v>74</v>
      </c>
      <c r="D526" s="1" t="s">
        <v>74</v>
      </c>
      <c r="E526" s="1" t="s">
        <v>74</v>
      </c>
      <c r="F526" s="1" t="s">
        <v>5211</v>
      </c>
      <c r="G526" s="1" t="s">
        <v>74</v>
      </c>
      <c r="H526" s="1" t="s">
        <v>74</v>
      </c>
      <c r="I526" s="1" t="s">
        <v>5212</v>
      </c>
      <c r="J526" s="1" t="s">
        <v>836</v>
      </c>
      <c r="K526" s="1" t="s">
        <v>74</v>
      </c>
      <c r="L526" s="1" t="s">
        <v>74</v>
      </c>
      <c r="M526" s="1" t="s">
        <v>74</v>
      </c>
      <c r="N526" s="1" t="s">
        <v>74</v>
      </c>
      <c r="O526" s="1" t="s">
        <v>74</v>
      </c>
      <c r="P526" s="1" t="s">
        <v>74</v>
      </c>
      <c r="Q526" s="1" t="s">
        <v>74</v>
      </c>
      <c r="R526" s="1" t="s">
        <v>74</v>
      </c>
      <c r="S526" s="1" t="s">
        <v>74</v>
      </c>
      <c r="T526" s="1" t="s">
        <v>74</v>
      </c>
      <c r="U526" s="1" t="s">
        <v>74</v>
      </c>
      <c r="V526" s="1" t="s">
        <v>5213</v>
      </c>
      <c r="W526" s="1" t="s">
        <v>74</v>
      </c>
      <c r="X526" s="1" t="s">
        <v>74</v>
      </c>
      <c r="Y526" s="1" t="s">
        <v>74</v>
      </c>
      <c r="Z526" s="1" t="s">
        <v>74</v>
      </c>
      <c r="AA526" s="1" t="s">
        <v>74</v>
      </c>
      <c r="AB526" s="1" t="s">
        <v>74</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838</v>
      </c>
      <c r="AP526" s="1" t="s">
        <v>4141</v>
      </c>
      <c r="AQ526" s="1" t="s">
        <v>74</v>
      </c>
      <c r="AR526" s="1" t="s">
        <v>74</v>
      </c>
      <c r="AS526" s="1" t="s">
        <v>74</v>
      </c>
      <c r="AT526" s="1" t="s">
        <v>74</v>
      </c>
      <c r="AU526" s="1">
        <v>2007.0</v>
      </c>
      <c r="AV526" s="1">
        <v>40.0</v>
      </c>
      <c r="AW526" s="1">
        <v>2.0</v>
      </c>
      <c r="AX526" s="1" t="s">
        <v>74</v>
      </c>
      <c r="AY526" s="1" t="s">
        <v>74</v>
      </c>
      <c r="AZ526" s="1" t="s">
        <v>74</v>
      </c>
      <c r="BA526" s="1" t="s">
        <v>74</v>
      </c>
      <c r="BB526" s="1">
        <v>203.0</v>
      </c>
      <c r="BC526" s="1">
        <v>212.0</v>
      </c>
      <c r="BD526" s="1" t="s">
        <v>74</v>
      </c>
      <c r="BE526" s="1" t="s">
        <v>74</v>
      </c>
      <c r="BF526" s="1" t="s">
        <v>74</v>
      </c>
      <c r="BG526" s="1" t="s">
        <v>74</v>
      </c>
      <c r="BH526" s="1" t="s">
        <v>74</v>
      </c>
      <c r="BI526" s="1" t="s">
        <v>74</v>
      </c>
      <c r="BJ526" s="1" t="s">
        <v>74</v>
      </c>
      <c r="BK526" s="1" t="s">
        <v>74</v>
      </c>
      <c r="BL526" s="1" t="s">
        <v>74</v>
      </c>
      <c r="BM526" s="1" t="s">
        <v>74</v>
      </c>
      <c r="BN526" s="1">
        <v>1.8064357E7</v>
      </c>
      <c r="BO526" s="1" t="s">
        <v>74</v>
      </c>
      <c r="BP526" s="1" t="s">
        <v>74</v>
      </c>
      <c r="BQ526" s="1" t="s">
        <v>74</v>
      </c>
      <c r="BR526" s="1" t="s">
        <v>74</v>
      </c>
      <c r="BS526" s="1" t="s">
        <v>5214</v>
      </c>
      <c r="BT526" s="1" t="str">
        <f>HYPERLINK("https%3A%2F%2Fwww.webofscience.com%2Fwos%2Fwoscc%2Ffull-record%2FWOS:000250812900011","View Full Record in Web of Science")</f>
        <v>View Full Record in Web of Science</v>
      </c>
    </row>
    <row r="527" ht="12.75" customHeight="1">
      <c r="A527" s="1" t="s">
        <v>72</v>
      </c>
      <c r="B527" s="1" t="s">
        <v>5215</v>
      </c>
      <c r="C527" s="1" t="s">
        <v>74</v>
      </c>
      <c r="D527" s="1" t="s">
        <v>74</v>
      </c>
      <c r="E527" s="1" t="s">
        <v>74</v>
      </c>
      <c r="F527" s="1" t="s">
        <v>5215</v>
      </c>
      <c r="G527" s="1" t="s">
        <v>74</v>
      </c>
      <c r="H527" s="1" t="s">
        <v>74</v>
      </c>
      <c r="I527" s="1" t="s">
        <v>5216</v>
      </c>
      <c r="J527" s="1" t="s">
        <v>5217</v>
      </c>
      <c r="K527" s="1" t="s">
        <v>74</v>
      </c>
      <c r="L527" s="1" t="s">
        <v>74</v>
      </c>
      <c r="M527" s="1" t="s">
        <v>74</v>
      </c>
      <c r="N527" s="1" t="s">
        <v>74</v>
      </c>
      <c r="O527" s="1" t="s">
        <v>74</v>
      </c>
      <c r="P527" s="1" t="s">
        <v>74</v>
      </c>
      <c r="Q527" s="1" t="s">
        <v>74</v>
      </c>
      <c r="R527" s="1" t="s">
        <v>74</v>
      </c>
      <c r="S527" s="1" t="s">
        <v>74</v>
      </c>
      <c r="T527" s="1" t="s">
        <v>74</v>
      </c>
      <c r="U527" s="1" t="s">
        <v>74</v>
      </c>
      <c r="V527" s="1" t="s">
        <v>5218</v>
      </c>
      <c r="W527" s="1" t="s">
        <v>74</v>
      </c>
      <c r="X527" s="1" t="s">
        <v>74</v>
      </c>
      <c r="Y527" s="1" t="s">
        <v>74</v>
      </c>
      <c r="Z527" s="1" t="s">
        <v>74</v>
      </c>
      <c r="AA527" s="1" t="s">
        <v>103</v>
      </c>
      <c r="AB527" s="1" t="s">
        <v>104</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5219</v>
      </c>
      <c r="AP527" s="1" t="s">
        <v>74</v>
      </c>
      <c r="AQ527" s="1" t="s">
        <v>74</v>
      </c>
      <c r="AR527" s="1" t="s">
        <v>74</v>
      </c>
      <c r="AS527" s="1" t="s">
        <v>74</v>
      </c>
      <c r="AT527" s="1" t="s">
        <v>791</v>
      </c>
      <c r="AU527" s="1">
        <v>2006.0</v>
      </c>
      <c r="AV527" s="1">
        <v>225.0</v>
      </c>
      <c r="AW527" s="1">
        <v>1.0</v>
      </c>
      <c r="AX527" s="1" t="s">
        <v>74</v>
      </c>
      <c r="AY527" s="1" t="s">
        <v>74</v>
      </c>
      <c r="AZ527" s="1" t="s">
        <v>74</v>
      </c>
      <c r="BA527" s="1" t="s">
        <v>74</v>
      </c>
      <c r="BB527" s="1">
        <v>26.0</v>
      </c>
      <c r="BC527" s="1">
        <v>56.0</v>
      </c>
      <c r="BD527" s="1" t="s">
        <v>74</v>
      </c>
      <c r="BE527" s="1" t="s">
        <v>5220</v>
      </c>
      <c r="BF527" s="2" t="str">
        <f>HYPERLINK("http://dx.doi.org/10.1016/j.jde.2006.02.007","http://dx.doi.org/10.1016/j.jde.2006.02.007")</f>
        <v>http://dx.doi.org/10.1016/j.jde.2006.02.007</v>
      </c>
      <c r="BG527" s="1" t="s">
        <v>74</v>
      </c>
      <c r="BH527" s="1" t="s">
        <v>74</v>
      </c>
      <c r="BI527" s="1" t="s">
        <v>74</v>
      </c>
      <c r="BJ527" s="1" t="s">
        <v>74</v>
      </c>
      <c r="BK527" s="1" t="s">
        <v>74</v>
      </c>
      <c r="BL527" s="1" t="s">
        <v>74</v>
      </c>
      <c r="BM527" s="1" t="s">
        <v>74</v>
      </c>
      <c r="BN527" s="1" t="s">
        <v>74</v>
      </c>
      <c r="BO527" s="1" t="s">
        <v>74</v>
      </c>
      <c r="BP527" s="1" t="s">
        <v>74</v>
      </c>
      <c r="BQ527" s="1" t="s">
        <v>74</v>
      </c>
      <c r="BR527" s="1" t="s">
        <v>74</v>
      </c>
      <c r="BS527" s="1" t="s">
        <v>5221</v>
      </c>
      <c r="BT527" s="1" t="str">
        <f>HYPERLINK("https%3A%2F%2Fwww.webofscience.com%2Fwos%2Fwoscc%2Ffull-record%2FWOS:000238045600002","View Full Record in Web of Science")</f>
        <v>View Full Record in Web of Science</v>
      </c>
    </row>
    <row r="528" ht="12.75" customHeight="1">
      <c r="A528" s="1" t="s">
        <v>72</v>
      </c>
      <c r="B528" s="1" t="s">
        <v>5215</v>
      </c>
      <c r="C528" s="1" t="s">
        <v>74</v>
      </c>
      <c r="D528" s="1" t="s">
        <v>74</v>
      </c>
      <c r="E528" s="1" t="s">
        <v>74</v>
      </c>
      <c r="F528" s="1" t="s">
        <v>5222</v>
      </c>
      <c r="G528" s="1" t="s">
        <v>74</v>
      </c>
      <c r="H528" s="1" t="s">
        <v>74</v>
      </c>
      <c r="I528" s="1" t="s">
        <v>5223</v>
      </c>
      <c r="J528" s="1" t="s">
        <v>5224</v>
      </c>
      <c r="K528" s="1" t="s">
        <v>74</v>
      </c>
      <c r="L528" s="1" t="s">
        <v>74</v>
      </c>
      <c r="M528" s="1" t="s">
        <v>74</v>
      </c>
      <c r="N528" s="1" t="s">
        <v>74</v>
      </c>
      <c r="O528" s="1" t="s">
        <v>74</v>
      </c>
      <c r="P528" s="1" t="s">
        <v>74</v>
      </c>
      <c r="Q528" s="1" t="s">
        <v>74</v>
      </c>
      <c r="R528" s="1" t="s">
        <v>74</v>
      </c>
      <c r="S528" s="1" t="s">
        <v>74</v>
      </c>
      <c r="T528" s="1" t="s">
        <v>74</v>
      </c>
      <c r="U528" s="1" t="s">
        <v>74</v>
      </c>
      <c r="V528" s="1" t="s">
        <v>5225</v>
      </c>
      <c r="W528" s="1" t="s">
        <v>74</v>
      </c>
      <c r="X528" s="1" t="s">
        <v>74</v>
      </c>
      <c r="Y528" s="1" t="s">
        <v>74</v>
      </c>
      <c r="Z528" s="1" t="s">
        <v>74</v>
      </c>
      <c r="AA528" s="1" t="s">
        <v>103</v>
      </c>
      <c r="AB528" s="1" t="s">
        <v>104</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5226</v>
      </c>
      <c r="AP528" s="1" t="s">
        <v>5227</v>
      </c>
      <c r="AQ528" s="1" t="s">
        <v>74</v>
      </c>
      <c r="AR528" s="1" t="s">
        <v>74</v>
      </c>
      <c r="AS528" s="1" t="s">
        <v>74</v>
      </c>
      <c r="AT528" s="1" t="s">
        <v>74</v>
      </c>
      <c r="AU528" s="1">
        <v>2006.0</v>
      </c>
      <c r="AV528" s="1">
        <v>12.0</v>
      </c>
      <c r="AW528" s="1">
        <v>2.0</v>
      </c>
      <c r="AX528" s="1" t="s">
        <v>74</v>
      </c>
      <c r="AY528" s="1" t="s">
        <v>74</v>
      </c>
      <c r="AZ528" s="1" t="s">
        <v>74</v>
      </c>
      <c r="BA528" s="1" t="s">
        <v>74</v>
      </c>
      <c r="BB528" s="1">
        <v>241.0</v>
      </c>
      <c r="BC528" s="1">
        <v>270.0</v>
      </c>
      <c r="BD528" s="1" t="s">
        <v>74</v>
      </c>
      <c r="BE528" s="1" t="s">
        <v>5228</v>
      </c>
      <c r="BF528" s="2" t="str">
        <f>HYPERLINK("http://dx.doi.org/10.1007/s00029-006-0024-2","http://dx.doi.org/10.1007/s00029-006-0024-2")</f>
        <v>http://dx.doi.org/10.1007/s00029-006-0024-2</v>
      </c>
      <c r="BG528" s="1" t="s">
        <v>74</v>
      </c>
      <c r="BH528" s="1" t="s">
        <v>74</v>
      </c>
      <c r="BI528" s="1" t="s">
        <v>74</v>
      </c>
      <c r="BJ528" s="1" t="s">
        <v>74</v>
      </c>
      <c r="BK528" s="1" t="s">
        <v>74</v>
      </c>
      <c r="BL528" s="1" t="s">
        <v>74</v>
      </c>
      <c r="BM528" s="1" t="s">
        <v>74</v>
      </c>
      <c r="BN528" s="1" t="s">
        <v>74</v>
      </c>
      <c r="BO528" s="1" t="s">
        <v>74</v>
      </c>
      <c r="BP528" s="1" t="s">
        <v>74</v>
      </c>
      <c r="BQ528" s="1" t="s">
        <v>74</v>
      </c>
      <c r="BR528" s="1" t="s">
        <v>74</v>
      </c>
      <c r="BS528" s="1" t="s">
        <v>5229</v>
      </c>
      <c r="BT528" s="1" t="str">
        <f>HYPERLINK("https%3A%2F%2Fwww.webofscience.com%2Fwos%2Fwoscc%2Ffull-record%2FWOS:000243362000003","View Full Record in Web of Science")</f>
        <v>View Full Record in Web of Science</v>
      </c>
    </row>
    <row r="529" ht="12.75" customHeight="1">
      <c r="A529" s="1" t="s">
        <v>72</v>
      </c>
      <c r="B529" s="1" t="s">
        <v>5230</v>
      </c>
      <c r="C529" s="1" t="s">
        <v>74</v>
      </c>
      <c r="D529" s="1" t="s">
        <v>74</v>
      </c>
      <c r="E529" s="1" t="s">
        <v>74</v>
      </c>
      <c r="F529" s="1" t="s">
        <v>5230</v>
      </c>
      <c r="G529" s="1" t="s">
        <v>74</v>
      </c>
      <c r="H529" s="1" t="s">
        <v>74</v>
      </c>
      <c r="I529" s="1" t="s">
        <v>5231</v>
      </c>
      <c r="J529" s="1" t="s">
        <v>5232</v>
      </c>
      <c r="K529" s="1" t="s">
        <v>74</v>
      </c>
      <c r="L529" s="1" t="s">
        <v>74</v>
      </c>
      <c r="M529" s="1" t="s">
        <v>74</v>
      </c>
      <c r="N529" s="1" t="s">
        <v>74</v>
      </c>
      <c r="O529" s="1" t="s">
        <v>74</v>
      </c>
      <c r="P529" s="1" t="s">
        <v>74</v>
      </c>
      <c r="Q529" s="1" t="s">
        <v>74</v>
      </c>
      <c r="R529" s="1" t="s">
        <v>74</v>
      </c>
      <c r="S529" s="1" t="s">
        <v>74</v>
      </c>
      <c r="T529" s="1" t="s">
        <v>74</v>
      </c>
      <c r="U529" s="1" t="s">
        <v>74</v>
      </c>
      <c r="V529" s="1" t="s">
        <v>5233</v>
      </c>
      <c r="W529" s="1" t="s">
        <v>74</v>
      </c>
      <c r="X529" s="1" t="s">
        <v>74</v>
      </c>
      <c r="Y529" s="1" t="s">
        <v>74</v>
      </c>
      <c r="Z529" s="1" t="s">
        <v>74</v>
      </c>
      <c r="AA529" s="1" t="s">
        <v>74</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5234</v>
      </c>
      <c r="AP529" s="1" t="s">
        <v>74</v>
      </c>
      <c r="AQ529" s="1" t="s">
        <v>74</v>
      </c>
      <c r="AR529" s="1" t="s">
        <v>74</v>
      </c>
      <c r="AS529" s="1" t="s">
        <v>74</v>
      </c>
      <c r="AT529" s="1" t="s">
        <v>4055</v>
      </c>
      <c r="AU529" s="1">
        <v>2003.0</v>
      </c>
      <c r="AV529" s="1">
        <v>38.0</v>
      </c>
      <c r="AW529" s="1">
        <v>19.0</v>
      </c>
      <c r="AX529" s="1" t="s">
        <v>74</v>
      </c>
      <c r="AY529" s="1" t="s">
        <v>74</v>
      </c>
      <c r="AZ529" s="1" t="s">
        <v>74</v>
      </c>
      <c r="BA529" s="1" t="s">
        <v>74</v>
      </c>
      <c r="BB529" s="1">
        <v>4047.0</v>
      </c>
      <c r="BC529" s="1">
        <v>4054.0</v>
      </c>
      <c r="BD529" s="1" t="s">
        <v>74</v>
      </c>
      <c r="BE529" s="1" t="s">
        <v>5235</v>
      </c>
      <c r="BF529" s="2" t="str">
        <f>HYPERLINK("http://dx.doi.org/10.1023/A:1026270819828","http://dx.doi.org/10.1023/A:1026270819828")</f>
        <v>http://dx.doi.org/10.1023/A:1026270819828</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5236</v>
      </c>
      <c r="BT529" s="1" t="str">
        <f>HYPERLINK("https%3A%2F%2Fwww.webofscience.com%2Fwos%2Fwoscc%2Ffull-record%2FWOS:000185963000018","View Full Record in Web of Science")</f>
        <v>View Full Record in Web of Science</v>
      </c>
    </row>
    <row r="530" ht="12.75" customHeight="1">
      <c r="A530" s="1" t="s">
        <v>72</v>
      </c>
      <c r="B530" s="1" t="s">
        <v>2593</v>
      </c>
      <c r="C530" s="1" t="s">
        <v>74</v>
      </c>
      <c r="D530" s="1" t="s">
        <v>74</v>
      </c>
      <c r="E530" s="1" t="s">
        <v>74</v>
      </c>
      <c r="F530" s="1" t="s">
        <v>2593</v>
      </c>
      <c r="G530" s="1" t="s">
        <v>74</v>
      </c>
      <c r="H530" s="1" t="s">
        <v>74</v>
      </c>
      <c r="I530" s="1" t="s">
        <v>5237</v>
      </c>
      <c r="J530" s="1" t="s">
        <v>2595</v>
      </c>
      <c r="K530" s="1" t="s">
        <v>74</v>
      </c>
      <c r="L530" s="1" t="s">
        <v>74</v>
      </c>
      <c r="M530" s="1" t="s">
        <v>74</v>
      </c>
      <c r="N530" s="1" t="s">
        <v>74</v>
      </c>
      <c r="O530" s="1" t="s">
        <v>74</v>
      </c>
      <c r="P530" s="1" t="s">
        <v>74</v>
      </c>
      <c r="Q530" s="1" t="s">
        <v>74</v>
      </c>
      <c r="R530" s="1" t="s">
        <v>74</v>
      </c>
      <c r="S530" s="1" t="s">
        <v>74</v>
      </c>
      <c r="T530" s="1" t="s">
        <v>74</v>
      </c>
      <c r="U530" s="1" t="s">
        <v>74</v>
      </c>
      <c r="V530" s="1" t="s">
        <v>5238</v>
      </c>
      <c r="W530" s="1" t="s">
        <v>74</v>
      </c>
      <c r="X530" s="1" t="s">
        <v>74</v>
      </c>
      <c r="Y530" s="1" t="s">
        <v>74</v>
      </c>
      <c r="Z530" s="1" t="s">
        <v>74</v>
      </c>
      <c r="AA530" s="1" t="s">
        <v>5239</v>
      </c>
      <c r="AB530" s="1" t="s">
        <v>5240</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2597</v>
      </c>
      <c r="AP530" s="1" t="s">
        <v>74</v>
      </c>
      <c r="AQ530" s="1" t="s">
        <v>74</v>
      </c>
      <c r="AR530" s="1" t="s">
        <v>74</v>
      </c>
      <c r="AS530" s="1" t="s">
        <v>74</v>
      </c>
      <c r="AT530" s="1" t="s">
        <v>83</v>
      </c>
      <c r="AU530" s="1">
        <v>2002.0</v>
      </c>
      <c r="AV530" s="1">
        <v>49.0</v>
      </c>
      <c r="AW530" s="1">
        <v>1.0</v>
      </c>
      <c r="AX530" s="1" t="s">
        <v>74</v>
      </c>
      <c r="AY530" s="1" t="s">
        <v>74</v>
      </c>
      <c r="AZ530" s="1" t="s">
        <v>74</v>
      </c>
      <c r="BA530" s="1" t="s">
        <v>74</v>
      </c>
      <c r="BB530" s="1">
        <v>67.0</v>
      </c>
      <c r="BC530" s="1">
        <v>81.0</v>
      </c>
      <c r="BD530" s="1" t="s">
        <v>74</v>
      </c>
      <c r="BE530" s="1" t="s">
        <v>5241</v>
      </c>
      <c r="BF530" s="2" t="str">
        <f>HYPERLINK("http://dx.doi.org/10.1177/0037768602049001006","http://dx.doi.org/10.1177/0037768602049001006")</f>
        <v>http://dx.doi.org/10.1177/0037768602049001006</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5242</v>
      </c>
      <c r="BT530" s="1" t="str">
        <f>HYPERLINK("https%3A%2F%2Fwww.webofscience.com%2Fwos%2Fwoscc%2Ffull-record%2FWOS:000174817600006","View Full Record in Web of Science")</f>
        <v>View Full Record in Web of Science</v>
      </c>
    </row>
    <row r="531" ht="12.75" customHeight="1">
      <c r="A531" s="1" t="s">
        <v>72</v>
      </c>
      <c r="B531" s="1" t="s">
        <v>5243</v>
      </c>
      <c r="C531" s="1" t="s">
        <v>74</v>
      </c>
      <c r="D531" s="1" t="s">
        <v>74</v>
      </c>
      <c r="E531" s="1" t="s">
        <v>74</v>
      </c>
      <c r="F531" s="1" t="s">
        <v>5243</v>
      </c>
      <c r="G531" s="1" t="s">
        <v>74</v>
      </c>
      <c r="H531" s="1" t="s">
        <v>74</v>
      </c>
      <c r="I531" s="1" t="s">
        <v>5244</v>
      </c>
      <c r="J531" s="1" t="s">
        <v>4023</v>
      </c>
      <c r="K531" s="1" t="s">
        <v>74</v>
      </c>
      <c r="L531" s="1" t="s">
        <v>74</v>
      </c>
      <c r="M531" s="1" t="s">
        <v>74</v>
      </c>
      <c r="N531" s="1" t="s">
        <v>74</v>
      </c>
      <c r="O531" s="1" t="s">
        <v>74</v>
      </c>
      <c r="P531" s="1" t="s">
        <v>74</v>
      </c>
      <c r="Q531" s="1" t="s">
        <v>74</v>
      </c>
      <c r="R531" s="1" t="s">
        <v>74</v>
      </c>
      <c r="S531" s="1" t="s">
        <v>74</v>
      </c>
      <c r="T531" s="1" t="s">
        <v>74</v>
      </c>
      <c r="U531" s="1" t="s">
        <v>74</v>
      </c>
      <c r="V531" s="1" t="s">
        <v>5245</v>
      </c>
      <c r="W531" s="1" t="s">
        <v>74</v>
      </c>
      <c r="X531" s="1" t="s">
        <v>74</v>
      </c>
      <c r="Y531" s="1" t="s">
        <v>74</v>
      </c>
      <c r="Z531" s="1" t="s">
        <v>74</v>
      </c>
      <c r="AA531" s="1" t="s">
        <v>3411</v>
      </c>
      <c r="AB531" s="1" t="s">
        <v>3412</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4026</v>
      </c>
      <c r="AP531" s="1" t="s">
        <v>4027</v>
      </c>
      <c r="AQ531" s="1" t="s">
        <v>74</v>
      </c>
      <c r="AR531" s="1" t="s">
        <v>74</v>
      </c>
      <c r="AS531" s="1" t="s">
        <v>74</v>
      </c>
      <c r="AT531" s="1" t="s">
        <v>647</v>
      </c>
      <c r="AU531" s="1">
        <v>2001.0</v>
      </c>
      <c r="AV531" s="1">
        <v>3.0</v>
      </c>
      <c r="AW531" s="1">
        <v>8.0</v>
      </c>
      <c r="AX531" s="1" t="s">
        <v>74</v>
      </c>
      <c r="AY531" s="1" t="s">
        <v>74</v>
      </c>
      <c r="AZ531" s="1" t="s">
        <v>74</v>
      </c>
      <c r="BA531" s="1" t="s">
        <v>74</v>
      </c>
      <c r="BB531" s="1">
        <v>435.0</v>
      </c>
      <c r="BC531" s="1">
        <v>438.0</v>
      </c>
      <c r="BD531" s="1" t="s">
        <v>74</v>
      </c>
      <c r="BE531" s="1" t="s">
        <v>5246</v>
      </c>
      <c r="BF531" s="2" t="str">
        <f>HYPERLINK("http://dx.doi.org/10.1016/S1388-2481(01)00196-5","http://dx.doi.org/10.1016/S1388-2481(01)00196-5")</f>
        <v>http://dx.doi.org/10.1016/S1388-2481(01)00196-5</v>
      </c>
      <c r="BG531" s="1" t="s">
        <v>74</v>
      </c>
      <c r="BH531" s="1" t="s">
        <v>74</v>
      </c>
      <c r="BI531" s="1" t="s">
        <v>74</v>
      </c>
      <c r="BJ531" s="1" t="s">
        <v>74</v>
      </c>
      <c r="BK531" s="1" t="s">
        <v>74</v>
      </c>
      <c r="BL531" s="1" t="s">
        <v>74</v>
      </c>
      <c r="BM531" s="1" t="s">
        <v>74</v>
      </c>
      <c r="BN531" s="1" t="s">
        <v>74</v>
      </c>
      <c r="BO531" s="1" t="s">
        <v>74</v>
      </c>
      <c r="BP531" s="1" t="s">
        <v>74</v>
      </c>
      <c r="BQ531" s="1" t="s">
        <v>74</v>
      </c>
      <c r="BR531" s="1" t="s">
        <v>74</v>
      </c>
      <c r="BS531" s="1" t="s">
        <v>5247</v>
      </c>
      <c r="BT531" s="1" t="str">
        <f>HYPERLINK("https%3A%2F%2Fwww.webofscience.com%2Fwos%2Fwoscc%2Ffull-record%2FWOS:000170224400012","View Full Record in Web of Science")</f>
        <v>View Full Record in Web of Science</v>
      </c>
    </row>
    <row r="532" ht="12.75" customHeight="1">
      <c r="A532" s="1" t="s">
        <v>72</v>
      </c>
      <c r="B532" s="1" t="s">
        <v>5248</v>
      </c>
      <c r="C532" s="1" t="s">
        <v>74</v>
      </c>
      <c r="D532" s="1" t="s">
        <v>74</v>
      </c>
      <c r="E532" s="1" t="s">
        <v>74</v>
      </c>
      <c r="F532" s="1" t="s">
        <v>5248</v>
      </c>
      <c r="G532" s="1" t="s">
        <v>74</v>
      </c>
      <c r="H532" s="1" t="s">
        <v>74</v>
      </c>
      <c r="I532" s="1" t="s">
        <v>5249</v>
      </c>
      <c r="J532" s="1" t="s">
        <v>2011</v>
      </c>
      <c r="K532" s="1" t="s">
        <v>74</v>
      </c>
      <c r="L532" s="1" t="s">
        <v>74</v>
      </c>
      <c r="M532" s="1" t="s">
        <v>74</v>
      </c>
      <c r="N532" s="1" t="s">
        <v>74</v>
      </c>
      <c r="O532" s="1" t="s">
        <v>74</v>
      </c>
      <c r="P532" s="1" t="s">
        <v>74</v>
      </c>
      <c r="Q532" s="1" t="s">
        <v>74</v>
      </c>
      <c r="R532" s="1" t="s">
        <v>74</v>
      </c>
      <c r="S532" s="1" t="s">
        <v>74</v>
      </c>
      <c r="T532" s="1" t="s">
        <v>74</v>
      </c>
      <c r="U532" s="1" t="s">
        <v>74</v>
      </c>
      <c r="V532" s="1" t="s">
        <v>5250</v>
      </c>
      <c r="W532" s="1" t="s">
        <v>74</v>
      </c>
      <c r="X532" s="1" t="s">
        <v>74</v>
      </c>
      <c r="Y532" s="1" t="s">
        <v>74</v>
      </c>
      <c r="Z532" s="1" t="s">
        <v>74</v>
      </c>
      <c r="AA532" s="1" t="s">
        <v>5251</v>
      </c>
      <c r="AB532" s="1" t="s">
        <v>5252</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2623</v>
      </c>
      <c r="AP532" s="1" t="s">
        <v>2624</v>
      </c>
      <c r="AQ532" s="1" t="s">
        <v>74</v>
      </c>
      <c r="AR532" s="1" t="s">
        <v>74</v>
      </c>
      <c r="AS532" s="1" t="s">
        <v>74</v>
      </c>
      <c r="AT532" s="1" t="s">
        <v>212</v>
      </c>
      <c r="AU532" s="1">
        <v>2000.0</v>
      </c>
      <c r="AV532" s="1">
        <v>62.0</v>
      </c>
      <c r="AW532" s="1">
        <v>8.0</v>
      </c>
      <c r="AX532" s="1" t="s">
        <v>74</v>
      </c>
      <c r="AY532" s="1" t="s">
        <v>74</v>
      </c>
      <c r="AZ532" s="1" t="s">
        <v>74</v>
      </c>
      <c r="BA532" s="1" t="s">
        <v>74</v>
      </c>
      <c r="BB532" s="1" t="s">
        <v>74</v>
      </c>
      <c r="BC532" s="1" t="s">
        <v>74</v>
      </c>
      <c r="BD532" s="1">
        <v>84013.0</v>
      </c>
      <c r="BE532" s="1" t="s">
        <v>5253</v>
      </c>
      <c r="BF532" s="2" t="str">
        <f>HYPERLINK("http://dx.doi.org/10.1103/PhysRevD.62.084013","http://dx.doi.org/10.1103/PhysRevD.62.084013")</f>
        <v>http://dx.doi.org/10.1103/PhysRevD.62.084013</v>
      </c>
      <c r="BG532" s="1" t="s">
        <v>74</v>
      </c>
      <c r="BH532" s="1" t="s">
        <v>74</v>
      </c>
      <c r="BI532" s="1" t="s">
        <v>74</v>
      </c>
      <c r="BJ532" s="1" t="s">
        <v>74</v>
      </c>
      <c r="BK532" s="1" t="s">
        <v>74</v>
      </c>
      <c r="BL532" s="1" t="s">
        <v>74</v>
      </c>
      <c r="BM532" s="1" t="s">
        <v>74</v>
      </c>
      <c r="BN532" s="1" t="s">
        <v>74</v>
      </c>
      <c r="BO532" s="1" t="s">
        <v>74</v>
      </c>
      <c r="BP532" s="1" t="s">
        <v>74</v>
      </c>
      <c r="BQ532" s="1" t="s">
        <v>74</v>
      </c>
      <c r="BR532" s="1" t="s">
        <v>74</v>
      </c>
      <c r="BS532" s="1" t="s">
        <v>5254</v>
      </c>
      <c r="BT532" s="1" t="str">
        <f>HYPERLINK("https%3A%2F%2Fwww.webofscience.com%2Fwos%2Fwoscc%2Ffull-record%2FWOS:000089977200038","View Full Record in Web of Science")</f>
        <v>View Full Record in Web of Science</v>
      </c>
    </row>
    <row r="533" ht="12.75" customHeight="1">
      <c r="A533" s="1" t="s">
        <v>72</v>
      </c>
      <c r="B533" s="1" t="s">
        <v>5255</v>
      </c>
      <c r="C533" s="1" t="s">
        <v>74</v>
      </c>
      <c r="D533" s="1" t="s">
        <v>74</v>
      </c>
      <c r="E533" s="1" t="s">
        <v>74</v>
      </c>
      <c r="F533" s="1" t="s">
        <v>5255</v>
      </c>
      <c r="G533" s="1" t="s">
        <v>74</v>
      </c>
      <c r="H533" s="1" t="s">
        <v>74</v>
      </c>
      <c r="I533" s="1" t="s">
        <v>5256</v>
      </c>
      <c r="J533" s="1" t="s">
        <v>2011</v>
      </c>
      <c r="K533" s="1" t="s">
        <v>74</v>
      </c>
      <c r="L533" s="1" t="s">
        <v>74</v>
      </c>
      <c r="M533" s="1" t="s">
        <v>74</v>
      </c>
      <c r="N533" s="1" t="s">
        <v>74</v>
      </c>
      <c r="O533" s="1" t="s">
        <v>74</v>
      </c>
      <c r="P533" s="1" t="s">
        <v>74</v>
      </c>
      <c r="Q533" s="1" t="s">
        <v>74</v>
      </c>
      <c r="R533" s="1" t="s">
        <v>74</v>
      </c>
      <c r="S533" s="1" t="s">
        <v>74</v>
      </c>
      <c r="T533" s="1" t="s">
        <v>74</v>
      </c>
      <c r="U533" s="1" t="s">
        <v>74</v>
      </c>
      <c r="V533" s="1" t="s">
        <v>5257</v>
      </c>
      <c r="W533" s="1" t="s">
        <v>74</v>
      </c>
      <c r="X533" s="1" t="s">
        <v>74</v>
      </c>
      <c r="Y533" s="1" t="s">
        <v>74</v>
      </c>
      <c r="Z533" s="1" t="s">
        <v>74</v>
      </c>
      <c r="AA533" s="1" t="s">
        <v>5258</v>
      </c>
      <c r="AB533" s="1" t="s">
        <v>5259</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5260</v>
      </c>
      <c r="AP533" s="1" t="s">
        <v>74</v>
      </c>
      <c r="AQ533" s="1" t="s">
        <v>74</v>
      </c>
      <c r="AR533" s="1" t="s">
        <v>74</v>
      </c>
      <c r="AS533" s="1" t="s">
        <v>74</v>
      </c>
      <c r="AT533" s="1" t="s">
        <v>2085</v>
      </c>
      <c r="AU533" s="1">
        <v>2000.0</v>
      </c>
      <c r="AV533" s="1">
        <v>61.0</v>
      </c>
      <c r="AW533" s="1">
        <v>10.0</v>
      </c>
      <c r="AX533" s="1" t="s">
        <v>74</v>
      </c>
      <c r="AY533" s="1" t="s">
        <v>74</v>
      </c>
      <c r="AZ533" s="1" t="s">
        <v>74</v>
      </c>
      <c r="BA533" s="1" t="s">
        <v>74</v>
      </c>
      <c r="BB533" s="1" t="s">
        <v>74</v>
      </c>
      <c r="BC533" s="1" t="s">
        <v>74</v>
      </c>
      <c r="BD533" s="1">
        <v>104013.0</v>
      </c>
      <c r="BE533" s="1" t="s">
        <v>5261</v>
      </c>
      <c r="BF533" s="2" t="str">
        <f>HYPERLINK("http://dx.doi.org/10.1103/PhysRevD.61.104013","http://dx.doi.org/10.1103/PhysRevD.61.104013")</f>
        <v>http://dx.doi.org/10.1103/PhysRevD.61.104013</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5262</v>
      </c>
      <c r="BT533" s="1" t="str">
        <f>HYPERLINK("https%3A%2F%2Fwww.webofscience.com%2Fwos%2Fwoscc%2Ffull-record%2FWOS:000087046300032","View Full Record in Web of Science")</f>
        <v>View Full Record in Web of Science</v>
      </c>
    </row>
    <row r="534" ht="12.75" customHeight="1">
      <c r="A534" s="1" t="s">
        <v>72</v>
      </c>
      <c r="B534" s="1" t="s">
        <v>5263</v>
      </c>
      <c r="C534" s="1" t="s">
        <v>74</v>
      </c>
      <c r="D534" s="1" t="s">
        <v>74</v>
      </c>
      <c r="E534" s="1" t="s">
        <v>74</v>
      </c>
      <c r="F534" s="1" t="s">
        <v>5263</v>
      </c>
      <c r="G534" s="1" t="s">
        <v>74</v>
      </c>
      <c r="H534" s="1" t="s">
        <v>74</v>
      </c>
      <c r="I534" s="1" t="s">
        <v>5264</v>
      </c>
      <c r="J534" s="1" t="s">
        <v>1538</v>
      </c>
      <c r="K534" s="1" t="s">
        <v>74</v>
      </c>
      <c r="L534" s="1" t="s">
        <v>74</v>
      </c>
      <c r="M534" s="1" t="s">
        <v>74</v>
      </c>
      <c r="N534" s="1" t="s">
        <v>74</v>
      </c>
      <c r="O534" s="1" t="s">
        <v>74</v>
      </c>
      <c r="P534" s="1" t="s">
        <v>74</v>
      </c>
      <c r="Q534" s="1" t="s">
        <v>74</v>
      </c>
      <c r="R534" s="1" t="s">
        <v>74</v>
      </c>
      <c r="S534" s="1" t="s">
        <v>74</v>
      </c>
      <c r="T534" s="1" t="s">
        <v>74</v>
      </c>
      <c r="U534" s="1" t="s">
        <v>74</v>
      </c>
      <c r="V534" s="1" t="s">
        <v>5265</v>
      </c>
      <c r="W534" s="1" t="s">
        <v>74</v>
      </c>
      <c r="X534" s="1" t="s">
        <v>74</v>
      </c>
      <c r="Y534" s="1" t="s">
        <v>74</v>
      </c>
      <c r="Z534" s="1" t="s">
        <v>74</v>
      </c>
      <c r="AA534" s="1" t="s">
        <v>1540</v>
      </c>
      <c r="AB534" s="1" t="s">
        <v>5266</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1542</v>
      </c>
      <c r="AP534" s="1" t="s">
        <v>74</v>
      </c>
      <c r="AQ534" s="1" t="s">
        <v>74</v>
      </c>
      <c r="AR534" s="1" t="s">
        <v>74</v>
      </c>
      <c r="AS534" s="1" t="s">
        <v>74</v>
      </c>
      <c r="AT534" s="1" t="s">
        <v>5267</v>
      </c>
      <c r="AU534" s="1">
        <v>1999.0</v>
      </c>
      <c r="AV534" s="1">
        <v>264.0</v>
      </c>
      <c r="AW534" s="1">
        <v>1.0</v>
      </c>
      <c r="AX534" s="1" t="s">
        <v>74</v>
      </c>
      <c r="AY534" s="1" t="s">
        <v>74</v>
      </c>
      <c r="AZ534" s="1" t="s">
        <v>74</v>
      </c>
      <c r="BA534" s="1" t="s">
        <v>74</v>
      </c>
      <c r="BB534" s="1">
        <v>167.0</v>
      </c>
      <c r="BC534" s="1">
        <v>180.0</v>
      </c>
      <c r="BD534" s="1" t="s">
        <v>74</v>
      </c>
      <c r="BE534" s="1" t="s">
        <v>5268</v>
      </c>
      <c r="BF534" s="2" t="str">
        <f>HYPERLINK("http://dx.doi.org/10.1006/viro.1999.9989","http://dx.doi.org/10.1006/viro.1999.9989")</f>
        <v>http://dx.doi.org/10.1006/viro.1999.9989</v>
      </c>
      <c r="BG534" s="1" t="s">
        <v>74</v>
      </c>
      <c r="BH534" s="1" t="s">
        <v>74</v>
      </c>
      <c r="BI534" s="1" t="s">
        <v>74</v>
      </c>
      <c r="BJ534" s="1" t="s">
        <v>74</v>
      </c>
      <c r="BK534" s="1" t="s">
        <v>74</v>
      </c>
      <c r="BL534" s="1" t="s">
        <v>74</v>
      </c>
      <c r="BM534" s="1" t="s">
        <v>74</v>
      </c>
      <c r="BN534" s="1">
        <v>1.0544142E7</v>
      </c>
      <c r="BO534" s="1" t="s">
        <v>74</v>
      </c>
      <c r="BP534" s="1" t="s">
        <v>74</v>
      </c>
      <c r="BQ534" s="1" t="s">
        <v>74</v>
      </c>
      <c r="BR534" s="1" t="s">
        <v>74</v>
      </c>
      <c r="BS534" s="1" t="s">
        <v>5269</v>
      </c>
      <c r="BT534" s="1" t="str">
        <f>HYPERLINK("https%3A%2F%2Fwww.webofscience.com%2Fwos%2Fwoscc%2Ffull-record%2FWOS:000083673300019","View Full Record in Web of Science")</f>
        <v>View Full Record in Web of Science</v>
      </c>
    </row>
    <row r="535" ht="12.75" customHeight="1">
      <c r="A535" s="1" t="s">
        <v>72</v>
      </c>
      <c r="B535" s="1" t="s">
        <v>5270</v>
      </c>
      <c r="C535" s="1" t="s">
        <v>74</v>
      </c>
      <c r="D535" s="1" t="s">
        <v>74</v>
      </c>
      <c r="E535" s="1" t="s">
        <v>74</v>
      </c>
      <c r="F535" s="1" t="s">
        <v>5270</v>
      </c>
      <c r="G535" s="1" t="s">
        <v>74</v>
      </c>
      <c r="H535" s="1" t="s">
        <v>74</v>
      </c>
      <c r="I535" s="1" t="s">
        <v>5271</v>
      </c>
      <c r="J535" s="1" t="s">
        <v>5272</v>
      </c>
      <c r="K535" s="1" t="s">
        <v>74</v>
      </c>
      <c r="L535" s="1" t="s">
        <v>74</v>
      </c>
      <c r="M535" s="1" t="s">
        <v>74</v>
      </c>
      <c r="N535" s="1" t="s">
        <v>74</v>
      </c>
      <c r="O535" s="1" t="s">
        <v>74</v>
      </c>
      <c r="P535" s="1" t="s">
        <v>74</v>
      </c>
      <c r="Q535" s="1" t="s">
        <v>74</v>
      </c>
      <c r="R535" s="1" t="s">
        <v>74</v>
      </c>
      <c r="S535" s="1" t="s">
        <v>74</v>
      </c>
      <c r="T535" s="1" t="s">
        <v>74</v>
      </c>
      <c r="U535" s="1" t="s">
        <v>74</v>
      </c>
      <c r="V535" s="1" t="s">
        <v>5273</v>
      </c>
      <c r="W535" s="1" t="s">
        <v>74</v>
      </c>
      <c r="X535" s="1" t="s">
        <v>74</v>
      </c>
      <c r="Y535" s="1" t="s">
        <v>74</v>
      </c>
      <c r="Z535" s="1" t="s">
        <v>74</v>
      </c>
      <c r="AA535" s="1" t="s">
        <v>74</v>
      </c>
      <c r="AB535" s="1" t="s">
        <v>74</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5274</v>
      </c>
      <c r="AP535" s="1" t="s">
        <v>74</v>
      </c>
      <c r="AQ535" s="1" t="s">
        <v>74</v>
      </c>
      <c r="AR535" s="1" t="s">
        <v>74</v>
      </c>
      <c r="AS535" s="1" t="s">
        <v>74</v>
      </c>
      <c r="AT535" s="1" t="s">
        <v>74</v>
      </c>
      <c r="AU535" s="1">
        <v>1998.0</v>
      </c>
      <c r="AV535" s="1">
        <v>94.0</v>
      </c>
      <c r="AW535" s="1">
        <v>3.0</v>
      </c>
      <c r="AX535" s="1" t="s">
        <v>74</v>
      </c>
      <c r="AY535" s="1" t="s">
        <v>74</v>
      </c>
      <c r="AZ535" s="1" t="s">
        <v>74</v>
      </c>
      <c r="BA535" s="1" t="s">
        <v>74</v>
      </c>
      <c r="BB535" s="1">
        <v>127.0</v>
      </c>
      <c r="BC535" s="1">
        <v>131.0</v>
      </c>
      <c r="BD535" s="1" t="s">
        <v>74</v>
      </c>
      <c r="BE535" s="1" t="s">
        <v>74</v>
      </c>
      <c r="BF535" s="1" t="s">
        <v>74</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5275</v>
      </c>
      <c r="BT535" s="1" t="str">
        <f>HYPERLINK("https%3A%2F%2Fwww.webofscience.com%2Fwos%2Fwoscc%2Ffull-record%2FWOS:000076824500002","View Full Record in Web of Science")</f>
        <v>View Full Record in Web of Science</v>
      </c>
    </row>
    <row r="536" ht="12.75" customHeight="1">
      <c r="A536" s="1" t="s">
        <v>72</v>
      </c>
      <c r="B536" s="1" t="s">
        <v>5276</v>
      </c>
      <c r="C536" s="1" t="s">
        <v>74</v>
      </c>
      <c r="D536" s="1" t="s">
        <v>74</v>
      </c>
      <c r="E536" s="1" t="s">
        <v>74</v>
      </c>
      <c r="F536" s="1" t="s">
        <v>5276</v>
      </c>
      <c r="G536" s="1" t="s">
        <v>74</v>
      </c>
      <c r="H536" s="1" t="s">
        <v>74</v>
      </c>
      <c r="I536" s="1" t="s">
        <v>5277</v>
      </c>
      <c r="J536" s="1" t="s">
        <v>412</v>
      </c>
      <c r="K536" s="1" t="s">
        <v>74</v>
      </c>
      <c r="L536" s="1" t="s">
        <v>74</v>
      </c>
      <c r="M536" s="1" t="s">
        <v>74</v>
      </c>
      <c r="N536" s="1" t="s">
        <v>74</v>
      </c>
      <c r="O536" s="1" t="s">
        <v>74</v>
      </c>
      <c r="P536" s="1" t="s">
        <v>74</v>
      </c>
      <c r="Q536" s="1" t="s">
        <v>74</v>
      </c>
      <c r="R536" s="1" t="s">
        <v>74</v>
      </c>
      <c r="S536" s="1" t="s">
        <v>74</v>
      </c>
      <c r="T536" s="1" t="s">
        <v>74</v>
      </c>
      <c r="U536" s="1" t="s">
        <v>74</v>
      </c>
      <c r="V536" s="1" t="s">
        <v>5278</v>
      </c>
      <c r="W536" s="1" t="s">
        <v>74</v>
      </c>
      <c r="X536" s="1" t="s">
        <v>74</v>
      </c>
      <c r="Y536" s="1" t="s">
        <v>74</v>
      </c>
      <c r="Z536" s="1" t="s">
        <v>74</v>
      </c>
      <c r="AA536" s="1" t="s">
        <v>74</v>
      </c>
      <c r="AB536" s="1" t="s">
        <v>1194</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415</v>
      </c>
      <c r="AP536" s="1" t="s">
        <v>74</v>
      </c>
      <c r="AQ536" s="1" t="s">
        <v>74</v>
      </c>
      <c r="AR536" s="1" t="s">
        <v>74</v>
      </c>
      <c r="AS536" s="1" t="s">
        <v>74</v>
      </c>
      <c r="AT536" s="1" t="s">
        <v>1679</v>
      </c>
      <c r="AU536" s="1">
        <v>1996.0</v>
      </c>
      <c r="AV536" s="1">
        <v>32.0</v>
      </c>
      <c r="AW536" s="1">
        <v>6.0</v>
      </c>
      <c r="AX536" s="1" t="s">
        <v>74</v>
      </c>
      <c r="AY536" s="1" t="s">
        <v>74</v>
      </c>
      <c r="AZ536" s="1" t="s">
        <v>74</v>
      </c>
      <c r="BA536" s="1" t="s">
        <v>74</v>
      </c>
      <c r="BB536" s="1">
        <v>400.0</v>
      </c>
      <c r="BC536" s="1">
        <v>407.0</v>
      </c>
      <c r="BD536" s="1" t="s">
        <v>74</v>
      </c>
      <c r="BE536" s="1" t="s">
        <v>5279</v>
      </c>
      <c r="BF536" s="2" t="str">
        <f>HYPERLINK("http://dx.doi.org/10.3989/revmetalm.1996.v32.i6.888","http://dx.doi.org/10.3989/revmetalm.1996.v32.i6.888")</f>
        <v>http://dx.doi.org/10.3989/revmetalm.1996.v32.i6.888</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5280</v>
      </c>
      <c r="BT536" s="1" t="str">
        <f>HYPERLINK("https%3A%2F%2Fwww.webofscience.com%2Fwos%2Fwoscc%2Ffull-record%2FWOS:A1996WE47600007","View Full Record in Web of Science")</f>
        <v>View Full Record in Web of Science</v>
      </c>
    </row>
    <row r="537" ht="12.75" customHeight="1">
      <c r="A537" s="1" t="s">
        <v>72</v>
      </c>
      <c r="B537" s="1" t="s">
        <v>5281</v>
      </c>
      <c r="C537" s="1" t="s">
        <v>74</v>
      </c>
      <c r="D537" s="1" t="s">
        <v>74</v>
      </c>
      <c r="E537" s="1" t="s">
        <v>74</v>
      </c>
      <c r="F537" s="1" t="s">
        <v>5281</v>
      </c>
      <c r="G537" s="1" t="s">
        <v>74</v>
      </c>
      <c r="H537" s="1" t="s">
        <v>74</v>
      </c>
      <c r="I537" s="1" t="s">
        <v>5282</v>
      </c>
      <c r="J537" s="1" t="s">
        <v>5283</v>
      </c>
      <c r="K537" s="1" t="s">
        <v>74</v>
      </c>
      <c r="L537" s="1" t="s">
        <v>74</v>
      </c>
      <c r="M537" s="1" t="s">
        <v>74</v>
      </c>
      <c r="N537" s="1" t="s">
        <v>74</v>
      </c>
      <c r="O537" s="1" t="s">
        <v>74</v>
      </c>
      <c r="P537" s="1" t="s">
        <v>74</v>
      </c>
      <c r="Q537" s="1" t="s">
        <v>74</v>
      </c>
      <c r="R537" s="1" t="s">
        <v>74</v>
      </c>
      <c r="S537" s="1" t="s">
        <v>74</v>
      </c>
      <c r="T537" s="1" t="s">
        <v>74</v>
      </c>
      <c r="U537" s="1" t="s">
        <v>74</v>
      </c>
      <c r="V537" s="1" t="s">
        <v>5284</v>
      </c>
      <c r="W537" s="1" t="s">
        <v>74</v>
      </c>
      <c r="X537" s="1" t="s">
        <v>74</v>
      </c>
      <c r="Y537" s="1" t="s">
        <v>74</v>
      </c>
      <c r="Z537" s="1" t="s">
        <v>74</v>
      </c>
      <c r="AA537" s="1" t="s">
        <v>74</v>
      </c>
      <c r="AB537" s="1" t="s">
        <v>74</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5285</v>
      </c>
      <c r="AP537" s="1" t="s">
        <v>74</v>
      </c>
      <c r="AQ537" s="1" t="s">
        <v>74</v>
      </c>
      <c r="AR537" s="1" t="s">
        <v>74</v>
      </c>
      <c r="AS537" s="1" t="s">
        <v>74</v>
      </c>
      <c r="AT537" s="1" t="s">
        <v>232</v>
      </c>
      <c r="AU537" s="1">
        <v>1996.0</v>
      </c>
      <c r="AV537" s="1" t="s">
        <v>74</v>
      </c>
      <c r="AW537" s="1">
        <v>15.0</v>
      </c>
      <c r="AX537" s="1" t="s">
        <v>74</v>
      </c>
      <c r="AY537" s="1" t="s">
        <v>74</v>
      </c>
      <c r="AZ537" s="1" t="s">
        <v>74</v>
      </c>
      <c r="BA537" s="1" t="s">
        <v>74</v>
      </c>
      <c r="BB537" s="1">
        <v>9.0</v>
      </c>
      <c r="BC537" s="1">
        <v>12.0</v>
      </c>
      <c r="BD537" s="1" t="s">
        <v>74</v>
      </c>
      <c r="BE537" s="1" t="s">
        <v>74</v>
      </c>
      <c r="BF537" s="1" t="s">
        <v>74</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5286</v>
      </c>
      <c r="BT537" s="1" t="str">
        <f>HYPERLINK("https%3A%2F%2Fwww.webofscience.com%2Fwos%2Fwoscc%2Ffull-record%2FWOS:A1996VZ21200003","View Full Record in Web of Science")</f>
        <v>View Full Record in Web of Science</v>
      </c>
    </row>
    <row r="538" ht="12.75" customHeight="1">
      <c r="A538" s="1" t="s">
        <v>72</v>
      </c>
      <c r="B538" s="1" t="s">
        <v>5287</v>
      </c>
      <c r="C538" s="1" t="s">
        <v>74</v>
      </c>
      <c r="D538" s="1" t="s">
        <v>74</v>
      </c>
      <c r="E538" s="1" t="s">
        <v>74</v>
      </c>
      <c r="F538" s="1" t="s">
        <v>5287</v>
      </c>
      <c r="G538" s="1" t="s">
        <v>74</v>
      </c>
      <c r="H538" s="1" t="s">
        <v>74</v>
      </c>
      <c r="I538" s="1" t="s">
        <v>5288</v>
      </c>
      <c r="J538" s="1" t="s">
        <v>5289</v>
      </c>
      <c r="K538" s="1" t="s">
        <v>74</v>
      </c>
      <c r="L538" s="1" t="s">
        <v>74</v>
      </c>
      <c r="M538" s="1" t="s">
        <v>74</v>
      </c>
      <c r="N538" s="1" t="s">
        <v>74</v>
      </c>
      <c r="O538" s="1" t="s">
        <v>74</v>
      </c>
      <c r="P538" s="1" t="s">
        <v>74</v>
      </c>
      <c r="Q538" s="1" t="s">
        <v>74</v>
      </c>
      <c r="R538" s="1" t="s">
        <v>74</v>
      </c>
      <c r="S538" s="1" t="s">
        <v>74</v>
      </c>
      <c r="T538" s="1" t="s">
        <v>74</v>
      </c>
      <c r="U538" s="1" t="s">
        <v>74</v>
      </c>
      <c r="V538" s="1" t="s">
        <v>74</v>
      </c>
      <c r="W538" s="1" t="s">
        <v>74</v>
      </c>
      <c r="X538" s="1" t="s">
        <v>74</v>
      </c>
      <c r="Y538" s="1" t="s">
        <v>74</v>
      </c>
      <c r="Z538" s="1" t="s">
        <v>74</v>
      </c>
      <c r="AA538" s="1" t="s">
        <v>74</v>
      </c>
      <c r="AB538" s="1" t="s">
        <v>74</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5290</v>
      </c>
      <c r="AP538" s="1" t="s">
        <v>74</v>
      </c>
      <c r="AQ538" s="1" t="s">
        <v>74</v>
      </c>
      <c r="AR538" s="1" t="s">
        <v>74</v>
      </c>
      <c r="AS538" s="1" t="s">
        <v>74</v>
      </c>
      <c r="AT538" s="1" t="s">
        <v>74</v>
      </c>
      <c r="AU538" s="1">
        <v>1983.0</v>
      </c>
      <c r="AV538" s="1">
        <v>14.0</v>
      </c>
      <c r="AW538" s="1">
        <v>4.0</v>
      </c>
      <c r="AX538" s="1" t="s">
        <v>74</v>
      </c>
      <c r="AY538" s="1" t="s">
        <v>74</v>
      </c>
      <c r="AZ538" s="1" t="s">
        <v>74</v>
      </c>
      <c r="BA538" s="1" t="s">
        <v>74</v>
      </c>
      <c r="BB538" s="1">
        <v>725.0</v>
      </c>
      <c r="BC538" s="1">
        <v>731.0</v>
      </c>
      <c r="BD538" s="1" t="s">
        <v>74</v>
      </c>
      <c r="BE538" s="1" t="s">
        <v>5291</v>
      </c>
      <c r="BF538" s="2" t="str">
        <f>HYPERLINK("http://dx.doi.org/10.1007/BF02653959","http://dx.doi.org/10.1007/BF02653959")</f>
        <v>http://dx.doi.org/10.1007/BF02653959</v>
      </c>
      <c r="BG538" s="1" t="s">
        <v>74</v>
      </c>
      <c r="BH538" s="1" t="s">
        <v>74</v>
      </c>
      <c r="BI538" s="1" t="s">
        <v>74</v>
      </c>
      <c r="BJ538" s="1" t="s">
        <v>74</v>
      </c>
      <c r="BK538" s="1" t="s">
        <v>74</v>
      </c>
      <c r="BL538" s="1" t="s">
        <v>74</v>
      </c>
      <c r="BM538" s="1" t="s">
        <v>74</v>
      </c>
      <c r="BN538" s="1" t="s">
        <v>74</v>
      </c>
      <c r="BO538" s="1" t="s">
        <v>74</v>
      </c>
      <c r="BP538" s="1" t="s">
        <v>74</v>
      </c>
      <c r="BQ538" s="1" t="s">
        <v>74</v>
      </c>
      <c r="BR538" s="1" t="s">
        <v>74</v>
      </c>
      <c r="BS538" s="1" t="s">
        <v>5292</v>
      </c>
      <c r="BT538" s="1" t="str">
        <f>HYPERLINK("https%3A%2F%2Fwww.webofscience.com%2Fwos%2Fwoscc%2Ffull-record%2FWOS:A1983RV13700022","View Full Record in Web of Science")</f>
        <v>View Full Record in Web of Science</v>
      </c>
    </row>
    <row r="539" ht="12.75" customHeight="1">
      <c r="A539" s="1" t="s">
        <v>72</v>
      </c>
      <c r="B539" s="1" t="s">
        <v>5293</v>
      </c>
      <c r="C539" s="1" t="s">
        <v>74</v>
      </c>
      <c r="D539" s="1" t="s">
        <v>74</v>
      </c>
      <c r="E539" s="1" t="s">
        <v>74</v>
      </c>
      <c r="F539" s="1" t="s">
        <v>5294</v>
      </c>
      <c r="G539" s="1" t="s">
        <v>74</v>
      </c>
      <c r="H539" s="1" t="s">
        <v>74</v>
      </c>
      <c r="I539" s="1" t="s">
        <v>5295</v>
      </c>
      <c r="J539" s="1" t="s">
        <v>5296</v>
      </c>
      <c r="K539" s="1" t="s">
        <v>74</v>
      </c>
      <c r="L539" s="1" t="s">
        <v>74</v>
      </c>
      <c r="M539" s="1" t="s">
        <v>74</v>
      </c>
      <c r="N539" s="1" t="s">
        <v>74</v>
      </c>
      <c r="O539" s="1" t="s">
        <v>74</v>
      </c>
      <c r="P539" s="1" t="s">
        <v>74</v>
      </c>
      <c r="Q539" s="1" t="s">
        <v>74</v>
      </c>
      <c r="R539" s="1" t="s">
        <v>74</v>
      </c>
      <c r="S539" s="1" t="s">
        <v>74</v>
      </c>
      <c r="T539" s="1" t="s">
        <v>74</v>
      </c>
      <c r="U539" s="1" t="s">
        <v>74</v>
      </c>
      <c r="V539" s="1" t="s">
        <v>5297</v>
      </c>
      <c r="W539" s="1" t="s">
        <v>74</v>
      </c>
      <c r="X539" s="1" t="s">
        <v>74</v>
      </c>
      <c r="Y539" s="1" t="s">
        <v>74</v>
      </c>
      <c r="Z539" s="1" t="s">
        <v>74</v>
      </c>
      <c r="AA539" s="1" t="s">
        <v>74</v>
      </c>
      <c r="AB539" s="1" t="s">
        <v>5298</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5299</v>
      </c>
      <c r="AP539" s="1" t="s">
        <v>5300</v>
      </c>
      <c r="AQ539" s="1" t="s">
        <v>74</v>
      </c>
      <c r="AR539" s="1" t="s">
        <v>74</v>
      </c>
      <c r="AS539" s="1" t="s">
        <v>74</v>
      </c>
      <c r="AT539" s="1" t="s">
        <v>596</v>
      </c>
      <c r="AU539" s="1">
        <v>2024.0</v>
      </c>
      <c r="AV539" s="1">
        <v>135.0</v>
      </c>
      <c r="AW539" s="1" t="s">
        <v>74</v>
      </c>
      <c r="AX539" s="1" t="s">
        <v>74</v>
      </c>
      <c r="AY539" s="1" t="s">
        <v>74</v>
      </c>
      <c r="AZ539" s="1" t="s">
        <v>74</v>
      </c>
      <c r="BA539" s="1" t="s">
        <v>74</v>
      </c>
      <c r="BB539" s="1" t="s">
        <v>74</v>
      </c>
      <c r="BC539" s="1" t="s">
        <v>74</v>
      </c>
      <c r="BD539" s="1">
        <v>103750.0</v>
      </c>
      <c r="BE539" s="1" t="s">
        <v>5301</v>
      </c>
      <c r="BF539" s="2" t="str">
        <f>HYPERLINK("http://dx.doi.org/10.1016/j.vibspec.2024.103750","http://dx.doi.org/10.1016/j.vibspec.2024.103750")</f>
        <v>http://dx.doi.org/10.1016/j.vibspec.2024.103750</v>
      </c>
      <c r="BG539" s="1" t="s">
        <v>74</v>
      </c>
      <c r="BH539" s="1" t="s">
        <v>4133</v>
      </c>
      <c r="BI539" s="1" t="s">
        <v>74</v>
      </c>
      <c r="BJ539" s="1" t="s">
        <v>74</v>
      </c>
      <c r="BK539" s="1" t="s">
        <v>74</v>
      </c>
      <c r="BL539" s="1" t="s">
        <v>74</v>
      </c>
      <c r="BM539" s="1" t="s">
        <v>74</v>
      </c>
      <c r="BN539" s="1" t="s">
        <v>74</v>
      </c>
      <c r="BO539" s="1" t="s">
        <v>74</v>
      </c>
      <c r="BP539" s="1" t="s">
        <v>74</v>
      </c>
      <c r="BQ539" s="1" t="s">
        <v>74</v>
      </c>
      <c r="BR539" s="1" t="s">
        <v>74</v>
      </c>
      <c r="BS539" s="1" t="s">
        <v>5302</v>
      </c>
      <c r="BT539" s="1" t="str">
        <f>HYPERLINK("https%3A%2F%2Fwww.webofscience.com%2Fwos%2Fwoscc%2Ffull-record%2FWOS:001371396600001","View Full Record in Web of Science")</f>
        <v>View Full Record in Web of Science</v>
      </c>
    </row>
    <row r="540" ht="12.75" customHeight="1">
      <c r="A540" s="1" t="s">
        <v>72</v>
      </c>
      <c r="B540" s="1" t="s">
        <v>5303</v>
      </c>
      <c r="C540" s="1" t="s">
        <v>74</v>
      </c>
      <c r="D540" s="1" t="s">
        <v>74</v>
      </c>
      <c r="E540" s="1" t="s">
        <v>74</v>
      </c>
      <c r="F540" s="1" t="s">
        <v>5304</v>
      </c>
      <c r="G540" s="1" t="s">
        <v>74</v>
      </c>
      <c r="H540" s="1" t="s">
        <v>74</v>
      </c>
      <c r="I540" s="1" t="s">
        <v>5305</v>
      </c>
      <c r="J540" s="1" t="s">
        <v>5306</v>
      </c>
      <c r="K540" s="1" t="s">
        <v>74</v>
      </c>
      <c r="L540" s="1" t="s">
        <v>74</v>
      </c>
      <c r="M540" s="1" t="s">
        <v>74</v>
      </c>
      <c r="N540" s="1" t="s">
        <v>74</v>
      </c>
      <c r="O540" s="1" t="s">
        <v>74</v>
      </c>
      <c r="P540" s="1" t="s">
        <v>74</v>
      </c>
      <c r="Q540" s="1" t="s">
        <v>74</v>
      </c>
      <c r="R540" s="1" t="s">
        <v>74</v>
      </c>
      <c r="S540" s="1" t="s">
        <v>74</v>
      </c>
      <c r="T540" s="1" t="s">
        <v>74</v>
      </c>
      <c r="U540" s="1" t="s">
        <v>74</v>
      </c>
      <c r="V540" s="1" t="s">
        <v>5307</v>
      </c>
      <c r="W540" s="1" t="s">
        <v>74</v>
      </c>
      <c r="X540" s="1" t="s">
        <v>74</v>
      </c>
      <c r="Y540" s="1" t="s">
        <v>74</v>
      </c>
      <c r="Z540" s="1" t="s">
        <v>74</v>
      </c>
      <c r="AA540" s="1" t="s">
        <v>5308</v>
      </c>
      <c r="AB540" s="1" t="s">
        <v>5309</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5310</v>
      </c>
      <c r="AP540" s="1" t="s">
        <v>5311</v>
      </c>
      <c r="AQ540" s="1" t="s">
        <v>74</v>
      </c>
      <c r="AR540" s="1" t="s">
        <v>74</v>
      </c>
      <c r="AS540" s="1" t="s">
        <v>74</v>
      </c>
      <c r="AT540" s="1" t="s">
        <v>461</v>
      </c>
      <c r="AU540" s="1">
        <v>2024.0</v>
      </c>
      <c r="AV540" s="1">
        <v>154.0</v>
      </c>
      <c r="AW540" s="1" t="s">
        <v>74</v>
      </c>
      <c r="AX540" s="1" t="s">
        <v>74</v>
      </c>
      <c r="AY540" s="1" t="s">
        <v>74</v>
      </c>
      <c r="AZ540" s="1" t="s">
        <v>74</v>
      </c>
      <c r="BA540" s="1" t="s">
        <v>74</v>
      </c>
      <c r="BB540" s="1" t="s">
        <v>74</v>
      </c>
      <c r="BC540" s="1" t="s">
        <v>74</v>
      </c>
      <c r="BD540" s="1">
        <v>110116.0</v>
      </c>
      <c r="BE540" s="1" t="s">
        <v>5312</v>
      </c>
      <c r="BF540" s="2" t="str">
        <f>HYPERLINK("http://dx.doi.org/10.1016/j.foodhyd.2024.110116","http://dx.doi.org/10.1016/j.foodhyd.2024.110116")</f>
        <v>http://dx.doi.org/10.1016/j.foodhyd.2024.110116</v>
      </c>
      <c r="BG540" s="1" t="s">
        <v>74</v>
      </c>
      <c r="BH540" s="1" t="s">
        <v>5313</v>
      </c>
      <c r="BI540" s="1" t="s">
        <v>74</v>
      </c>
      <c r="BJ540" s="1" t="s">
        <v>74</v>
      </c>
      <c r="BK540" s="1" t="s">
        <v>74</v>
      </c>
      <c r="BL540" s="1" t="s">
        <v>74</v>
      </c>
      <c r="BM540" s="1" t="s">
        <v>74</v>
      </c>
      <c r="BN540" s="1" t="s">
        <v>74</v>
      </c>
      <c r="BO540" s="1" t="s">
        <v>74</v>
      </c>
      <c r="BP540" s="1" t="s">
        <v>74</v>
      </c>
      <c r="BQ540" s="1" t="s">
        <v>74</v>
      </c>
      <c r="BR540" s="1" t="s">
        <v>74</v>
      </c>
      <c r="BS540" s="1" t="s">
        <v>5314</v>
      </c>
      <c r="BT540" s="1" t="str">
        <f>HYPERLINK("https%3A%2F%2Fwww.webofscience.com%2Fwos%2Fwoscc%2Ffull-record%2FWOS:001238304900001","View Full Record in Web of Science")</f>
        <v>View Full Record in Web of Science</v>
      </c>
    </row>
    <row r="541" ht="12.75" customHeight="1">
      <c r="A541" s="1" t="s">
        <v>72</v>
      </c>
      <c r="B541" s="1" t="s">
        <v>5315</v>
      </c>
      <c r="C541" s="1" t="s">
        <v>74</v>
      </c>
      <c r="D541" s="1" t="s">
        <v>74</v>
      </c>
      <c r="E541" s="1" t="s">
        <v>74</v>
      </c>
      <c r="F541" s="1" t="s">
        <v>5316</v>
      </c>
      <c r="G541" s="1" t="s">
        <v>74</v>
      </c>
      <c r="H541" s="1" t="s">
        <v>74</v>
      </c>
      <c r="I541" s="1" t="s">
        <v>5317</v>
      </c>
      <c r="J541" s="1" t="s">
        <v>1696</v>
      </c>
      <c r="K541" s="1" t="s">
        <v>74</v>
      </c>
      <c r="L541" s="1" t="s">
        <v>74</v>
      </c>
      <c r="M541" s="1" t="s">
        <v>74</v>
      </c>
      <c r="N541" s="1" t="s">
        <v>74</v>
      </c>
      <c r="O541" s="1" t="s">
        <v>74</v>
      </c>
      <c r="P541" s="1" t="s">
        <v>74</v>
      </c>
      <c r="Q541" s="1" t="s">
        <v>74</v>
      </c>
      <c r="R541" s="1" t="s">
        <v>74</v>
      </c>
      <c r="S541" s="1" t="s">
        <v>74</v>
      </c>
      <c r="T541" s="1" t="s">
        <v>74</v>
      </c>
      <c r="U541" s="1" t="s">
        <v>74</v>
      </c>
      <c r="V541" s="1" t="s">
        <v>5318</v>
      </c>
      <c r="W541" s="1" t="s">
        <v>74</v>
      </c>
      <c r="X541" s="1" t="s">
        <v>74</v>
      </c>
      <c r="Y541" s="1" t="s">
        <v>74</v>
      </c>
      <c r="Z541" s="1" t="s">
        <v>74</v>
      </c>
      <c r="AA541" s="1" t="s">
        <v>5319</v>
      </c>
      <c r="AB541" s="1" t="s">
        <v>5320</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1700</v>
      </c>
      <c r="AP541" s="1" t="s">
        <v>74</v>
      </c>
      <c r="AQ541" s="1" t="s">
        <v>74</v>
      </c>
      <c r="AR541" s="1" t="s">
        <v>74</v>
      </c>
      <c r="AS541" s="1" t="s">
        <v>74</v>
      </c>
      <c r="AT541" s="1" t="s">
        <v>2370</v>
      </c>
      <c r="AU541" s="1">
        <v>2023.0</v>
      </c>
      <c r="AV541" s="1">
        <v>13.0</v>
      </c>
      <c r="AW541" s="1">
        <v>1.0</v>
      </c>
      <c r="AX541" s="1" t="s">
        <v>74</v>
      </c>
      <c r="AY541" s="1" t="s">
        <v>74</v>
      </c>
      <c r="AZ541" s="1" t="s">
        <v>74</v>
      </c>
      <c r="BA541" s="1" t="s">
        <v>74</v>
      </c>
      <c r="BB541" s="1" t="s">
        <v>74</v>
      </c>
      <c r="BC541" s="1" t="s">
        <v>74</v>
      </c>
      <c r="BD541" s="1">
        <v>6995.0</v>
      </c>
      <c r="BE541" s="1" t="s">
        <v>5321</v>
      </c>
      <c r="BF541" s="2" t="str">
        <f>HYPERLINK("http://dx.doi.org/10.1038/s41598-023-33732-9","http://dx.doi.org/10.1038/s41598-023-33732-9")</f>
        <v>http://dx.doi.org/10.1038/s41598-023-33732-9</v>
      </c>
      <c r="BG541" s="1" t="s">
        <v>74</v>
      </c>
      <c r="BH541" s="1" t="s">
        <v>74</v>
      </c>
      <c r="BI541" s="1" t="s">
        <v>74</v>
      </c>
      <c r="BJ541" s="1" t="s">
        <v>74</v>
      </c>
      <c r="BK541" s="1" t="s">
        <v>74</v>
      </c>
      <c r="BL541" s="1" t="s">
        <v>74</v>
      </c>
      <c r="BM541" s="1" t="s">
        <v>74</v>
      </c>
      <c r="BN541" s="1">
        <v>3.7117328E7</v>
      </c>
      <c r="BO541" s="1" t="s">
        <v>74</v>
      </c>
      <c r="BP541" s="1" t="s">
        <v>74</v>
      </c>
      <c r="BQ541" s="1" t="s">
        <v>74</v>
      </c>
      <c r="BR541" s="1" t="s">
        <v>74</v>
      </c>
      <c r="BS541" s="1" t="s">
        <v>5322</v>
      </c>
      <c r="BT541" s="1" t="str">
        <f>HYPERLINK("https%3A%2F%2Fwww.webofscience.com%2Fwos%2Fwoscc%2Ffull-record%2FWOS:000985908500012","View Full Record in Web of Science")</f>
        <v>View Full Record in Web of Science</v>
      </c>
    </row>
    <row r="542" ht="12.75" customHeight="1">
      <c r="A542" s="1" t="s">
        <v>72</v>
      </c>
      <c r="B542" s="1" t="s">
        <v>5323</v>
      </c>
      <c r="C542" s="1" t="s">
        <v>74</v>
      </c>
      <c r="D542" s="1" t="s">
        <v>74</v>
      </c>
      <c r="E542" s="1" t="s">
        <v>74</v>
      </c>
      <c r="F542" s="1" t="s">
        <v>5324</v>
      </c>
      <c r="G542" s="1" t="s">
        <v>74</v>
      </c>
      <c r="H542" s="1" t="s">
        <v>74</v>
      </c>
      <c r="I542" s="1" t="s">
        <v>5325</v>
      </c>
      <c r="J542" s="1" t="s">
        <v>4201</v>
      </c>
      <c r="K542" s="1" t="s">
        <v>74</v>
      </c>
      <c r="L542" s="1" t="s">
        <v>74</v>
      </c>
      <c r="M542" s="1" t="s">
        <v>74</v>
      </c>
      <c r="N542" s="1" t="s">
        <v>74</v>
      </c>
      <c r="O542" s="1" t="s">
        <v>74</v>
      </c>
      <c r="P542" s="1" t="s">
        <v>74</v>
      </c>
      <c r="Q542" s="1" t="s">
        <v>74</v>
      </c>
      <c r="R542" s="1" t="s">
        <v>74</v>
      </c>
      <c r="S542" s="1" t="s">
        <v>74</v>
      </c>
      <c r="T542" s="1" t="s">
        <v>74</v>
      </c>
      <c r="U542" s="1" t="s">
        <v>74</v>
      </c>
      <c r="V542" s="1" t="s">
        <v>5326</v>
      </c>
      <c r="W542" s="1" t="s">
        <v>74</v>
      </c>
      <c r="X542" s="1" t="s">
        <v>74</v>
      </c>
      <c r="Y542" s="1" t="s">
        <v>74</v>
      </c>
      <c r="Z542" s="1" t="s">
        <v>74</v>
      </c>
      <c r="AA542" s="1" t="s">
        <v>5327</v>
      </c>
      <c r="AB542" s="1" t="s">
        <v>5328</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74</v>
      </c>
      <c r="AP542" s="1" t="s">
        <v>4204</v>
      </c>
      <c r="AQ542" s="1" t="s">
        <v>74</v>
      </c>
      <c r="AR542" s="1" t="s">
        <v>74</v>
      </c>
      <c r="AS542" s="1" t="s">
        <v>74</v>
      </c>
      <c r="AT542" s="1" t="s">
        <v>554</v>
      </c>
      <c r="AU542" s="1">
        <v>2022.0</v>
      </c>
      <c r="AV542" s="1">
        <v>15.0</v>
      </c>
      <c r="AW542" s="1">
        <v>12.0</v>
      </c>
      <c r="AX542" s="1" t="s">
        <v>74</v>
      </c>
      <c r="AY542" s="1" t="s">
        <v>74</v>
      </c>
      <c r="AZ542" s="1" t="s">
        <v>74</v>
      </c>
      <c r="BA542" s="1" t="s">
        <v>74</v>
      </c>
      <c r="BB542" s="1" t="s">
        <v>74</v>
      </c>
      <c r="BC542" s="1" t="s">
        <v>74</v>
      </c>
      <c r="BD542" s="1">
        <v>4408.0</v>
      </c>
      <c r="BE542" s="1" t="s">
        <v>5329</v>
      </c>
      <c r="BF542" s="2" t="str">
        <f>HYPERLINK("http://dx.doi.org/10.3390/en15124408","http://dx.doi.org/10.3390/en15124408")</f>
        <v>http://dx.doi.org/10.3390/en15124408</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5330</v>
      </c>
      <c r="BT542" s="1" t="str">
        <f>HYPERLINK("https%3A%2F%2Fwww.webofscience.com%2Fwos%2Fwoscc%2Ffull-record%2FWOS:000816539800001","View Full Record in Web of Science")</f>
        <v>View Full Record in Web of Science</v>
      </c>
    </row>
    <row r="543" ht="12.75" customHeight="1">
      <c r="A543" s="1" t="s">
        <v>72</v>
      </c>
      <c r="B543" s="1" t="s">
        <v>5331</v>
      </c>
      <c r="C543" s="1" t="s">
        <v>74</v>
      </c>
      <c r="D543" s="1" t="s">
        <v>74</v>
      </c>
      <c r="E543" s="1" t="s">
        <v>74</v>
      </c>
      <c r="F543" s="1" t="s">
        <v>5332</v>
      </c>
      <c r="G543" s="1" t="s">
        <v>74</v>
      </c>
      <c r="H543" s="1" t="s">
        <v>74</v>
      </c>
      <c r="I543" s="1" t="s">
        <v>5333</v>
      </c>
      <c r="J543" s="1" t="s">
        <v>5334</v>
      </c>
      <c r="K543" s="1" t="s">
        <v>74</v>
      </c>
      <c r="L543" s="1" t="s">
        <v>74</v>
      </c>
      <c r="M543" s="1" t="s">
        <v>74</v>
      </c>
      <c r="N543" s="1" t="s">
        <v>74</v>
      </c>
      <c r="O543" s="1" t="s">
        <v>74</v>
      </c>
      <c r="P543" s="1" t="s">
        <v>74</v>
      </c>
      <c r="Q543" s="1" t="s">
        <v>74</v>
      </c>
      <c r="R543" s="1" t="s">
        <v>74</v>
      </c>
      <c r="S543" s="1" t="s">
        <v>74</v>
      </c>
      <c r="T543" s="1" t="s">
        <v>74</v>
      </c>
      <c r="U543" s="1" t="s">
        <v>74</v>
      </c>
      <c r="V543" s="1" t="s">
        <v>5335</v>
      </c>
      <c r="W543" s="1" t="s">
        <v>74</v>
      </c>
      <c r="X543" s="1" t="s">
        <v>74</v>
      </c>
      <c r="Y543" s="1" t="s">
        <v>74</v>
      </c>
      <c r="Z543" s="1" t="s">
        <v>74</v>
      </c>
      <c r="AA543" s="1" t="s">
        <v>550</v>
      </c>
      <c r="AB543" s="1" t="s">
        <v>5336</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5337</v>
      </c>
      <c r="AP543" s="1" t="s">
        <v>5338</v>
      </c>
      <c r="AQ543" s="1" t="s">
        <v>74</v>
      </c>
      <c r="AR543" s="1" t="s">
        <v>74</v>
      </c>
      <c r="AS543" s="1" t="s">
        <v>74</v>
      </c>
      <c r="AT543" s="1" t="s">
        <v>95</v>
      </c>
      <c r="AU543" s="1">
        <v>2021.0</v>
      </c>
      <c r="AV543" s="1">
        <v>32.0</v>
      </c>
      <c r="AW543" s="1">
        <v>12.0</v>
      </c>
      <c r="AX543" s="1" t="s">
        <v>74</v>
      </c>
      <c r="AY543" s="1" t="s">
        <v>74</v>
      </c>
      <c r="AZ543" s="1" t="s">
        <v>74</v>
      </c>
      <c r="BA543" s="1" t="s">
        <v>74</v>
      </c>
      <c r="BB543" s="1" t="s">
        <v>74</v>
      </c>
      <c r="BC543" s="1" t="s">
        <v>74</v>
      </c>
      <c r="BD543" s="1">
        <v>125110.0</v>
      </c>
      <c r="BE543" s="1" t="s">
        <v>5339</v>
      </c>
      <c r="BF543" s="2" t="str">
        <f>HYPERLINK("http://dx.doi.org/10.1088/1361-6501/ac2437","http://dx.doi.org/10.1088/1361-6501/ac2437")</f>
        <v>http://dx.doi.org/10.1088/1361-6501/ac2437</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5340</v>
      </c>
      <c r="BT543" s="1" t="str">
        <f>HYPERLINK("https%3A%2F%2Fwww.webofscience.com%2Fwos%2Fwoscc%2Ffull-record%2FWOS:000697840400001","View Full Record in Web of Science")</f>
        <v>View Full Record in Web of Science</v>
      </c>
    </row>
    <row r="544" ht="12.75" customHeight="1">
      <c r="A544" s="1" t="s">
        <v>72</v>
      </c>
      <c r="B544" s="1" t="s">
        <v>5341</v>
      </c>
      <c r="C544" s="1" t="s">
        <v>74</v>
      </c>
      <c r="D544" s="1" t="s">
        <v>74</v>
      </c>
      <c r="E544" s="1" t="s">
        <v>74</v>
      </c>
      <c r="F544" s="1" t="s">
        <v>5342</v>
      </c>
      <c r="G544" s="1" t="s">
        <v>74</v>
      </c>
      <c r="H544" s="1" t="s">
        <v>74</v>
      </c>
      <c r="I544" s="1" t="s">
        <v>5343</v>
      </c>
      <c r="J544" s="1" t="s">
        <v>2959</v>
      </c>
      <c r="K544" s="1" t="s">
        <v>74</v>
      </c>
      <c r="L544" s="1" t="s">
        <v>74</v>
      </c>
      <c r="M544" s="1" t="s">
        <v>74</v>
      </c>
      <c r="N544" s="1" t="s">
        <v>74</v>
      </c>
      <c r="O544" s="1" t="s">
        <v>74</v>
      </c>
      <c r="P544" s="1" t="s">
        <v>74</v>
      </c>
      <c r="Q544" s="1" t="s">
        <v>74</v>
      </c>
      <c r="R544" s="1" t="s">
        <v>74</v>
      </c>
      <c r="S544" s="1" t="s">
        <v>74</v>
      </c>
      <c r="T544" s="1" t="s">
        <v>74</v>
      </c>
      <c r="U544" s="1" t="s">
        <v>74</v>
      </c>
      <c r="V544" s="1" t="s">
        <v>5344</v>
      </c>
      <c r="W544" s="1" t="s">
        <v>74</v>
      </c>
      <c r="X544" s="1" t="s">
        <v>74</v>
      </c>
      <c r="Y544" s="1" t="s">
        <v>74</v>
      </c>
      <c r="Z544" s="1" t="s">
        <v>74</v>
      </c>
      <c r="AA544" s="1" t="s">
        <v>5345</v>
      </c>
      <c r="AB544" s="1" t="s">
        <v>5346</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2963</v>
      </c>
      <c r="AP544" s="1" t="s">
        <v>2964</v>
      </c>
      <c r="AQ544" s="1" t="s">
        <v>74</v>
      </c>
      <c r="AR544" s="1" t="s">
        <v>74</v>
      </c>
      <c r="AS544" s="1" t="s">
        <v>74</v>
      </c>
      <c r="AT544" s="1" t="s">
        <v>4055</v>
      </c>
      <c r="AU544" s="1">
        <v>2021.0</v>
      </c>
      <c r="AV544" s="1">
        <v>99.0</v>
      </c>
      <c r="AW544" s="1" t="s">
        <v>74</v>
      </c>
      <c r="AX544" s="1" t="s">
        <v>74</v>
      </c>
      <c r="AY544" s="1" t="s">
        <v>74</v>
      </c>
      <c r="AZ544" s="1" t="s">
        <v>74</v>
      </c>
      <c r="BA544" s="1" t="s">
        <v>74</v>
      </c>
      <c r="BB544" s="1">
        <v>345.0</v>
      </c>
      <c r="BC544" s="1">
        <v>360.0</v>
      </c>
      <c r="BD544" s="1" t="s">
        <v>74</v>
      </c>
      <c r="BE544" s="1" t="s">
        <v>5347</v>
      </c>
      <c r="BF544" s="2" t="str">
        <f>HYPERLINK("http://dx.doi.org/10.1016/j.camwa.2021.08.018","http://dx.doi.org/10.1016/j.camwa.2021.08.018")</f>
        <v>http://dx.doi.org/10.1016/j.camwa.2021.08.018</v>
      </c>
      <c r="BG544" s="1" t="s">
        <v>74</v>
      </c>
      <c r="BH544" s="1" t="s">
        <v>543</v>
      </c>
      <c r="BI544" s="1" t="s">
        <v>74</v>
      </c>
      <c r="BJ544" s="1" t="s">
        <v>74</v>
      </c>
      <c r="BK544" s="1" t="s">
        <v>74</v>
      </c>
      <c r="BL544" s="1" t="s">
        <v>74</v>
      </c>
      <c r="BM544" s="1" t="s">
        <v>74</v>
      </c>
      <c r="BN544" s="1" t="s">
        <v>74</v>
      </c>
      <c r="BO544" s="1" t="s">
        <v>74</v>
      </c>
      <c r="BP544" s="1" t="s">
        <v>74</v>
      </c>
      <c r="BQ544" s="1" t="s">
        <v>74</v>
      </c>
      <c r="BR544" s="1" t="s">
        <v>74</v>
      </c>
      <c r="BS544" s="1" t="s">
        <v>5348</v>
      </c>
      <c r="BT544" s="1" t="str">
        <f>HYPERLINK("https%3A%2F%2Fwww.webofscience.com%2Fwos%2Fwoscc%2Ffull-record%2FWOS:000700062700005","View Full Record in Web of Science")</f>
        <v>View Full Record in Web of Science</v>
      </c>
    </row>
    <row r="545" ht="12.75" customHeight="1">
      <c r="A545" s="1" t="s">
        <v>72</v>
      </c>
      <c r="B545" s="1" t="s">
        <v>2142</v>
      </c>
      <c r="C545" s="1" t="s">
        <v>74</v>
      </c>
      <c r="D545" s="1" t="s">
        <v>74</v>
      </c>
      <c r="E545" s="1" t="s">
        <v>74</v>
      </c>
      <c r="F545" s="1" t="s">
        <v>3119</v>
      </c>
      <c r="G545" s="1" t="s">
        <v>74</v>
      </c>
      <c r="H545" s="1" t="s">
        <v>74</v>
      </c>
      <c r="I545" s="1" t="s">
        <v>5349</v>
      </c>
      <c r="J545" s="1" t="s">
        <v>5350</v>
      </c>
      <c r="K545" s="1" t="s">
        <v>74</v>
      </c>
      <c r="L545" s="1" t="s">
        <v>74</v>
      </c>
      <c r="M545" s="1" t="s">
        <v>74</v>
      </c>
      <c r="N545" s="1" t="s">
        <v>74</v>
      </c>
      <c r="O545" s="1" t="s">
        <v>74</v>
      </c>
      <c r="P545" s="1" t="s">
        <v>74</v>
      </c>
      <c r="Q545" s="1" t="s">
        <v>74</v>
      </c>
      <c r="R545" s="1" t="s">
        <v>74</v>
      </c>
      <c r="S545" s="1" t="s">
        <v>74</v>
      </c>
      <c r="T545" s="1" t="s">
        <v>74</v>
      </c>
      <c r="U545" s="1" t="s">
        <v>74</v>
      </c>
      <c r="V545" s="1" t="s">
        <v>74</v>
      </c>
      <c r="W545" s="1" t="s">
        <v>74</v>
      </c>
      <c r="X545" s="1" t="s">
        <v>74</v>
      </c>
      <c r="Y545" s="1" t="s">
        <v>74</v>
      </c>
      <c r="Z545" s="1" t="s">
        <v>74</v>
      </c>
      <c r="AA545" s="1" t="s">
        <v>74</v>
      </c>
      <c r="AB545" s="1" t="s">
        <v>74</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5351</v>
      </c>
      <c r="AP545" s="1" t="s">
        <v>5352</v>
      </c>
      <c r="AQ545" s="1" t="s">
        <v>74</v>
      </c>
      <c r="AR545" s="1" t="s">
        <v>74</v>
      </c>
      <c r="AS545" s="1" t="s">
        <v>74</v>
      </c>
      <c r="AT545" s="1" t="s">
        <v>596</v>
      </c>
      <c r="AU545" s="1">
        <v>2020.0</v>
      </c>
      <c r="AV545" s="1">
        <v>39.0</v>
      </c>
      <c r="AW545" s="1">
        <v>5.0</v>
      </c>
      <c r="AX545" s="1" t="s">
        <v>74</v>
      </c>
      <c r="AY545" s="1" t="s">
        <v>74</v>
      </c>
      <c r="AZ545" s="1" t="s">
        <v>74</v>
      </c>
      <c r="BA545" s="1" t="s">
        <v>74</v>
      </c>
      <c r="BB545" s="1">
        <v>658.0</v>
      </c>
      <c r="BC545" s="1">
        <v>659.0</v>
      </c>
      <c r="BD545" s="1" t="s">
        <v>74</v>
      </c>
      <c r="BE545" s="1" t="s">
        <v>5353</v>
      </c>
      <c r="BF545" s="2" t="str">
        <f>HYPERLINK("http://dx.doi.org/10.1111/blar.13202","http://dx.doi.org/10.1111/blar.13202")</f>
        <v>http://dx.doi.org/10.1111/blar.13202</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5354</v>
      </c>
      <c r="BT545" s="1" t="str">
        <f>HYPERLINK("https%3A%2F%2Fwww.webofscience.com%2Fwos%2Fwoscc%2Ffull-record%2FWOS:000589896800017","View Full Record in Web of Science")</f>
        <v>View Full Record in Web of Science</v>
      </c>
    </row>
    <row r="546" ht="12.75" customHeight="1">
      <c r="A546" s="1" t="s">
        <v>72</v>
      </c>
      <c r="B546" s="1" t="s">
        <v>5355</v>
      </c>
      <c r="C546" s="1" t="s">
        <v>74</v>
      </c>
      <c r="D546" s="1" t="s">
        <v>74</v>
      </c>
      <c r="E546" s="1" t="s">
        <v>74</v>
      </c>
      <c r="F546" s="1" t="s">
        <v>5356</v>
      </c>
      <c r="G546" s="1" t="s">
        <v>74</v>
      </c>
      <c r="H546" s="1" t="s">
        <v>74</v>
      </c>
      <c r="I546" s="1" t="s">
        <v>5357</v>
      </c>
      <c r="J546" s="1" t="s">
        <v>5358</v>
      </c>
      <c r="K546" s="1" t="s">
        <v>74</v>
      </c>
      <c r="L546" s="1" t="s">
        <v>74</v>
      </c>
      <c r="M546" s="1" t="s">
        <v>74</v>
      </c>
      <c r="N546" s="1" t="s">
        <v>74</v>
      </c>
      <c r="O546" s="1" t="s">
        <v>74</v>
      </c>
      <c r="P546" s="1" t="s">
        <v>74</v>
      </c>
      <c r="Q546" s="1" t="s">
        <v>74</v>
      </c>
      <c r="R546" s="1" t="s">
        <v>74</v>
      </c>
      <c r="S546" s="1" t="s">
        <v>74</v>
      </c>
      <c r="T546" s="1" t="s">
        <v>74</v>
      </c>
      <c r="U546" s="1" t="s">
        <v>74</v>
      </c>
      <c r="V546" s="1" t="s">
        <v>5359</v>
      </c>
      <c r="W546" s="1" t="s">
        <v>74</v>
      </c>
      <c r="X546" s="1" t="s">
        <v>74</v>
      </c>
      <c r="Y546" s="1" t="s">
        <v>74</v>
      </c>
      <c r="Z546" s="1" t="s">
        <v>74</v>
      </c>
      <c r="AA546" s="1" t="s">
        <v>5360</v>
      </c>
      <c r="AB546" s="1" t="s">
        <v>5361</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5362</v>
      </c>
      <c r="AP546" s="1" t="s">
        <v>5363</v>
      </c>
      <c r="AQ546" s="1" t="s">
        <v>74</v>
      </c>
      <c r="AR546" s="1" t="s">
        <v>74</v>
      </c>
      <c r="AS546" s="1" t="s">
        <v>74</v>
      </c>
      <c r="AT546" s="1" t="s">
        <v>164</v>
      </c>
      <c r="AU546" s="1">
        <v>2020.0</v>
      </c>
      <c r="AV546" s="1">
        <v>76.0</v>
      </c>
      <c r="AW546" s="1">
        <v>7.0</v>
      </c>
      <c r="AX546" s="1" t="s">
        <v>74</v>
      </c>
      <c r="AY546" s="1" t="s">
        <v>74</v>
      </c>
      <c r="AZ546" s="1" t="s">
        <v>74</v>
      </c>
      <c r="BA546" s="1" t="s">
        <v>74</v>
      </c>
      <c r="BB546" s="1">
        <v>2395.0</v>
      </c>
      <c r="BC546" s="1">
        <v>2405.0</v>
      </c>
      <c r="BD546" s="1" t="s">
        <v>74</v>
      </c>
      <c r="BE546" s="1" t="s">
        <v>5364</v>
      </c>
      <c r="BF546" s="2" t="str">
        <f>HYPERLINK("http://dx.doi.org/10.1002/ps.5776","http://dx.doi.org/10.1002/ps.5776")</f>
        <v>http://dx.doi.org/10.1002/ps.5776</v>
      </c>
      <c r="BG546" s="1" t="s">
        <v>74</v>
      </c>
      <c r="BH546" s="1" t="s">
        <v>5365</v>
      </c>
      <c r="BI546" s="1" t="s">
        <v>74</v>
      </c>
      <c r="BJ546" s="1" t="s">
        <v>74</v>
      </c>
      <c r="BK546" s="1" t="s">
        <v>74</v>
      </c>
      <c r="BL546" s="1" t="s">
        <v>74</v>
      </c>
      <c r="BM546" s="1" t="s">
        <v>74</v>
      </c>
      <c r="BN546" s="1">
        <v>3.2048441E7</v>
      </c>
      <c r="BO546" s="1" t="s">
        <v>74</v>
      </c>
      <c r="BP546" s="1" t="s">
        <v>74</v>
      </c>
      <c r="BQ546" s="1" t="s">
        <v>74</v>
      </c>
      <c r="BR546" s="1" t="s">
        <v>74</v>
      </c>
      <c r="BS546" s="1" t="s">
        <v>5366</v>
      </c>
      <c r="BT546" s="1" t="str">
        <f>HYPERLINK("https%3A%2F%2Fwww.webofscience.com%2Fwos%2Fwoscc%2Ffull-record%2FWOS:000514207400001","View Full Record in Web of Science")</f>
        <v>View Full Record in Web of Science</v>
      </c>
    </row>
    <row r="547" ht="12.75" customHeight="1">
      <c r="A547" s="1" t="s">
        <v>72</v>
      </c>
      <c r="B547" s="1" t="s">
        <v>5367</v>
      </c>
      <c r="C547" s="1" t="s">
        <v>74</v>
      </c>
      <c r="D547" s="1" t="s">
        <v>74</v>
      </c>
      <c r="E547" s="1" t="s">
        <v>74</v>
      </c>
      <c r="F547" s="1" t="s">
        <v>5368</v>
      </c>
      <c r="G547" s="1" t="s">
        <v>74</v>
      </c>
      <c r="H547" s="1" t="s">
        <v>74</v>
      </c>
      <c r="I547" s="1" t="s">
        <v>5369</v>
      </c>
      <c r="J547" s="1" t="s">
        <v>1930</v>
      </c>
      <c r="K547" s="1" t="s">
        <v>74</v>
      </c>
      <c r="L547" s="1" t="s">
        <v>74</v>
      </c>
      <c r="M547" s="1" t="s">
        <v>74</v>
      </c>
      <c r="N547" s="1" t="s">
        <v>74</v>
      </c>
      <c r="O547" s="1" t="s">
        <v>74</v>
      </c>
      <c r="P547" s="1" t="s">
        <v>74</v>
      </c>
      <c r="Q547" s="1" t="s">
        <v>74</v>
      </c>
      <c r="R547" s="1" t="s">
        <v>74</v>
      </c>
      <c r="S547" s="1" t="s">
        <v>74</v>
      </c>
      <c r="T547" s="1" t="s">
        <v>74</v>
      </c>
      <c r="U547" s="1" t="s">
        <v>74</v>
      </c>
      <c r="V547" s="1" t="s">
        <v>5370</v>
      </c>
      <c r="W547" s="1" t="s">
        <v>74</v>
      </c>
      <c r="X547" s="1" t="s">
        <v>74</v>
      </c>
      <c r="Y547" s="1" t="s">
        <v>74</v>
      </c>
      <c r="Z547" s="1" t="s">
        <v>74</v>
      </c>
      <c r="AA547" s="1" t="s">
        <v>5371</v>
      </c>
      <c r="AB547" s="1" t="s">
        <v>5372</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1934</v>
      </c>
      <c r="AP547" s="1" t="s">
        <v>4779</v>
      </c>
      <c r="AQ547" s="1" t="s">
        <v>74</v>
      </c>
      <c r="AR547" s="1" t="s">
        <v>74</v>
      </c>
      <c r="AS547" s="1" t="s">
        <v>74</v>
      </c>
      <c r="AT547" s="1" t="s">
        <v>5373</v>
      </c>
      <c r="AU547" s="1">
        <v>2018.0</v>
      </c>
      <c r="AV547" s="1">
        <v>155.0</v>
      </c>
      <c r="AW547" s="1" t="s">
        <v>74</v>
      </c>
      <c r="AX547" s="1" t="s">
        <v>74</v>
      </c>
      <c r="AY547" s="1" t="s">
        <v>74</v>
      </c>
      <c r="AZ547" s="1" t="s">
        <v>74</v>
      </c>
      <c r="BA547" s="1" t="s">
        <v>74</v>
      </c>
      <c r="BB547" s="1">
        <v>109.0</v>
      </c>
      <c r="BC547" s="1">
        <v>122.0</v>
      </c>
      <c r="BD547" s="1" t="s">
        <v>74</v>
      </c>
      <c r="BE547" s="1" t="s">
        <v>5374</v>
      </c>
      <c r="BF547" s="2" t="str">
        <f>HYPERLINK("http://dx.doi.org/10.1016/j.ijsolstr.2018.07.014","http://dx.doi.org/10.1016/j.ijsolstr.2018.07.014")</f>
        <v>http://dx.doi.org/10.1016/j.ijsolstr.2018.07.014</v>
      </c>
      <c r="BG547" s="1" t="s">
        <v>74</v>
      </c>
      <c r="BH547" s="1" t="s">
        <v>74</v>
      </c>
      <c r="BI547" s="1" t="s">
        <v>74</v>
      </c>
      <c r="BJ547" s="1" t="s">
        <v>74</v>
      </c>
      <c r="BK547" s="1" t="s">
        <v>74</v>
      </c>
      <c r="BL547" s="1" t="s">
        <v>74</v>
      </c>
      <c r="BM547" s="1" t="s">
        <v>74</v>
      </c>
      <c r="BN547" s="1" t="s">
        <v>74</v>
      </c>
      <c r="BO547" s="1" t="s">
        <v>74</v>
      </c>
      <c r="BP547" s="1" t="s">
        <v>74</v>
      </c>
      <c r="BQ547" s="1" t="s">
        <v>74</v>
      </c>
      <c r="BR547" s="1" t="s">
        <v>74</v>
      </c>
      <c r="BS547" s="1" t="s">
        <v>5375</v>
      </c>
      <c r="BT547" s="1" t="str">
        <f>HYPERLINK("https%3A%2F%2Fwww.webofscience.com%2Fwos%2Fwoscc%2Ffull-record%2FWOS:000453114100009","View Full Record in Web of Science")</f>
        <v>View Full Record in Web of Science</v>
      </c>
    </row>
    <row r="548" ht="12.75" customHeight="1">
      <c r="A548" s="1" t="s">
        <v>72</v>
      </c>
      <c r="B548" s="1" t="s">
        <v>1750</v>
      </c>
      <c r="C548" s="1" t="s">
        <v>74</v>
      </c>
      <c r="D548" s="1" t="s">
        <v>74</v>
      </c>
      <c r="E548" s="1" t="s">
        <v>74</v>
      </c>
      <c r="F548" s="1" t="s">
        <v>1751</v>
      </c>
      <c r="G548" s="1" t="s">
        <v>74</v>
      </c>
      <c r="H548" s="1" t="s">
        <v>74</v>
      </c>
      <c r="I548" s="1" t="s">
        <v>5376</v>
      </c>
      <c r="J548" s="1" t="s">
        <v>5377</v>
      </c>
      <c r="K548" s="1" t="s">
        <v>74</v>
      </c>
      <c r="L548" s="1" t="s">
        <v>74</v>
      </c>
      <c r="M548" s="1" t="s">
        <v>74</v>
      </c>
      <c r="N548" s="1" t="s">
        <v>74</v>
      </c>
      <c r="O548" s="1" t="s">
        <v>74</v>
      </c>
      <c r="P548" s="1" t="s">
        <v>74</v>
      </c>
      <c r="Q548" s="1" t="s">
        <v>74</v>
      </c>
      <c r="R548" s="1" t="s">
        <v>74</v>
      </c>
      <c r="S548" s="1" t="s">
        <v>74</v>
      </c>
      <c r="T548" s="1" t="s">
        <v>74</v>
      </c>
      <c r="U548" s="1" t="s">
        <v>74</v>
      </c>
      <c r="V548" s="1" t="s">
        <v>5378</v>
      </c>
      <c r="W548" s="1" t="s">
        <v>74</v>
      </c>
      <c r="X548" s="1" t="s">
        <v>74</v>
      </c>
      <c r="Y548" s="1" t="s">
        <v>74</v>
      </c>
      <c r="Z548" s="1" t="s">
        <v>74</v>
      </c>
      <c r="AA548" s="1" t="s">
        <v>5379</v>
      </c>
      <c r="AB548" s="1" t="s">
        <v>5380</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74</v>
      </c>
      <c r="AP548" s="1" t="s">
        <v>5381</v>
      </c>
      <c r="AQ548" s="1" t="s">
        <v>74</v>
      </c>
      <c r="AR548" s="1" t="s">
        <v>74</v>
      </c>
      <c r="AS548" s="1" t="s">
        <v>74</v>
      </c>
      <c r="AT548" s="1" t="s">
        <v>95</v>
      </c>
      <c r="AU548" s="1">
        <v>2018.0</v>
      </c>
      <c r="AV548" s="1">
        <v>11.0</v>
      </c>
      <c r="AW548" s="1">
        <v>4.0</v>
      </c>
      <c r="AX548" s="1" t="s">
        <v>74</v>
      </c>
      <c r="AY548" s="1" t="s">
        <v>74</v>
      </c>
      <c r="AZ548" s="1" t="s">
        <v>74</v>
      </c>
      <c r="BA548" s="1" t="s">
        <v>74</v>
      </c>
      <c r="BB548" s="1" t="s">
        <v>74</v>
      </c>
      <c r="BC548" s="1" t="s">
        <v>74</v>
      </c>
      <c r="BD548" s="1">
        <v>109.0</v>
      </c>
      <c r="BE548" s="1" t="s">
        <v>5382</v>
      </c>
      <c r="BF548" s="2" t="str">
        <f>HYPERLINK("http://dx.doi.org/10.3390/ph11040109","http://dx.doi.org/10.3390/ph11040109")</f>
        <v>http://dx.doi.org/10.3390/ph11040109</v>
      </c>
      <c r="BG548" s="1" t="s">
        <v>74</v>
      </c>
      <c r="BH548" s="1" t="s">
        <v>74</v>
      </c>
      <c r="BI548" s="1" t="s">
        <v>74</v>
      </c>
      <c r="BJ548" s="1" t="s">
        <v>74</v>
      </c>
      <c r="BK548" s="1" t="s">
        <v>74</v>
      </c>
      <c r="BL548" s="1" t="s">
        <v>74</v>
      </c>
      <c r="BM548" s="1" t="s">
        <v>74</v>
      </c>
      <c r="BN548" s="1">
        <v>3.0347635E7</v>
      </c>
      <c r="BO548" s="1" t="s">
        <v>74</v>
      </c>
      <c r="BP548" s="1" t="s">
        <v>74</v>
      </c>
      <c r="BQ548" s="1" t="s">
        <v>74</v>
      </c>
      <c r="BR548" s="1" t="s">
        <v>74</v>
      </c>
      <c r="BS548" s="1" t="s">
        <v>5383</v>
      </c>
      <c r="BT548" s="1" t="str">
        <f>HYPERLINK("https%3A%2F%2Fwww.webofscience.com%2Fwos%2Fwoscc%2Ffull-record%2FWOS:000455626400020","View Full Record in Web of Science")</f>
        <v>View Full Record in Web of Science</v>
      </c>
    </row>
    <row r="549" ht="12.75" customHeight="1">
      <c r="A549" s="1" t="s">
        <v>72</v>
      </c>
      <c r="B549" s="1" t="s">
        <v>661</v>
      </c>
      <c r="C549" s="1" t="s">
        <v>74</v>
      </c>
      <c r="D549" s="1" t="s">
        <v>74</v>
      </c>
      <c r="E549" s="1" t="s">
        <v>74</v>
      </c>
      <c r="F549" s="1" t="s">
        <v>662</v>
      </c>
      <c r="G549" s="1" t="s">
        <v>74</v>
      </c>
      <c r="H549" s="1" t="s">
        <v>74</v>
      </c>
      <c r="I549" s="1" t="s">
        <v>5384</v>
      </c>
      <c r="J549" s="1" t="s">
        <v>5385</v>
      </c>
      <c r="K549" s="1" t="s">
        <v>74</v>
      </c>
      <c r="L549" s="1" t="s">
        <v>74</v>
      </c>
      <c r="M549" s="1" t="s">
        <v>74</v>
      </c>
      <c r="N549" s="1" t="s">
        <v>74</v>
      </c>
      <c r="O549" s="1" t="s">
        <v>74</v>
      </c>
      <c r="P549" s="1" t="s">
        <v>74</v>
      </c>
      <c r="Q549" s="1" t="s">
        <v>74</v>
      </c>
      <c r="R549" s="1" t="s">
        <v>74</v>
      </c>
      <c r="S549" s="1" t="s">
        <v>74</v>
      </c>
      <c r="T549" s="1" t="s">
        <v>74</v>
      </c>
      <c r="U549" s="1" t="s">
        <v>74</v>
      </c>
      <c r="V549" s="1" t="s">
        <v>5386</v>
      </c>
      <c r="W549" s="1" t="s">
        <v>74</v>
      </c>
      <c r="X549" s="1" t="s">
        <v>74</v>
      </c>
      <c r="Y549" s="1" t="s">
        <v>74</v>
      </c>
      <c r="Z549" s="1" t="s">
        <v>74</v>
      </c>
      <c r="AA549" s="1" t="s">
        <v>666</v>
      </c>
      <c r="AB549" s="1" t="s">
        <v>5387</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5388</v>
      </c>
      <c r="AP549" s="1" t="s">
        <v>74</v>
      </c>
      <c r="AQ549" s="1" t="s">
        <v>74</v>
      </c>
      <c r="AR549" s="1" t="s">
        <v>74</v>
      </c>
      <c r="AS549" s="1" t="s">
        <v>74</v>
      </c>
      <c r="AT549" s="1" t="s">
        <v>496</v>
      </c>
      <c r="AU549" s="1">
        <v>2018.0</v>
      </c>
      <c r="AV549" s="1">
        <v>5.0</v>
      </c>
      <c r="AW549" s="1">
        <v>1.0</v>
      </c>
      <c r="AX549" s="1" t="s">
        <v>74</v>
      </c>
      <c r="AY549" s="1" t="s">
        <v>74</v>
      </c>
      <c r="AZ549" s="1" t="s">
        <v>297</v>
      </c>
      <c r="BA549" s="1" t="s">
        <v>74</v>
      </c>
      <c r="BB549" s="1">
        <v>65.0</v>
      </c>
      <c r="BC549" s="1">
        <v>79.0</v>
      </c>
      <c r="BD549" s="1" t="s">
        <v>74</v>
      </c>
      <c r="BE549" s="1" t="s">
        <v>5389</v>
      </c>
      <c r="BF549" s="2" t="str">
        <f>HYPERLINK("http://dx.doi.org/10.1021/acsphotonics.7b00728","http://dx.doi.org/10.1021/acsphotonics.7b00728")</f>
        <v>http://dx.doi.org/10.1021/acsphotonics.7b00728</v>
      </c>
      <c r="BG549" s="1" t="s">
        <v>74</v>
      </c>
      <c r="BH549" s="1" t="s">
        <v>74</v>
      </c>
      <c r="BI549" s="1" t="s">
        <v>74</v>
      </c>
      <c r="BJ549" s="1" t="s">
        <v>74</v>
      </c>
      <c r="BK549" s="1" t="s">
        <v>74</v>
      </c>
      <c r="BL549" s="1" t="s">
        <v>74</v>
      </c>
      <c r="BM549" s="1" t="s">
        <v>74</v>
      </c>
      <c r="BN549" s="1" t="s">
        <v>74</v>
      </c>
      <c r="BO549" s="1" t="s">
        <v>74</v>
      </c>
      <c r="BP549" s="1" t="s">
        <v>74</v>
      </c>
      <c r="BQ549" s="1" t="s">
        <v>74</v>
      </c>
      <c r="BR549" s="1" t="s">
        <v>74</v>
      </c>
      <c r="BS549" s="1" t="s">
        <v>5390</v>
      </c>
      <c r="BT549" s="1" t="str">
        <f>HYPERLINK("https%3A%2F%2Fwww.webofscience.com%2Fwos%2Fwoscc%2Ffull-record%2FWOS:000423140300006","View Full Record in Web of Science")</f>
        <v>View Full Record in Web of Science</v>
      </c>
    </row>
    <row r="550" ht="12.75" customHeight="1">
      <c r="A550" s="1" t="s">
        <v>346</v>
      </c>
      <c r="B550" s="1" t="s">
        <v>5391</v>
      </c>
      <c r="C550" s="1" t="s">
        <v>74</v>
      </c>
      <c r="D550" s="1" t="s">
        <v>1035</v>
      </c>
      <c r="E550" s="1" t="s">
        <v>74</v>
      </c>
      <c r="F550" s="1" t="s">
        <v>5392</v>
      </c>
      <c r="G550" s="1" t="s">
        <v>74</v>
      </c>
      <c r="H550" s="1" t="s">
        <v>74</v>
      </c>
      <c r="I550" s="1" t="s">
        <v>5393</v>
      </c>
      <c r="J550" s="1" t="s">
        <v>1038</v>
      </c>
      <c r="K550" s="1" t="s">
        <v>74</v>
      </c>
      <c r="L550" s="1" t="s">
        <v>74</v>
      </c>
      <c r="M550" s="1" t="s">
        <v>74</v>
      </c>
      <c r="N550" s="1" t="s">
        <v>74</v>
      </c>
      <c r="O550" s="1" t="s">
        <v>1039</v>
      </c>
      <c r="P550" s="1" t="s">
        <v>1040</v>
      </c>
      <c r="Q550" s="1" t="s">
        <v>1041</v>
      </c>
      <c r="R550" s="1" t="s">
        <v>1042</v>
      </c>
      <c r="S550" s="1" t="s">
        <v>74</v>
      </c>
      <c r="T550" s="1" t="s">
        <v>74</v>
      </c>
      <c r="U550" s="1" t="s">
        <v>74</v>
      </c>
      <c r="V550" s="1" t="s">
        <v>5394</v>
      </c>
      <c r="W550" s="1" t="s">
        <v>74</v>
      </c>
      <c r="X550" s="1" t="s">
        <v>74</v>
      </c>
      <c r="Y550" s="1" t="s">
        <v>74</v>
      </c>
      <c r="Z550" s="1" t="s">
        <v>74</v>
      </c>
      <c r="AA550" s="1" t="s">
        <v>1044</v>
      </c>
      <c r="AB550" s="1" t="s">
        <v>5395</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74</v>
      </c>
      <c r="AP550" s="1" t="s">
        <v>74</v>
      </c>
      <c r="AQ550" s="1" t="s">
        <v>1046</v>
      </c>
      <c r="AR550" s="1" t="s">
        <v>74</v>
      </c>
      <c r="AS550" s="1" t="s">
        <v>74</v>
      </c>
      <c r="AT550" s="1" t="s">
        <v>74</v>
      </c>
      <c r="AU550" s="1">
        <v>2018.0</v>
      </c>
      <c r="AV550" s="1" t="s">
        <v>74</v>
      </c>
      <c r="AW550" s="1" t="s">
        <v>74</v>
      </c>
      <c r="AX550" s="1" t="s">
        <v>74</v>
      </c>
      <c r="AY550" s="1" t="s">
        <v>74</v>
      </c>
      <c r="AZ550" s="1" t="s">
        <v>74</v>
      </c>
      <c r="BA550" s="1" t="s">
        <v>74</v>
      </c>
      <c r="BB550" s="1" t="s">
        <v>74</v>
      </c>
      <c r="BC550" s="1" t="s">
        <v>74</v>
      </c>
      <c r="BD550" s="1" t="s">
        <v>74</v>
      </c>
      <c r="BE550" s="1" t="s">
        <v>74</v>
      </c>
      <c r="BF550" s="1" t="s">
        <v>74</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5396</v>
      </c>
      <c r="BT550" s="1" t="str">
        <f>HYPERLINK("https%3A%2F%2Fwww.webofscience.com%2Fwos%2Fwoscc%2Ffull-record%2FWOS:000458417600054","View Full Record in Web of Science")</f>
        <v>View Full Record in Web of Science</v>
      </c>
    </row>
    <row r="551" ht="12.75" customHeight="1">
      <c r="A551" s="1" t="s">
        <v>72</v>
      </c>
      <c r="B551" s="1" t="s">
        <v>5397</v>
      </c>
      <c r="C551" s="1" t="s">
        <v>74</v>
      </c>
      <c r="D551" s="1" t="s">
        <v>74</v>
      </c>
      <c r="E551" s="1" t="s">
        <v>74</v>
      </c>
      <c r="F551" s="1" t="s">
        <v>5398</v>
      </c>
      <c r="G551" s="1" t="s">
        <v>74</v>
      </c>
      <c r="H551" s="1" t="s">
        <v>74</v>
      </c>
      <c r="I551" s="1" t="s">
        <v>5399</v>
      </c>
      <c r="J551" s="1" t="s">
        <v>5400</v>
      </c>
      <c r="K551" s="1" t="s">
        <v>74</v>
      </c>
      <c r="L551" s="1" t="s">
        <v>74</v>
      </c>
      <c r="M551" s="1" t="s">
        <v>74</v>
      </c>
      <c r="N551" s="1" t="s">
        <v>74</v>
      </c>
      <c r="O551" s="1" t="s">
        <v>74</v>
      </c>
      <c r="P551" s="1" t="s">
        <v>74</v>
      </c>
      <c r="Q551" s="1" t="s">
        <v>74</v>
      </c>
      <c r="R551" s="1" t="s">
        <v>74</v>
      </c>
      <c r="S551" s="1" t="s">
        <v>74</v>
      </c>
      <c r="T551" s="1" t="s">
        <v>74</v>
      </c>
      <c r="U551" s="1" t="s">
        <v>74</v>
      </c>
      <c r="V551" s="1" t="s">
        <v>5401</v>
      </c>
      <c r="W551" s="1" t="s">
        <v>74</v>
      </c>
      <c r="X551" s="1" t="s">
        <v>74</v>
      </c>
      <c r="Y551" s="1" t="s">
        <v>74</v>
      </c>
      <c r="Z551" s="1" t="s">
        <v>74</v>
      </c>
      <c r="AA551" s="1" t="s">
        <v>5402</v>
      </c>
      <c r="AB551" s="1" t="s">
        <v>5403</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5404</v>
      </c>
      <c r="AP551" s="1" t="s">
        <v>5405</v>
      </c>
      <c r="AQ551" s="1" t="s">
        <v>74</v>
      </c>
      <c r="AR551" s="1" t="s">
        <v>74</v>
      </c>
      <c r="AS551" s="1" t="s">
        <v>74</v>
      </c>
      <c r="AT551" s="1" t="s">
        <v>74</v>
      </c>
      <c r="AU551" s="1">
        <v>2017.0</v>
      </c>
      <c r="AV551" s="1">
        <v>35.0</v>
      </c>
      <c r="AW551" s="1">
        <v>1.0</v>
      </c>
      <c r="AX551" s="1" t="s">
        <v>74</v>
      </c>
      <c r="AY551" s="1" t="s">
        <v>74</v>
      </c>
      <c r="AZ551" s="1" t="s">
        <v>74</v>
      </c>
      <c r="BA551" s="1" t="s">
        <v>74</v>
      </c>
      <c r="BB551" s="1">
        <v>71.0</v>
      </c>
      <c r="BC551" s="1">
        <v>88.0</v>
      </c>
      <c r="BD551" s="1" t="s">
        <v>74</v>
      </c>
      <c r="BE551" s="1" t="s">
        <v>5406</v>
      </c>
      <c r="BF551" s="2" t="str">
        <f>HYPERLINK("http://dx.doi.org/10.5565/rev/ensciencias.1730","http://dx.doi.org/10.5565/rev/ensciencias.1730")</f>
        <v>http://dx.doi.org/10.5565/rev/ensciencias.1730</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5407</v>
      </c>
      <c r="BT551" s="1" t="str">
        <f>HYPERLINK("https%3A%2F%2Fwww.webofscience.com%2Fwos%2Fwoscc%2Ffull-record%2FWOS:000396501800004","View Full Record in Web of Science")</f>
        <v>View Full Record in Web of Science</v>
      </c>
    </row>
    <row r="552" ht="12.75" customHeight="1">
      <c r="A552" s="1" t="s">
        <v>72</v>
      </c>
      <c r="B552" s="1" t="s">
        <v>5408</v>
      </c>
      <c r="C552" s="1" t="s">
        <v>74</v>
      </c>
      <c r="D552" s="1" t="s">
        <v>74</v>
      </c>
      <c r="E552" s="1" t="s">
        <v>74</v>
      </c>
      <c r="F552" s="1" t="s">
        <v>5409</v>
      </c>
      <c r="G552" s="1" t="s">
        <v>74</v>
      </c>
      <c r="H552" s="1" t="s">
        <v>74</v>
      </c>
      <c r="I552" s="1" t="s">
        <v>5410</v>
      </c>
      <c r="J552" s="1" t="s">
        <v>5411</v>
      </c>
      <c r="K552" s="1" t="s">
        <v>74</v>
      </c>
      <c r="L552" s="1" t="s">
        <v>74</v>
      </c>
      <c r="M552" s="1" t="s">
        <v>74</v>
      </c>
      <c r="N552" s="1" t="s">
        <v>74</v>
      </c>
      <c r="O552" s="1" t="s">
        <v>74</v>
      </c>
      <c r="P552" s="1" t="s">
        <v>74</v>
      </c>
      <c r="Q552" s="1" t="s">
        <v>74</v>
      </c>
      <c r="R552" s="1" t="s">
        <v>74</v>
      </c>
      <c r="S552" s="1" t="s">
        <v>74</v>
      </c>
      <c r="T552" s="1" t="s">
        <v>74</v>
      </c>
      <c r="U552" s="1" t="s">
        <v>74</v>
      </c>
      <c r="V552" s="1" t="s">
        <v>5412</v>
      </c>
      <c r="W552" s="1" t="s">
        <v>74</v>
      </c>
      <c r="X552" s="1" t="s">
        <v>74</v>
      </c>
      <c r="Y552" s="1" t="s">
        <v>74</v>
      </c>
      <c r="Z552" s="1" t="s">
        <v>74</v>
      </c>
      <c r="AA552" s="1" t="s">
        <v>5413</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5414</v>
      </c>
      <c r="AP552" s="1" t="s">
        <v>74</v>
      </c>
      <c r="AQ552" s="1" t="s">
        <v>74</v>
      </c>
      <c r="AR552" s="1" t="s">
        <v>74</v>
      </c>
      <c r="AS552" s="1" t="s">
        <v>74</v>
      </c>
      <c r="AT552" s="1" t="s">
        <v>554</v>
      </c>
      <c r="AU552" s="1">
        <v>2016.0</v>
      </c>
      <c r="AV552" s="1">
        <v>73.0</v>
      </c>
      <c r="AW552" s="1">
        <v>1.0</v>
      </c>
      <c r="AX552" s="1" t="s">
        <v>74</v>
      </c>
      <c r="AY552" s="1" t="s">
        <v>74</v>
      </c>
      <c r="AZ552" s="1" t="s">
        <v>74</v>
      </c>
      <c r="BA552" s="1" t="s">
        <v>74</v>
      </c>
      <c r="BB552" s="1">
        <v>85.0</v>
      </c>
      <c r="BC552" s="1">
        <v>103.0</v>
      </c>
      <c r="BD552" s="1" t="s">
        <v>74</v>
      </c>
      <c r="BE552" s="1" t="s">
        <v>5415</v>
      </c>
      <c r="BF552" s="2" t="str">
        <f>HYPERLINK("http://dx.doi.org/10.4067/S0717-66432016000100011","http://dx.doi.org/10.4067/S0717-66432016000100011")</f>
        <v>http://dx.doi.org/10.4067/S0717-66432016000100011</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5416</v>
      </c>
      <c r="BT552" s="1" t="str">
        <f>HYPERLINK("https%3A%2F%2Fwww.webofscience.com%2Fwos%2Fwoscc%2Ffull-record%2FWOS:000383443500011","View Full Record in Web of Science")</f>
        <v>View Full Record in Web of Science</v>
      </c>
    </row>
    <row r="553" ht="12.75" customHeight="1">
      <c r="A553" s="1" t="s">
        <v>72</v>
      </c>
      <c r="B553" s="1" t="s">
        <v>5417</v>
      </c>
      <c r="C553" s="1" t="s">
        <v>74</v>
      </c>
      <c r="D553" s="1" t="s">
        <v>74</v>
      </c>
      <c r="E553" s="1" t="s">
        <v>74</v>
      </c>
      <c r="F553" s="1" t="s">
        <v>5418</v>
      </c>
      <c r="G553" s="1" t="s">
        <v>74</v>
      </c>
      <c r="H553" s="1" t="s">
        <v>74</v>
      </c>
      <c r="I553" s="1" t="s">
        <v>5419</v>
      </c>
      <c r="J553" s="1" t="s">
        <v>5185</v>
      </c>
      <c r="K553" s="1" t="s">
        <v>74</v>
      </c>
      <c r="L553" s="1" t="s">
        <v>74</v>
      </c>
      <c r="M553" s="1" t="s">
        <v>74</v>
      </c>
      <c r="N553" s="1" t="s">
        <v>74</v>
      </c>
      <c r="O553" s="1" t="s">
        <v>74</v>
      </c>
      <c r="P553" s="1" t="s">
        <v>74</v>
      </c>
      <c r="Q553" s="1" t="s">
        <v>74</v>
      </c>
      <c r="R553" s="1" t="s">
        <v>74</v>
      </c>
      <c r="S553" s="1" t="s">
        <v>74</v>
      </c>
      <c r="T553" s="1" t="s">
        <v>74</v>
      </c>
      <c r="U553" s="1" t="s">
        <v>74</v>
      </c>
      <c r="V553" s="1" t="s">
        <v>5420</v>
      </c>
      <c r="W553" s="1" t="s">
        <v>74</v>
      </c>
      <c r="X553" s="1" t="s">
        <v>74</v>
      </c>
      <c r="Y553" s="1" t="s">
        <v>74</v>
      </c>
      <c r="Z553" s="1" t="s">
        <v>74</v>
      </c>
      <c r="AA553" s="1" t="s">
        <v>5421</v>
      </c>
      <c r="AB553" s="1" t="s">
        <v>74</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5189</v>
      </c>
      <c r="AP553" s="1" t="s">
        <v>74</v>
      </c>
      <c r="AQ553" s="1" t="s">
        <v>74</v>
      </c>
      <c r="AR553" s="1" t="s">
        <v>74</v>
      </c>
      <c r="AS553" s="1" t="s">
        <v>74</v>
      </c>
      <c r="AT553" s="1" t="s">
        <v>461</v>
      </c>
      <c r="AU553" s="1">
        <v>2012.0</v>
      </c>
      <c r="AV553" s="1">
        <v>7.0</v>
      </c>
      <c r="AW553" s="1">
        <v>9.0</v>
      </c>
      <c r="AX553" s="1" t="s">
        <v>74</v>
      </c>
      <c r="AY553" s="1" t="s">
        <v>74</v>
      </c>
      <c r="AZ553" s="1" t="s">
        <v>74</v>
      </c>
      <c r="BA553" s="1" t="s">
        <v>74</v>
      </c>
      <c r="BB553" s="1">
        <v>8794.0</v>
      </c>
      <c r="BC553" s="1">
        <v>8812.0</v>
      </c>
      <c r="BD553" s="1" t="s">
        <v>74</v>
      </c>
      <c r="BE553" s="1" t="s">
        <v>74</v>
      </c>
      <c r="BF553" s="1" t="s">
        <v>74</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5422</v>
      </c>
      <c r="BT553" s="1" t="str">
        <f>HYPERLINK("https%3A%2F%2Fwww.webofscience.com%2Fwos%2Fwoscc%2Ffull-record%2FWOS:000309206900076","View Full Record in Web of Science")</f>
        <v>View Full Record in Web of Science</v>
      </c>
    </row>
    <row r="554" ht="12.75" customHeight="1">
      <c r="A554" s="1" t="s">
        <v>72</v>
      </c>
      <c r="B554" s="1" t="s">
        <v>5423</v>
      </c>
      <c r="C554" s="1" t="s">
        <v>74</v>
      </c>
      <c r="D554" s="1" t="s">
        <v>74</v>
      </c>
      <c r="E554" s="1" t="s">
        <v>74</v>
      </c>
      <c r="F554" s="1" t="s">
        <v>5424</v>
      </c>
      <c r="G554" s="1" t="s">
        <v>74</v>
      </c>
      <c r="H554" s="1" t="s">
        <v>74</v>
      </c>
      <c r="I554" s="1" t="s">
        <v>5425</v>
      </c>
      <c r="J554" s="1" t="s">
        <v>5426</v>
      </c>
      <c r="K554" s="1" t="s">
        <v>74</v>
      </c>
      <c r="L554" s="1" t="s">
        <v>74</v>
      </c>
      <c r="M554" s="1" t="s">
        <v>74</v>
      </c>
      <c r="N554" s="1" t="s">
        <v>74</v>
      </c>
      <c r="O554" s="1" t="s">
        <v>74</v>
      </c>
      <c r="P554" s="1" t="s">
        <v>74</v>
      </c>
      <c r="Q554" s="1" t="s">
        <v>74</v>
      </c>
      <c r="R554" s="1" t="s">
        <v>74</v>
      </c>
      <c r="S554" s="1" t="s">
        <v>74</v>
      </c>
      <c r="T554" s="1" t="s">
        <v>74</v>
      </c>
      <c r="U554" s="1" t="s">
        <v>74</v>
      </c>
      <c r="V554" s="1" t="s">
        <v>5427</v>
      </c>
      <c r="W554" s="1" t="s">
        <v>74</v>
      </c>
      <c r="X554" s="1" t="s">
        <v>74</v>
      </c>
      <c r="Y554" s="1" t="s">
        <v>74</v>
      </c>
      <c r="Z554" s="1" t="s">
        <v>74</v>
      </c>
      <c r="AA554" s="1" t="s">
        <v>2872</v>
      </c>
      <c r="AB554" s="1" t="s">
        <v>5428</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5429</v>
      </c>
      <c r="AP554" s="1" t="s">
        <v>74</v>
      </c>
      <c r="AQ554" s="1" t="s">
        <v>74</v>
      </c>
      <c r="AR554" s="1" t="s">
        <v>74</v>
      </c>
      <c r="AS554" s="1" t="s">
        <v>74</v>
      </c>
      <c r="AT554" s="1" t="s">
        <v>107</v>
      </c>
      <c r="AU554" s="1">
        <v>2012.0</v>
      </c>
      <c r="AV554" s="1">
        <v>11.0</v>
      </c>
      <c r="AW554" s="1">
        <v>3.0</v>
      </c>
      <c r="AX554" s="1" t="s">
        <v>74</v>
      </c>
      <c r="AY554" s="1" t="s">
        <v>74</v>
      </c>
      <c r="AZ554" s="1" t="s">
        <v>74</v>
      </c>
      <c r="BA554" s="1" t="s">
        <v>74</v>
      </c>
      <c r="BB554" s="1">
        <v>323.0</v>
      </c>
      <c r="BC554" s="1">
        <v>337.0</v>
      </c>
      <c r="BD554" s="1" t="s">
        <v>74</v>
      </c>
      <c r="BE554" s="1" t="s">
        <v>5430</v>
      </c>
      <c r="BF554" s="2" t="str">
        <f>HYPERLINK("http://dx.doi.org/10.1111/j.1541-4337.2012.00186.x","http://dx.doi.org/10.1111/j.1541-4337.2012.00186.x")</f>
        <v>http://dx.doi.org/10.1111/j.1541-4337.2012.00186.x</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5431</v>
      </c>
      <c r="BT554" s="1" t="str">
        <f>HYPERLINK("https%3A%2F%2Fwww.webofscience.com%2Fwos%2Fwoscc%2Ffull-record%2FWOS:000302539100003","View Full Record in Web of Science")</f>
        <v>View Full Record in Web of Science</v>
      </c>
    </row>
    <row r="555" ht="12.75" customHeight="1">
      <c r="A555" s="1" t="s">
        <v>72</v>
      </c>
      <c r="B555" s="1" t="s">
        <v>5432</v>
      </c>
      <c r="C555" s="1" t="s">
        <v>74</v>
      </c>
      <c r="D555" s="1" t="s">
        <v>74</v>
      </c>
      <c r="E555" s="1" t="s">
        <v>74</v>
      </c>
      <c r="F555" s="1" t="s">
        <v>5433</v>
      </c>
      <c r="G555" s="1" t="s">
        <v>74</v>
      </c>
      <c r="H555" s="1" t="s">
        <v>74</v>
      </c>
      <c r="I555" s="1" t="s">
        <v>5434</v>
      </c>
      <c r="J555" s="1" t="s">
        <v>5435</v>
      </c>
      <c r="K555" s="1" t="s">
        <v>74</v>
      </c>
      <c r="L555" s="1" t="s">
        <v>74</v>
      </c>
      <c r="M555" s="1" t="s">
        <v>74</v>
      </c>
      <c r="N555" s="1" t="s">
        <v>74</v>
      </c>
      <c r="O555" s="1" t="s">
        <v>74</v>
      </c>
      <c r="P555" s="1" t="s">
        <v>74</v>
      </c>
      <c r="Q555" s="1" t="s">
        <v>74</v>
      </c>
      <c r="R555" s="1" t="s">
        <v>74</v>
      </c>
      <c r="S555" s="1" t="s">
        <v>74</v>
      </c>
      <c r="T555" s="1" t="s">
        <v>74</v>
      </c>
      <c r="U555" s="1" t="s">
        <v>74</v>
      </c>
      <c r="V555" s="1" t="s">
        <v>5436</v>
      </c>
      <c r="W555" s="1" t="s">
        <v>74</v>
      </c>
      <c r="X555" s="1" t="s">
        <v>74</v>
      </c>
      <c r="Y555" s="1" t="s">
        <v>74</v>
      </c>
      <c r="Z555" s="1" t="s">
        <v>74</v>
      </c>
      <c r="AA555" s="1" t="s">
        <v>5437</v>
      </c>
      <c r="AB555" s="1" t="s">
        <v>5438</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5439</v>
      </c>
      <c r="AP555" s="1" t="s">
        <v>74</v>
      </c>
      <c r="AQ555" s="1" t="s">
        <v>74</v>
      </c>
      <c r="AR555" s="1" t="s">
        <v>74</v>
      </c>
      <c r="AS555" s="1" t="s">
        <v>74</v>
      </c>
      <c r="AT555" s="1" t="s">
        <v>187</v>
      </c>
      <c r="AU555" s="1">
        <v>2012.0</v>
      </c>
      <c r="AV555" s="1" t="s">
        <v>74</v>
      </c>
      <c r="AW555" s="1">
        <v>10.0</v>
      </c>
      <c r="AX555" s="1" t="s">
        <v>74</v>
      </c>
      <c r="AY555" s="1" t="s">
        <v>74</v>
      </c>
      <c r="AZ555" s="1" t="s">
        <v>74</v>
      </c>
      <c r="BA555" s="1" t="s">
        <v>74</v>
      </c>
      <c r="BB555" s="1">
        <v>1579.0</v>
      </c>
      <c r="BC555" s="1">
        <v>1583.0</v>
      </c>
      <c r="BD555" s="1" t="s">
        <v>74</v>
      </c>
      <c r="BE555" s="1" t="s">
        <v>5440</v>
      </c>
      <c r="BF555" s="2" t="str">
        <f>HYPERLINK("http://dx.doi.org/10.1002/ejic.201101356","http://dx.doi.org/10.1002/ejic.201101356")</f>
        <v>http://dx.doi.org/10.1002/ejic.201101356</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5441</v>
      </c>
      <c r="BT555" s="1" t="str">
        <f>HYPERLINK("https%3A%2F%2Fwww.webofscience.com%2Fwos%2Fwoscc%2Ffull-record%2FWOS:000301986600002","View Full Record in Web of Science")</f>
        <v>View Full Record in Web of Science</v>
      </c>
    </row>
    <row r="556" ht="12.75" customHeight="1">
      <c r="A556" s="1" t="s">
        <v>72</v>
      </c>
      <c r="B556" s="1" t="s">
        <v>5442</v>
      </c>
      <c r="C556" s="1" t="s">
        <v>74</v>
      </c>
      <c r="D556" s="1" t="s">
        <v>74</v>
      </c>
      <c r="E556" s="1" t="s">
        <v>74</v>
      </c>
      <c r="F556" s="1" t="s">
        <v>5443</v>
      </c>
      <c r="G556" s="1" t="s">
        <v>74</v>
      </c>
      <c r="H556" s="1" t="s">
        <v>74</v>
      </c>
      <c r="I556" s="1" t="s">
        <v>5444</v>
      </c>
      <c r="J556" s="1" t="s">
        <v>5445</v>
      </c>
      <c r="K556" s="1" t="s">
        <v>74</v>
      </c>
      <c r="L556" s="1" t="s">
        <v>74</v>
      </c>
      <c r="M556" s="1" t="s">
        <v>74</v>
      </c>
      <c r="N556" s="1" t="s">
        <v>74</v>
      </c>
      <c r="O556" s="1" t="s">
        <v>74</v>
      </c>
      <c r="P556" s="1" t="s">
        <v>74</v>
      </c>
      <c r="Q556" s="1" t="s">
        <v>74</v>
      </c>
      <c r="R556" s="1" t="s">
        <v>74</v>
      </c>
      <c r="S556" s="1" t="s">
        <v>74</v>
      </c>
      <c r="T556" s="1" t="s">
        <v>74</v>
      </c>
      <c r="U556" s="1" t="s">
        <v>74</v>
      </c>
      <c r="V556" s="1" t="s">
        <v>5446</v>
      </c>
      <c r="W556" s="1" t="s">
        <v>74</v>
      </c>
      <c r="X556" s="1" t="s">
        <v>74</v>
      </c>
      <c r="Y556" s="1" t="s">
        <v>74</v>
      </c>
      <c r="Z556" s="1" t="s">
        <v>74</v>
      </c>
      <c r="AA556" s="1" t="s">
        <v>74</v>
      </c>
      <c r="AB556" s="1" t="s">
        <v>74</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5447</v>
      </c>
      <c r="AP556" s="1" t="s">
        <v>74</v>
      </c>
      <c r="AQ556" s="1" t="s">
        <v>74</v>
      </c>
      <c r="AR556" s="1" t="s">
        <v>74</v>
      </c>
      <c r="AS556" s="1" t="s">
        <v>74</v>
      </c>
      <c r="AT556" s="1" t="s">
        <v>74</v>
      </c>
      <c r="AU556" s="1">
        <v>2011.0</v>
      </c>
      <c r="AV556" s="1">
        <v>30.0</v>
      </c>
      <c r="AW556" s="1">
        <v>1.0</v>
      </c>
      <c r="AX556" s="1" t="s">
        <v>74</v>
      </c>
      <c r="AY556" s="1" t="s">
        <v>74</v>
      </c>
      <c r="AZ556" s="1" t="s">
        <v>74</v>
      </c>
      <c r="BA556" s="1" t="s">
        <v>74</v>
      </c>
      <c r="BB556" s="1">
        <v>77.0</v>
      </c>
      <c r="BC556" s="1">
        <v>80.0</v>
      </c>
      <c r="BD556" s="1" t="s">
        <v>74</v>
      </c>
      <c r="BE556" s="1" t="s">
        <v>5448</v>
      </c>
      <c r="BF556" s="2" t="str">
        <f>HYPERLINK("http://dx.doi.org/10.1159/000322918","http://dx.doi.org/10.1159/000322918")</f>
        <v>http://dx.doi.org/10.1159/000322918</v>
      </c>
      <c r="BG556" s="1" t="s">
        <v>74</v>
      </c>
      <c r="BH556" s="1" t="s">
        <v>74</v>
      </c>
      <c r="BI556" s="1" t="s">
        <v>74</v>
      </c>
      <c r="BJ556" s="1" t="s">
        <v>74</v>
      </c>
      <c r="BK556" s="1" t="s">
        <v>74</v>
      </c>
      <c r="BL556" s="1" t="s">
        <v>74</v>
      </c>
      <c r="BM556" s="1" t="s">
        <v>74</v>
      </c>
      <c r="BN556" s="1">
        <v>2.1212653E7</v>
      </c>
      <c r="BO556" s="1" t="s">
        <v>74</v>
      </c>
      <c r="BP556" s="1" t="s">
        <v>74</v>
      </c>
      <c r="BQ556" s="1" t="s">
        <v>74</v>
      </c>
      <c r="BR556" s="1" t="s">
        <v>74</v>
      </c>
      <c r="BS556" s="1" t="s">
        <v>5449</v>
      </c>
      <c r="BT556" s="1" t="str">
        <f>HYPERLINK("https%3A%2F%2Fwww.webofscience.com%2Fwos%2Fwoscc%2Ffull-record%2FWOS:000293592400012","View Full Record in Web of Science")</f>
        <v>View Full Record in Web of Science</v>
      </c>
    </row>
    <row r="557" ht="12.75" customHeight="1">
      <c r="A557" s="1" t="s">
        <v>72</v>
      </c>
      <c r="B557" s="1" t="s">
        <v>5450</v>
      </c>
      <c r="C557" s="1" t="s">
        <v>74</v>
      </c>
      <c r="D557" s="1" t="s">
        <v>74</v>
      </c>
      <c r="E557" s="1" t="s">
        <v>74</v>
      </c>
      <c r="F557" s="1" t="s">
        <v>5451</v>
      </c>
      <c r="G557" s="1" t="s">
        <v>74</v>
      </c>
      <c r="H557" s="1" t="s">
        <v>74</v>
      </c>
      <c r="I557" s="1" t="s">
        <v>5452</v>
      </c>
      <c r="J557" s="1" t="s">
        <v>5453</v>
      </c>
      <c r="K557" s="1" t="s">
        <v>74</v>
      </c>
      <c r="L557" s="1" t="s">
        <v>74</v>
      </c>
      <c r="M557" s="1" t="s">
        <v>74</v>
      </c>
      <c r="N557" s="1" t="s">
        <v>74</v>
      </c>
      <c r="O557" s="1" t="s">
        <v>74</v>
      </c>
      <c r="P557" s="1" t="s">
        <v>74</v>
      </c>
      <c r="Q557" s="1" t="s">
        <v>74</v>
      </c>
      <c r="R557" s="1" t="s">
        <v>74</v>
      </c>
      <c r="S557" s="1" t="s">
        <v>74</v>
      </c>
      <c r="T557" s="1" t="s">
        <v>74</v>
      </c>
      <c r="U557" s="1" t="s">
        <v>74</v>
      </c>
      <c r="V557" s="1" t="s">
        <v>5454</v>
      </c>
      <c r="W557" s="1" t="s">
        <v>74</v>
      </c>
      <c r="X557" s="1" t="s">
        <v>74</v>
      </c>
      <c r="Y557" s="1" t="s">
        <v>74</v>
      </c>
      <c r="Z557" s="1" t="s">
        <v>74</v>
      </c>
      <c r="AA557" s="1" t="s">
        <v>1569</v>
      </c>
      <c r="AB557" s="1" t="s">
        <v>5455</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5456</v>
      </c>
      <c r="AP557" s="1" t="s">
        <v>74</v>
      </c>
      <c r="AQ557" s="1" t="s">
        <v>74</v>
      </c>
      <c r="AR557" s="1" t="s">
        <v>74</v>
      </c>
      <c r="AS557" s="1" t="s">
        <v>74</v>
      </c>
      <c r="AT557" s="1" t="s">
        <v>496</v>
      </c>
      <c r="AU557" s="1">
        <v>2010.0</v>
      </c>
      <c r="AV557" s="1">
        <v>37.0</v>
      </c>
      <c r="AW557" s="1">
        <v>1.0</v>
      </c>
      <c r="AX557" s="1" t="s">
        <v>74</v>
      </c>
      <c r="AY557" s="1" t="s">
        <v>74</v>
      </c>
      <c r="AZ557" s="1" t="s">
        <v>74</v>
      </c>
      <c r="BA557" s="1" t="s">
        <v>74</v>
      </c>
      <c r="BB557" s="1">
        <v>110.0</v>
      </c>
      <c r="BC557" s="1">
        <v>120.0</v>
      </c>
      <c r="BD557" s="1" t="s">
        <v>74</v>
      </c>
      <c r="BE557" s="1" t="s">
        <v>5457</v>
      </c>
      <c r="BF557" s="2" t="str">
        <f>HYPERLINK("http://dx.doi.org/10.4067/S0718-71062010000100005","http://dx.doi.org/10.4067/S0718-71062010000100005")</f>
        <v>http://dx.doi.org/10.4067/S0718-71062010000100005</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5458</v>
      </c>
      <c r="BT557" s="1" t="str">
        <f>HYPERLINK("https%3A%2F%2Fwww.webofscience.com%2Fwos%2Fwoscc%2Ffull-record%2FWOS:000274067300005","View Full Record in Web of Science")</f>
        <v>View Full Record in Web of Science</v>
      </c>
    </row>
    <row r="558" ht="12.75" customHeight="1">
      <c r="A558" s="1" t="s">
        <v>72</v>
      </c>
      <c r="B558" s="1" t="s">
        <v>5459</v>
      </c>
      <c r="C558" s="1" t="s">
        <v>74</v>
      </c>
      <c r="D558" s="1" t="s">
        <v>74</v>
      </c>
      <c r="E558" s="1" t="s">
        <v>74</v>
      </c>
      <c r="F558" s="1" t="s">
        <v>5460</v>
      </c>
      <c r="G558" s="1" t="s">
        <v>74</v>
      </c>
      <c r="H558" s="1" t="s">
        <v>74</v>
      </c>
      <c r="I558" s="1" t="s">
        <v>5461</v>
      </c>
      <c r="J558" s="1" t="s">
        <v>5462</v>
      </c>
      <c r="K558" s="1" t="s">
        <v>74</v>
      </c>
      <c r="L558" s="1" t="s">
        <v>74</v>
      </c>
      <c r="M558" s="1" t="s">
        <v>74</v>
      </c>
      <c r="N558" s="1" t="s">
        <v>74</v>
      </c>
      <c r="O558" s="1" t="s">
        <v>74</v>
      </c>
      <c r="P558" s="1" t="s">
        <v>74</v>
      </c>
      <c r="Q558" s="1" t="s">
        <v>74</v>
      </c>
      <c r="R558" s="1" t="s">
        <v>74</v>
      </c>
      <c r="S558" s="1" t="s">
        <v>74</v>
      </c>
      <c r="T558" s="1" t="s">
        <v>74</v>
      </c>
      <c r="U558" s="1" t="s">
        <v>74</v>
      </c>
      <c r="V558" s="1" t="s">
        <v>5463</v>
      </c>
      <c r="W558" s="1" t="s">
        <v>74</v>
      </c>
      <c r="X558" s="1" t="s">
        <v>74</v>
      </c>
      <c r="Y558" s="1" t="s">
        <v>74</v>
      </c>
      <c r="Z558" s="1" t="s">
        <v>74</v>
      </c>
      <c r="AA558" s="1" t="s">
        <v>820</v>
      </c>
      <c r="AB558" s="1" t="s">
        <v>821</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5464</v>
      </c>
      <c r="AP558" s="1" t="s">
        <v>5465</v>
      </c>
      <c r="AQ558" s="1" t="s">
        <v>74</v>
      </c>
      <c r="AR558" s="1" t="s">
        <v>74</v>
      </c>
      <c r="AS558" s="1" t="s">
        <v>74</v>
      </c>
      <c r="AT558" s="1" t="s">
        <v>95</v>
      </c>
      <c r="AU558" s="1">
        <v>2009.0</v>
      </c>
      <c r="AV558" s="1">
        <v>12.0</v>
      </c>
      <c r="AW558" s="1">
        <v>6.0</v>
      </c>
      <c r="AX558" s="1" t="s">
        <v>74</v>
      </c>
      <c r="AY558" s="1" t="s">
        <v>74</v>
      </c>
      <c r="AZ558" s="1" t="s">
        <v>74</v>
      </c>
      <c r="BA558" s="1" t="s">
        <v>74</v>
      </c>
      <c r="BB558" s="1">
        <v>1386.0</v>
      </c>
      <c r="BC558" s="1">
        <v>1392.0</v>
      </c>
      <c r="BD558" s="1" t="s">
        <v>74</v>
      </c>
      <c r="BE558" s="1" t="s">
        <v>5466</v>
      </c>
      <c r="BF558" s="2" t="str">
        <f>HYPERLINK("http://dx.doi.org/10.1089/jmf.2009.0024","http://dx.doi.org/10.1089/jmf.2009.0024")</f>
        <v>http://dx.doi.org/10.1089/jmf.2009.0024</v>
      </c>
      <c r="BG558" s="1" t="s">
        <v>74</v>
      </c>
      <c r="BH558" s="1" t="s">
        <v>74</v>
      </c>
      <c r="BI558" s="1" t="s">
        <v>74</v>
      </c>
      <c r="BJ558" s="1" t="s">
        <v>74</v>
      </c>
      <c r="BK558" s="1" t="s">
        <v>74</v>
      </c>
      <c r="BL558" s="1" t="s">
        <v>74</v>
      </c>
      <c r="BM558" s="1" t="s">
        <v>74</v>
      </c>
      <c r="BN558" s="1">
        <v>2.0041798E7</v>
      </c>
      <c r="BO558" s="1" t="s">
        <v>74</v>
      </c>
      <c r="BP558" s="1" t="s">
        <v>74</v>
      </c>
      <c r="BQ558" s="1" t="s">
        <v>74</v>
      </c>
      <c r="BR558" s="1" t="s">
        <v>74</v>
      </c>
      <c r="BS558" s="1" t="s">
        <v>5467</v>
      </c>
      <c r="BT558" s="1" t="str">
        <f>HYPERLINK("https%3A%2F%2Fwww.webofscience.com%2Fwos%2Fwoscc%2Ffull-record%2FWOS:000273180900031","View Full Record in Web of Science")</f>
        <v>View Full Record in Web of Science</v>
      </c>
    </row>
    <row r="559" ht="12.75" customHeight="1">
      <c r="A559" s="1" t="s">
        <v>72</v>
      </c>
      <c r="B559" s="1" t="s">
        <v>5468</v>
      </c>
      <c r="C559" s="1" t="s">
        <v>74</v>
      </c>
      <c r="D559" s="1" t="s">
        <v>74</v>
      </c>
      <c r="E559" s="1" t="s">
        <v>74</v>
      </c>
      <c r="F559" s="1" t="s">
        <v>5469</v>
      </c>
      <c r="G559" s="1" t="s">
        <v>74</v>
      </c>
      <c r="H559" s="1" t="s">
        <v>74</v>
      </c>
      <c r="I559" s="1" t="s">
        <v>5470</v>
      </c>
      <c r="J559" s="1" t="s">
        <v>5471</v>
      </c>
      <c r="K559" s="1" t="s">
        <v>74</v>
      </c>
      <c r="L559" s="1" t="s">
        <v>74</v>
      </c>
      <c r="M559" s="1" t="s">
        <v>74</v>
      </c>
      <c r="N559" s="1" t="s">
        <v>74</v>
      </c>
      <c r="O559" s="1" t="s">
        <v>74</v>
      </c>
      <c r="P559" s="1" t="s">
        <v>74</v>
      </c>
      <c r="Q559" s="1" t="s">
        <v>74</v>
      </c>
      <c r="R559" s="1" t="s">
        <v>74</v>
      </c>
      <c r="S559" s="1" t="s">
        <v>74</v>
      </c>
      <c r="T559" s="1" t="s">
        <v>74</v>
      </c>
      <c r="U559" s="1" t="s">
        <v>74</v>
      </c>
      <c r="V559" s="1" t="s">
        <v>5472</v>
      </c>
      <c r="W559" s="1" t="s">
        <v>74</v>
      </c>
      <c r="X559" s="1" t="s">
        <v>74</v>
      </c>
      <c r="Y559" s="1" t="s">
        <v>74</v>
      </c>
      <c r="Z559" s="1" t="s">
        <v>74</v>
      </c>
      <c r="AA559" s="1" t="s">
        <v>74</v>
      </c>
      <c r="AB559" s="1" t="s">
        <v>5473</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5474</v>
      </c>
      <c r="AP559" s="1" t="s">
        <v>5475</v>
      </c>
      <c r="AQ559" s="1" t="s">
        <v>74</v>
      </c>
      <c r="AR559" s="1" t="s">
        <v>74</v>
      </c>
      <c r="AS559" s="1" t="s">
        <v>74</v>
      </c>
      <c r="AT559" s="1" t="s">
        <v>5476</v>
      </c>
      <c r="AU559" s="1">
        <v>2009.0</v>
      </c>
      <c r="AV559" s="1">
        <v>50.0</v>
      </c>
      <c r="AW559" s="1">
        <v>9.0</v>
      </c>
      <c r="AX559" s="1" t="s">
        <v>74</v>
      </c>
      <c r="AY559" s="1" t="s">
        <v>74</v>
      </c>
      <c r="AZ559" s="1" t="s">
        <v>74</v>
      </c>
      <c r="BA559" s="1" t="s">
        <v>74</v>
      </c>
      <c r="BB559" s="1">
        <v>2081.0</v>
      </c>
      <c r="BC559" s="1">
        <v>2086.0</v>
      </c>
      <c r="BD559" s="1" t="s">
        <v>74</v>
      </c>
      <c r="BE559" s="1" t="s">
        <v>5477</v>
      </c>
      <c r="BF559" s="2" t="str">
        <f>HYPERLINK("http://dx.doi.org/10.1016/j.polymer.2009.03.006","http://dx.doi.org/10.1016/j.polymer.2009.03.006")</f>
        <v>http://dx.doi.org/10.1016/j.polymer.2009.03.006</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5478</v>
      </c>
      <c r="BT559" s="1" t="str">
        <f>HYPERLINK("https%3A%2F%2Fwww.webofscience.com%2Fwos%2Fwoscc%2Ffull-record%2FWOS:000265433700012","View Full Record in Web of Science")</f>
        <v>View Full Record in Web of Science</v>
      </c>
    </row>
    <row r="560" ht="12.75" customHeight="1">
      <c r="A560" s="1" t="s">
        <v>72</v>
      </c>
      <c r="B560" s="1" t="s">
        <v>5479</v>
      </c>
      <c r="C560" s="1" t="s">
        <v>74</v>
      </c>
      <c r="D560" s="1" t="s">
        <v>74</v>
      </c>
      <c r="E560" s="1" t="s">
        <v>74</v>
      </c>
      <c r="F560" s="1" t="s">
        <v>5480</v>
      </c>
      <c r="G560" s="1" t="s">
        <v>74</v>
      </c>
      <c r="H560" s="1" t="s">
        <v>74</v>
      </c>
      <c r="I560" s="1" t="s">
        <v>5481</v>
      </c>
      <c r="J560" s="1" t="s">
        <v>238</v>
      </c>
      <c r="K560" s="1" t="s">
        <v>74</v>
      </c>
      <c r="L560" s="1" t="s">
        <v>74</v>
      </c>
      <c r="M560" s="1" t="s">
        <v>74</v>
      </c>
      <c r="N560" s="1" t="s">
        <v>74</v>
      </c>
      <c r="O560" s="1" t="s">
        <v>74</v>
      </c>
      <c r="P560" s="1" t="s">
        <v>74</v>
      </c>
      <c r="Q560" s="1" t="s">
        <v>74</v>
      </c>
      <c r="R560" s="1" t="s">
        <v>74</v>
      </c>
      <c r="S560" s="1" t="s">
        <v>74</v>
      </c>
      <c r="T560" s="1" t="s">
        <v>74</v>
      </c>
      <c r="U560" s="1" t="s">
        <v>74</v>
      </c>
      <c r="V560" s="1" t="s">
        <v>5482</v>
      </c>
      <c r="W560" s="1" t="s">
        <v>74</v>
      </c>
      <c r="X560" s="1" t="s">
        <v>74</v>
      </c>
      <c r="Y560" s="1" t="s">
        <v>74</v>
      </c>
      <c r="Z560" s="1" t="s">
        <v>74</v>
      </c>
      <c r="AA560" s="1" t="s">
        <v>5483</v>
      </c>
      <c r="AB560" s="1" t="s">
        <v>5484</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242</v>
      </c>
      <c r="AP560" s="1" t="s">
        <v>74</v>
      </c>
      <c r="AQ560" s="1" t="s">
        <v>74</v>
      </c>
      <c r="AR560" s="1" t="s">
        <v>74</v>
      </c>
      <c r="AS560" s="1" t="s">
        <v>74</v>
      </c>
      <c r="AT560" s="1" t="s">
        <v>2667</v>
      </c>
      <c r="AU560" s="1">
        <v>2009.0</v>
      </c>
      <c r="AV560" s="1">
        <v>471.0</v>
      </c>
      <c r="AW560" s="1" t="s">
        <v>428</v>
      </c>
      <c r="AX560" s="1" t="s">
        <v>74</v>
      </c>
      <c r="AY560" s="1" t="s">
        <v>74</v>
      </c>
      <c r="AZ560" s="1" t="s">
        <v>74</v>
      </c>
      <c r="BA560" s="1" t="s">
        <v>74</v>
      </c>
      <c r="BB560" s="1">
        <v>435.0</v>
      </c>
      <c r="BC560" s="1">
        <v>441.0</v>
      </c>
      <c r="BD560" s="1" t="s">
        <v>74</v>
      </c>
      <c r="BE560" s="1" t="s">
        <v>5485</v>
      </c>
      <c r="BF560" s="2" t="str">
        <f>HYPERLINK("http://dx.doi.org/10.1016/j.jallcom.2008.03.130","http://dx.doi.org/10.1016/j.jallcom.2008.03.130")</f>
        <v>http://dx.doi.org/10.1016/j.jallcom.2008.03.130</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5486</v>
      </c>
      <c r="BT560" s="1" t="str">
        <f>HYPERLINK("https%3A%2F%2Fwww.webofscience.com%2Fwos%2Fwoscc%2Ffull-record%2FWOS:000265086300096","View Full Record in Web of Science")</f>
        <v>View Full Record in Web of Science</v>
      </c>
    </row>
    <row r="561" ht="12.75" customHeight="1">
      <c r="A561" s="1" t="s">
        <v>72</v>
      </c>
      <c r="B561" s="1" t="s">
        <v>5487</v>
      </c>
      <c r="C561" s="1" t="s">
        <v>74</v>
      </c>
      <c r="D561" s="1" t="s">
        <v>74</v>
      </c>
      <c r="E561" s="1" t="s">
        <v>74</v>
      </c>
      <c r="F561" s="1" t="s">
        <v>5488</v>
      </c>
      <c r="G561" s="1" t="s">
        <v>74</v>
      </c>
      <c r="H561" s="1" t="s">
        <v>74</v>
      </c>
      <c r="I561" s="1" t="s">
        <v>5489</v>
      </c>
      <c r="J561" s="1" t="s">
        <v>5490</v>
      </c>
      <c r="K561" s="1" t="s">
        <v>74</v>
      </c>
      <c r="L561" s="1" t="s">
        <v>74</v>
      </c>
      <c r="M561" s="1" t="s">
        <v>74</v>
      </c>
      <c r="N561" s="1" t="s">
        <v>74</v>
      </c>
      <c r="O561" s="1" t="s">
        <v>74</v>
      </c>
      <c r="P561" s="1" t="s">
        <v>74</v>
      </c>
      <c r="Q561" s="1" t="s">
        <v>74</v>
      </c>
      <c r="R561" s="1" t="s">
        <v>74</v>
      </c>
      <c r="S561" s="1" t="s">
        <v>74</v>
      </c>
      <c r="T561" s="1" t="s">
        <v>74</v>
      </c>
      <c r="U561" s="1" t="s">
        <v>74</v>
      </c>
      <c r="V561" s="1" t="s">
        <v>5491</v>
      </c>
      <c r="W561" s="1" t="s">
        <v>74</v>
      </c>
      <c r="X561" s="1" t="s">
        <v>74</v>
      </c>
      <c r="Y561" s="1" t="s">
        <v>74</v>
      </c>
      <c r="Z561" s="1" t="s">
        <v>74</v>
      </c>
      <c r="AA561" s="1" t="s">
        <v>5492</v>
      </c>
      <c r="AB561" s="1" t="s">
        <v>4427</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5493</v>
      </c>
      <c r="AP561" s="1" t="s">
        <v>74</v>
      </c>
      <c r="AQ561" s="1" t="s">
        <v>74</v>
      </c>
      <c r="AR561" s="1" t="s">
        <v>74</v>
      </c>
      <c r="AS561" s="1" t="s">
        <v>74</v>
      </c>
      <c r="AT561" s="1" t="s">
        <v>74</v>
      </c>
      <c r="AU561" s="1">
        <v>2007.0</v>
      </c>
      <c r="AV561" s="1">
        <v>16.0</v>
      </c>
      <c r="AW561" s="1">
        <v>3.0</v>
      </c>
      <c r="AX561" s="1" t="s">
        <v>74</v>
      </c>
      <c r="AY561" s="1" t="s">
        <v>74</v>
      </c>
      <c r="AZ561" s="1" t="s">
        <v>74</v>
      </c>
      <c r="BA561" s="1" t="s">
        <v>74</v>
      </c>
      <c r="BB561" s="1">
        <v>181.0</v>
      </c>
      <c r="BC561" s="1">
        <v>184.0</v>
      </c>
      <c r="BD561" s="1" t="s">
        <v>74</v>
      </c>
      <c r="BE561" s="1" t="s">
        <v>74</v>
      </c>
      <c r="BF561" s="1" t="s">
        <v>74</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5494</v>
      </c>
      <c r="BT561" s="1" t="str">
        <f>HYPERLINK("https%3A%2F%2Fwww.webofscience.com%2Fwos%2Fwoscc%2Ffull-record%2FWOS:000256248400004","View Full Record in Web of Science")</f>
        <v>View Full Record in Web of Science</v>
      </c>
    </row>
    <row r="562" ht="12.75" customHeight="1">
      <c r="A562" s="1" t="s">
        <v>346</v>
      </c>
      <c r="B562" s="1" t="s">
        <v>5495</v>
      </c>
      <c r="C562" s="1" t="s">
        <v>74</v>
      </c>
      <c r="D562" s="1" t="s">
        <v>5496</v>
      </c>
      <c r="E562" s="1" t="s">
        <v>74</v>
      </c>
      <c r="F562" s="1" t="s">
        <v>5497</v>
      </c>
      <c r="G562" s="1" t="s">
        <v>74</v>
      </c>
      <c r="H562" s="1" t="s">
        <v>74</v>
      </c>
      <c r="I562" s="1" t="s">
        <v>5498</v>
      </c>
      <c r="J562" s="1" t="s">
        <v>5499</v>
      </c>
      <c r="K562" s="1" t="s">
        <v>5500</v>
      </c>
      <c r="L562" s="1" t="s">
        <v>74</v>
      </c>
      <c r="M562" s="1" t="s">
        <v>74</v>
      </c>
      <c r="N562" s="1" t="s">
        <v>74</v>
      </c>
      <c r="O562" s="1" t="s">
        <v>5501</v>
      </c>
      <c r="P562" s="1" t="s">
        <v>5502</v>
      </c>
      <c r="Q562" s="1" t="s">
        <v>5503</v>
      </c>
      <c r="R562" s="1" t="s">
        <v>5504</v>
      </c>
      <c r="S562" s="1" t="s">
        <v>74</v>
      </c>
      <c r="T562" s="1" t="s">
        <v>74</v>
      </c>
      <c r="U562" s="1" t="s">
        <v>74</v>
      </c>
      <c r="V562" s="1" t="s">
        <v>5505</v>
      </c>
      <c r="W562" s="1" t="s">
        <v>74</v>
      </c>
      <c r="X562" s="1" t="s">
        <v>74</v>
      </c>
      <c r="Y562" s="1" t="s">
        <v>74</v>
      </c>
      <c r="Z562" s="1" t="s">
        <v>74</v>
      </c>
      <c r="AA562" s="1" t="s">
        <v>5506</v>
      </c>
      <c r="AB562" s="1" t="s">
        <v>5507</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5508</v>
      </c>
      <c r="AP562" s="1" t="s">
        <v>74</v>
      </c>
      <c r="AQ562" s="1" t="s">
        <v>5509</v>
      </c>
      <c r="AR562" s="1" t="s">
        <v>74</v>
      </c>
      <c r="AS562" s="1" t="s">
        <v>74</v>
      </c>
      <c r="AT562" s="1" t="s">
        <v>74</v>
      </c>
      <c r="AU562" s="1">
        <v>2006.0</v>
      </c>
      <c r="AV562" s="1">
        <v>160.0</v>
      </c>
      <c r="AW562" s="1" t="s">
        <v>74</v>
      </c>
      <c r="AX562" s="1" t="s">
        <v>74</v>
      </c>
      <c r="AY562" s="1" t="s">
        <v>74</v>
      </c>
      <c r="AZ562" s="1" t="s">
        <v>74</v>
      </c>
      <c r="BA562" s="1" t="s">
        <v>74</v>
      </c>
      <c r="BB562" s="1">
        <v>233.0</v>
      </c>
      <c r="BC562" s="1">
        <v>240.0</v>
      </c>
      <c r="BD562" s="1" t="s">
        <v>74</v>
      </c>
      <c r="BE562" s="1" t="s">
        <v>74</v>
      </c>
      <c r="BF562" s="1" t="s">
        <v>74</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5510</v>
      </c>
      <c r="BT562" s="1" t="str">
        <f>HYPERLINK("https%3A%2F%2Fwww.webofscience.com%2Fwos%2Fwoscc%2Ffull-record%2FWOS:000283583800030","View Full Record in Web of Science")</f>
        <v>View Full Record in Web of Science</v>
      </c>
    </row>
    <row r="563" ht="12.75" customHeight="1">
      <c r="A563" s="1" t="s">
        <v>72</v>
      </c>
      <c r="B563" s="1" t="s">
        <v>5511</v>
      </c>
      <c r="C563" s="1" t="s">
        <v>74</v>
      </c>
      <c r="D563" s="1" t="s">
        <v>74</v>
      </c>
      <c r="E563" s="1" t="s">
        <v>74</v>
      </c>
      <c r="F563" s="1" t="s">
        <v>5511</v>
      </c>
      <c r="G563" s="1" t="s">
        <v>74</v>
      </c>
      <c r="H563" s="1" t="s">
        <v>74</v>
      </c>
      <c r="I563" s="1" t="s">
        <v>5512</v>
      </c>
      <c r="J563" s="1" t="s">
        <v>2279</v>
      </c>
      <c r="K563" s="1" t="s">
        <v>74</v>
      </c>
      <c r="L563" s="1" t="s">
        <v>74</v>
      </c>
      <c r="M563" s="1" t="s">
        <v>74</v>
      </c>
      <c r="N563" s="1" t="s">
        <v>74</v>
      </c>
      <c r="O563" s="1" t="s">
        <v>74</v>
      </c>
      <c r="P563" s="1" t="s">
        <v>74</v>
      </c>
      <c r="Q563" s="1" t="s">
        <v>74</v>
      </c>
      <c r="R563" s="1" t="s">
        <v>74</v>
      </c>
      <c r="S563" s="1" t="s">
        <v>74</v>
      </c>
      <c r="T563" s="1" t="s">
        <v>74</v>
      </c>
      <c r="U563" s="1" t="s">
        <v>74</v>
      </c>
      <c r="V563" s="1" t="s">
        <v>5513</v>
      </c>
      <c r="W563" s="1" t="s">
        <v>74</v>
      </c>
      <c r="X563" s="1" t="s">
        <v>74</v>
      </c>
      <c r="Y563" s="1" t="s">
        <v>74</v>
      </c>
      <c r="Z563" s="1" t="s">
        <v>74</v>
      </c>
      <c r="AA563" s="1" t="s">
        <v>74</v>
      </c>
      <c r="AB563" s="1" t="s">
        <v>74</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2283</v>
      </c>
      <c r="AP563" s="1" t="s">
        <v>2284</v>
      </c>
      <c r="AQ563" s="1" t="s">
        <v>74</v>
      </c>
      <c r="AR563" s="1" t="s">
        <v>74</v>
      </c>
      <c r="AS563" s="1" t="s">
        <v>74</v>
      </c>
      <c r="AT563" s="1" t="s">
        <v>461</v>
      </c>
      <c r="AU563" s="1">
        <v>2005.0</v>
      </c>
      <c r="AV563" s="1">
        <v>92.0</v>
      </c>
      <c r="AW563" s="1">
        <v>2.0</v>
      </c>
      <c r="AX563" s="1" t="s">
        <v>74</v>
      </c>
      <c r="AY563" s="1" t="s">
        <v>74</v>
      </c>
      <c r="AZ563" s="1" t="s">
        <v>74</v>
      </c>
      <c r="BA563" s="1" t="s">
        <v>74</v>
      </c>
      <c r="BB563" s="1">
        <v>235.0</v>
      </c>
      <c r="BC563" s="1">
        <v>254.0</v>
      </c>
      <c r="BD563" s="1" t="s">
        <v>74</v>
      </c>
      <c r="BE563" s="1" t="s">
        <v>5514</v>
      </c>
      <c r="BF563" s="2" t="str">
        <f>HYPERLINK("http://dx.doi.org/10.1016/j.foodchem.2004.08.004","http://dx.doi.org/10.1016/j.foodchem.2004.08.004")</f>
        <v>http://dx.doi.org/10.1016/j.foodchem.2004.08.004</v>
      </c>
      <c r="BG563" s="1" t="s">
        <v>74</v>
      </c>
      <c r="BH563" s="1" t="s">
        <v>74</v>
      </c>
      <c r="BI563" s="1" t="s">
        <v>74</v>
      </c>
      <c r="BJ563" s="1" t="s">
        <v>74</v>
      </c>
      <c r="BK563" s="1" t="s">
        <v>74</v>
      </c>
      <c r="BL563" s="1" t="s">
        <v>74</v>
      </c>
      <c r="BM563" s="1" t="s">
        <v>74</v>
      </c>
      <c r="BN563" s="1" t="s">
        <v>74</v>
      </c>
      <c r="BO563" s="1" t="s">
        <v>74</v>
      </c>
      <c r="BP563" s="1" t="s">
        <v>74</v>
      </c>
      <c r="BQ563" s="1" t="s">
        <v>74</v>
      </c>
      <c r="BR563" s="1" t="s">
        <v>74</v>
      </c>
      <c r="BS563" s="1" t="s">
        <v>5515</v>
      </c>
      <c r="BT563" s="1" t="str">
        <f>HYPERLINK("https%3A%2F%2Fwww.webofscience.com%2Fwos%2Fwoscc%2Ffull-record%2FWOS:000228422700006","View Full Record in Web of Science")</f>
        <v>View Full Record in Web of Science</v>
      </c>
    </row>
    <row r="564" ht="12.75" customHeight="1">
      <c r="A564" s="1" t="s">
        <v>72</v>
      </c>
      <c r="B564" s="1" t="s">
        <v>5516</v>
      </c>
      <c r="C564" s="1" t="s">
        <v>74</v>
      </c>
      <c r="D564" s="1" t="s">
        <v>74</v>
      </c>
      <c r="E564" s="1" t="s">
        <v>74</v>
      </c>
      <c r="F564" s="1" t="s">
        <v>5516</v>
      </c>
      <c r="G564" s="1" t="s">
        <v>74</v>
      </c>
      <c r="H564" s="1" t="s">
        <v>74</v>
      </c>
      <c r="I564" s="1" t="s">
        <v>5517</v>
      </c>
      <c r="J564" s="1" t="s">
        <v>5518</v>
      </c>
      <c r="K564" s="1" t="s">
        <v>74</v>
      </c>
      <c r="L564" s="1" t="s">
        <v>74</v>
      </c>
      <c r="M564" s="1" t="s">
        <v>74</v>
      </c>
      <c r="N564" s="1" t="s">
        <v>74</v>
      </c>
      <c r="O564" s="1" t="s">
        <v>74</v>
      </c>
      <c r="P564" s="1" t="s">
        <v>74</v>
      </c>
      <c r="Q564" s="1" t="s">
        <v>74</v>
      </c>
      <c r="R564" s="1" t="s">
        <v>74</v>
      </c>
      <c r="S564" s="1" t="s">
        <v>74</v>
      </c>
      <c r="T564" s="1" t="s">
        <v>74</v>
      </c>
      <c r="U564" s="1" t="s">
        <v>74</v>
      </c>
      <c r="V564" s="1" t="s">
        <v>5519</v>
      </c>
      <c r="W564" s="1" t="s">
        <v>74</v>
      </c>
      <c r="X564" s="1" t="s">
        <v>74</v>
      </c>
      <c r="Y564" s="1" t="s">
        <v>74</v>
      </c>
      <c r="Z564" s="1" t="s">
        <v>74</v>
      </c>
      <c r="AA564" s="1" t="s">
        <v>5520</v>
      </c>
      <c r="AB564" s="1" t="s">
        <v>74</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5521</v>
      </c>
      <c r="AP564" s="1" t="s">
        <v>74</v>
      </c>
      <c r="AQ564" s="1" t="s">
        <v>74</v>
      </c>
      <c r="AR564" s="1" t="s">
        <v>74</v>
      </c>
      <c r="AS564" s="1" t="s">
        <v>74</v>
      </c>
      <c r="AT564" s="1" t="s">
        <v>1474</v>
      </c>
      <c r="AU564" s="1">
        <v>2004.0</v>
      </c>
      <c r="AV564" s="1">
        <v>43.0</v>
      </c>
      <c r="AW564" s="1">
        <v>4.0</v>
      </c>
      <c r="AX564" s="1" t="s">
        <v>74</v>
      </c>
      <c r="AY564" s="1" t="s">
        <v>74</v>
      </c>
      <c r="AZ564" s="1" t="s">
        <v>74</v>
      </c>
      <c r="BA564" s="1" t="s">
        <v>74</v>
      </c>
      <c r="BB564" s="1">
        <v>736.0</v>
      </c>
      <c r="BC564" s="1">
        <v>739.0</v>
      </c>
      <c r="BD564" s="1" t="s">
        <v>74</v>
      </c>
      <c r="BE564" s="1" t="s">
        <v>5522</v>
      </c>
      <c r="BF564" s="2" t="str">
        <f>HYPERLINK("http://dx.doi.org/10.3989/cyv.2004.v43.i4.420","http://dx.doi.org/10.3989/cyv.2004.v43.i4.420")</f>
        <v>http://dx.doi.org/10.3989/cyv.2004.v43.i4.420</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5523</v>
      </c>
      <c r="BT564" s="1" t="str">
        <f>HYPERLINK("https%3A%2F%2Fwww.webofscience.com%2Fwos%2Fwoscc%2Ffull-record%2FWOS:000223052500003","View Full Record in Web of Science")</f>
        <v>View Full Record in Web of Science</v>
      </c>
    </row>
    <row r="565" ht="12.75" customHeight="1">
      <c r="A565" s="1" t="s">
        <v>72</v>
      </c>
      <c r="B565" s="1" t="s">
        <v>5524</v>
      </c>
      <c r="C565" s="1" t="s">
        <v>74</v>
      </c>
      <c r="D565" s="1" t="s">
        <v>74</v>
      </c>
      <c r="E565" s="1" t="s">
        <v>74</v>
      </c>
      <c r="F565" s="1" t="s">
        <v>5524</v>
      </c>
      <c r="G565" s="1" t="s">
        <v>74</v>
      </c>
      <c r="H565" s="1" t="s">
        <v>74</v>
      </c>
      <c r="I565" s="1" t="s">
        <v>5525</v>
      </c>
      <c r="J565" s="1" t="s">
        <v>5306</v>
      </c>
      <c r="K565" s="1" t="s">
        <v>74</v>
      </c>
      <c r="L565" s="1" t="s">
        <v>74</v>
      </c>
      <c r="M565" s="1" t="s">
        <v>74</v>
      </c>
      <c r="N565" s="1" t="s">
        <v>74</v>
      </c>
      <c r="O565" s="1" t="s">
        <v>74</v>
      </c>
      <c r="P565" s="1" t="s">
        <v>74</v>
      </c>
      <c r="Q565" s="1" t="s">
        <v>74</v>
      </c>
      <c r="R565" s="1" t="s">
        <v>74</v>
      </c>
      <c r="S565" s="1" t="s">
        <v>74</v>
      </c>
      <c r="T565" s="1" t="s">
        <v>74</v>
      </c>
      <c r="U565" s="1" t="s">
        <v>74</v>
      </c>
      <c r="V565" s="1" t="s">
        <v>5526</v>
      </c>
      <c r="W565" s="1" t="s">
        <v>74</v>
      </c>
      <c r="X565" s="1" t="s">
        <v>74</v>
      </c>
      <c r="Y565" s="1" t="s">
        <v>74</v>
      </c>
      <c r="Z565" s="1" t="s">
        <v>74</v>
      </c>
      <c r="AA565" s="1" t="s">
        <v>5527</v>
      </c>
      <c r="AB565" s="1" t="s">
        <v>5528</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5310</v>
      </c>
      <c r="AP565" s="1" t="s">
        <v>74</v>
      </c>
      <c r="AQ565" s="1" t="s">
        <v>74</v>
      </c>
      <c r="AR565" s="1" t="s">
        <v>74</v>
      </c>
      <c r="AS565" s="1" t="s">
        <v>74</v>
      </c>
      <c r="AT565" s="1" t="s">
        <v>83</v>
      </c>
      <c r="AU565" s="1">
        <v>2004.0</v>
      </c>
      <c r="AV565" s="1">
        <v>18.0</v>
      </c>
      <c r="AW565" s="1">
        <v>2.0</v>
      </c>
      <c r="AX565" s="1" t="s">
        <v>74</v>
      </c>
      <c r="AY565" s="1" t="s">
        <v>74</v>
      </c>
      <c r="AZ565" s="1" t="s">
        <v>74</v>
      </c>
      <c r="BA565" s="1" t="s">
        <v>74</v>
      </c>
      <c r="BB565" s="1">
        <v>241.0</v>
      </c>
      <c r="BC565" s="1">
        <v>247.0</v>
      </c>
      <c r="BD565" s="1" t="s">
        <v>74</v>
      </c>
      <c r="BE565" s="1" t="s">
        <v>5529</v>
      </c>
      <c r="BF565" s="2" t="str">
        <f>HYPERLINK("http://dx.doi.org/10.1016/S0268-005X(03)00080-8","http://dx.doi.org/10.1016/S0268-005X(03)00080-8")</f>
        <v>http://dx.doi.org/10.1016/S0268-005X(03)00080-8</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5530</v>
      </c>
      <c r="BT565" s="1" t="str">
        <f>HYPERLINK("https%3A%2F%2Fwww.webofscience.com%2Fwos%2Fwoscc%2Ffull-record%2FWOS:000188883300007","View Full Record in Web of Science")</f>
        <v>View Full Record in Web of Science</v>
      </c>
    </row>
    <row r="566" ht="12.75" customHeight="1">
      <c r="A566" s="1" t="s">
        <v>72</v>
      </c>
      <c r="B566" s="1" t="s">
        <v>5531</v>
      </c>
      <c r="C566" s="1" t="s">
        <v>74</v>
      </c>
      <c r="D566" s="1" t="s">
        <v>74</v>
      </c>
      <c r="E566" s="1" t="s">
        <v>74</v>
      </c>
      <c r="F566" s="1" t="s">
        <v>5531</v>
      </c>
      <c r="G566" s="1" t="s">
        <v>74</v>
      </c>
      <c r="H566" s="1" t="s">
        <v>74</v>
      </c>
      <c r="I566" s="1" t="s">
        <v>5532</v>
      </c>
      <c r="J566" s="1" t="s">
        <v>4070</v>
      </c>
      <c r="K566" s="1" t="s">
        <v>74</v>
      </c>
      <c r="L566" s="1" t="s">
        <v>74</v>
      </c>
      <c r="M566" s="1" t="s">
        <v>74</v>
      </c>
      <c r="N566" s="1" t="s">
        <v>74</v>
      </c>
      <c r="O566" s="1" t="s">
        <v>74</v>
      </c>
      <c r="P566" s="1" t="s">
        <v>74</v>
      </c>
      <c r="Q566" s="1" t="s">
        <v>74</v>
      </c>
      <c r="R566" s="1" t="s">
        <v>74</v>
      </c>
      <c r="S566" s="1" t="s">
        <v>74</v>
      </c>
      <c r="T566" s="1" t="s">
        <v>74</v>
      </c>
      <c r="U566" s="1" t="s">
        <v>74</v>
      </c>
      <c r="V566" s="1" t="s">
        <v>5533</v>
      </c>
      <c r="W566" s="1" t="s">
        <v>74</v>
      </c>
      <c r="X566" s="1" t="s">
        <v>74</v>
      </c>
      <c r="Y566" s="1" t="s">
        <v>74</v>
      </c>
      <c r="Z566" s="1" t="s">
        <v>74</v>
      </c>
      <c r="AA566" s="1" t="s">
        <v>74</v>
      </c>
      <c r="AB566" s="1" t="s">
        <v>74</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4074</v>
      </c>
      <c r="AP566" s="1" t="s">
        <v>74</v>
      </c>
      <c r="AQ566" s="1" t="s">
        <v>74</v>
      </c>
      <c r="AR566" s="1" t="s">
        <v>74</v>
      </c>
      <c r="AS566" s="1" t="s">
        <v>74</v>
      </c>
      <c r="AT566" s="1" t="s">
        <v>95</v>
      </c>
      <c r="AU566" s="1">
        <v>2003.0</v>
      </c>
      <c r="AV566" s="1">
        <v>53.0</v>
      </c>
      <c r="AW566" s="1">
        <v>12.0</v>
      </c>
      <c r="AX566" s="1" t="s">
        <v>74</v>
      </c>
      <c r="AY566" s="1" t="s">
        <v>74</v>
      </c>
      <c r="AZ566" s="1" t="s">
        <v>74</v>
      </c>
      <c r="BA566" s="1" t="s">
        <v>74</v>
      </c>
      <c r="BB566" s="1">
        <v>1448.0</v>
      </c>
      <c r="BC566" s="1">
        <v>1459.0</v>
      </c>
      <c r="BD566" s="1" t="s">
        <v>74</v>
      </c>
      <c r="BE566" s="1" t="s">
        <v>5534</v>
      </c>
      <c r="BF566" s="2" t="str">
        <f>HYPERLINK("http://dx.doi.org/10.1080/10473289.2003.10466324","http://dx.doi.org/10.1080/10473289.2003.10466324")</f>
        <v>http://dx.doi.org/10.1080/10473289.2003.10466324</v>
      </c>
      <c r="BG566" s="1" t="s">
        <v>74</v>
      </c>
      <c r="BH566" s="1" t="s">
        <v>74</v>
      </c>
      <c r="BI566" s="1" t="s">
        <v>74</v>
      </c>
      <c r="BJ566" s="1" t="s">
        <v>74</v>
      </c>
      <c r="BK566" s="1" t="s">
        <v>74</v>
      </c>
      <c r="BL566" s="1" t="s">
        <v>74</v>
      </c>
      <c r="BM566" s="1" t="s">
        <v>74</v>
      </c>
      <c r="BN566" s="1">
        <v>1.4700132E7</v>
      </c>
      <c r="BO566" s="1" t="s">
        <v>74</v>
      </c>
      <c r="BP566" s="1" t="s">
        <v>74</v>
      </c>
      <c r="BQ566" s="1" t="s">
        <v>74</v>
      </c>
      <c r="BR566" s="1" t="s">
        <v>74</v>
      </c>
      <c r="BS566" s="1" t="s">
        <v>5535</v>
      </c>
      <c r="BT566" s="1" t="str">
        <f>HYPERLINK("https%3A%2F%2Fwww.webofscience.com%2Fwos%2Fwoscc%2Ffull-record%2FWOS:000187112200003","View Full Record in Web of Science")</f>
        <v>View Full Record in Web of Science</v>
      </c>
    </row>
    <row r="567" ht="12.75" customHeight="1">
      <c r="A567" s="1" t="s">
        <v>72</v>
      </c>
      <c r="B567" s="1" t="s">
        <v>5536</v>
      </c>
      <c r="C567" s="1" t="s">
        <v>74</v>
      </c>
      <c r="D567" s="1" t="s">
        <v>74</v>
      </c>
      <c r="E567" s="1" t="s">
        <v>74</v>
      </c>
      <c r="F567" s="1" t="s">
        <v>5536</v>
      </c>
      <c r="G567" s="1" t="s">
        <v>74</v>
      </c>
      <c r="H567" s="1" t="s">
        <v>74</v>
      </c>
      <c r="I567" s="1" t="s">
        <v>5537</v>
      </c>
      <c r="J567" s="1" t="s">
        <v>1145</v>
      </c>
      <c r="K567" s="1" t="s">
        <v>74</v>
      </c>
      <c r="L567" s="1" t="s">
        <v>74</v>
      </c>
      <c r="M567" s="1" t="s">
        <v>74</v>
      </c>
      <c r="N567" s="1" t="s">
        <v>74</v>
      </c>
      <c r="O567" s="1" t="s">
        <v>74</v>
      </c>
      <c r="P567" s="1" t="s">
        <v>74</v>
      </c>
      <c r="Q567" s="1" t="s">
        <v>74</v>
      </c>
      <c r="R567" s="1" t="s">
        <v>74</v>
      </c>
      <c r="S567" s="1" t="s">
        <v>74</v>
      </c>
      <c r="T567" s="1" t="s">
        <v>74</v>
      </c>
      <c r="U567" s="1" t="s">
        <v>74</v>
      </c>
      <c r="V567" s="1" t="s">
        <v>5538</v>
      </c>
      <c r="W567" s="1" t="s">
        <v>74</v>
      </c>
      <c r="X567" s="1" t="s">
        <v>74</v>
      </c>
      <c r="Y567" s="1" t="s">
        <v>74</v>
      </c>
      <c r="Z567" s="1" t="s">
        <v>74</v>
      </c>
      <c r="AA567" s="1" t="s">
        <v>74</v>
      </c>
      <c r="AB567" s="1" t="s">
        <v>74</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3072</v>
      </c>
      <c r="AP567" s="1" t="s">
        <v>74</v>
      </c>
      <c r="AQ567" s="1" t="s">
        <v>74</v>
      </c>
      <c r="AR567" s="1" t="s">
        <v>74</v>
      </c>
      <c r="AS567" s="1" t="s">
        <v>74</v>
      </c>
      <c r="AT567" s="1" t="s">
        <v>461</v>
      </c>
      <c r="AU567" s="1">
        <v>2003.0</v>
      </c>
      <c r="AV567" s="1">
        <v>48.0</v>
      </c>
      <c r="AW567" s="1">
        <v>3.0</v>
      </c>
      <c r="AX567" s="1" t="s">
        <v>74</v>
      </c>
      <c r="AY567" s="1" t="s">
        <v>74</v>
      </c>
      <c r="AZ567" s="1" t="s">
        <v>74</v>
      </c>
      <c r="BA567" s="1" t="s">
        <v>74</v>
      </c>
      <c r="BB567" s="1">
        <v>61.0</v>
      </c>
      <c r="BC567" s="1">
        <v>63.0</v>
      </c>
      <c r="BD567" s="1" t="s">
        <v>74</v>
      </c>
      <c r="BE567" s="1" t="s">
        <v>74</v>
      </c>
      <c r="BF567" s="1" t="s">
        <v>74</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5539</v>
      </c>
      <c r="BT567" s="1" t="str">
        <f>HYPERLINK("https%3A%2F%2Fwww.webofscience.com%2Fwos%2Fwoscc%2Ffull-record%2FWOS:000185071000012","View Full Record in Web of Science")</f>
        <v>View Full Record in Web of Science</v>
      </c>
    </row>
    <row r="568" ht="12.75" customHeight="1">
      <c r="A568" s="1" t="s">
        <v>72</v>
      </c>
      <c r="B568" s="1" t="s">
        <v>5540</v>
      </c>
      <c r="C568" s="1" t="s">
        <v>74</v>
      </c>
      <c r="D568" s="1" t="s">
        <v>74</v>
      </c>
      <c r="E568" s="1" t="s">
        <v>74</v>
      </c>
      <c r="F568" s="1" t="s">
        <v>5540</v>
      </c>
      <c r="G568" s="1" t="s">
        <v>74</v>
      </c>
      <c r="H568" s="1" t="s">
        <v>74</v>
      </c>
      <c r="I568" s="1" t="s">
        <v>5541</v>
      </c>
      <c r="J568" s="1" t="s">
        <v>5542</v>
      </c>
      <c r="K568" s="1" t="s">
        <v>74</v>
      </c>
      <c r="L568" s="1" t="s">
        <v>74</v>
      </c>
      <c r="M568" s="1" t="s">
        <v>74</v>
      </c>
      <c r="N568" s="1" t="s">
        <v>74</v>
      </c>
      <c r="O568" s="1" t="s">
        <v>74</v>
      </c>
      <c r="P568" s="1" t="s">
        <v>74</v>
      </c>
      <c r="Q568" s="1" t="s">
        <v>74</v>
      </c>
      <c r="R568" s="1" t="s">
        <v>74</v>
      </c>
      <c r="S568" s="1" t="s">
        <v>74</v>
      </c>
      <c r="T568" s="1" t="s">
        <v>74</v>
      </c>
      <c r="U568" s="1" t="s">
        <v>74</v>
      </c>
      <c r="V568" s="1" t="s">
        <v>5543</v>
      </c>
      <c r="W568" s="1" t="s">
        <v>74</v>
      </c>
      <c r="X568" s="1" t="s">
        <v>74</v>
      </c>
      <c r="Y568" s="1" t="s">
        <v>74</v>
      </c>
      <c r="Z568" s="1" t="s">
        <v>74</v>
      </c>
      <c r="AA568" s="1" t="s">
        <v>3028</v>
      </c>
      <c r="AB568" s="1" t="s">
        <v>5544</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5545</v>
      </c>
      <c r="AP568" s="1" t="s">
        <v>74</v>
      </c>
      <c r="AQ568" s="1" t="s">
        <v>74</v>
      </c>
      <c r="AR568" s="1" t="s">
        <v>74</v>
      </c>
      <c r="AS568" s="1" t="s">
        <v>74</v>
      </c>
      <c r="AT568" s="1" t="s">
        <v>120</v>
      </c>
      <c r="AU568" s="1">
        <v>2003.0</v>
      </c>
      <c r="AV568" s="1">
        <v>49.0</v>
      </c>
      <c r="AW568" s="1">
        <v>2.0</v>
      </c>
      <c r="AX568" s="1" t="s">
        <v>74</v>
      </c>
      <c r="AY568" s="1" t="s">
        <v>74</v>
      </c>
      <c r="AZ568" s="1" t="s">
        <v>74</v>
      </c>
      <c r="BA568" s="1" t="s">
        <v>74</v>
      </c>
      <c r="BB568" s="1">
        <v>300.0</v>
      </c>
      <c r="BC568" s="1">
        <v>308.0</v>
      </c>
      <c r="BD568" s="1" t="s">
        <v>74</v>
      </c>
      <c r="BE568" s="1" t="s">
        <v>5546</v>
      </c>
      <c r="BF568" s="2" t="str">
        <f>HYPERLINK("http://dx.doi.org/10.1002/aic.690490203","http://dx.doi.org/10.1002/aic.690490203")</f>
        <v>http://dx.doi.org/10.1002/aic.690490203</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5547</v>
      </c>
      <c r="BT568" s="1" t="str">
        <f>HYPERLINK("https%3A%2F%2Fwww.webofscience.com%2Fwos%2Fwoscc%2Ffull-record%2FWOS:000180958100002","View Full Record in Web of Science")</f>
        <v>View Full Record in Web of Science</v>
      </c>
    </row>
    <row r="569" ht="12.75" customHeight="1">
      <c r="A569" s="1" t="s">
        <v>72</v>
      </c>
      <c r="B569" s="1" t="s">
        <v>5548</v>
      </c>
      <c r="C569" s="1" t="s">
        <v>74</v>
      </c>
      <c r="D569" s="1" t="s">
        <v>74</v>
      </c>
      <c r="E569" s="1" t="s">
        <v>74</v>
      </c>
      <c r="F569" s="1" t="s">
        <v>5548</v>
      </c>
      <c r="G569" s="1" t="s">
        <v>74</v>
      </c>
      <c r="H569" s="1" t="s">
        <v>74</v>
      </c>
      <c r="I569" s="1" t="s">
        <v>5549</v>
      </c>
      <c r="J569" s="1" t="s">
        <v>2602</v>
      </c>
      <c r="K569" s="1" t="s">
        <v>74</v>
      </c>
      <c r="L569" s="1" t="s">
        <v>74</v>
      </c>
      <c r="M569" s="1" t="s">
        <v>74</v>
      </c>
      <c r="N569" s="1" t="s">
        <v>74</v>
      </c>
      <c r="O569" s="1" t="s">
        <v>74</v>
      </c>
      <c r="P569" s="1" t="s">
        <v>74</v>
      </c>
      <c r="Q569" s="1" t="s">
        <v>74</v>
      </c>
      <c r="R569" s="1" t="s">
        <v>74</v>
      </c>
      <c r="S569" s="1" t="s">
        <v>74</v>
      </c>
      <c r="T569" s="1" t="s">
        <v>74</v>
      </c>
      <c r="U569" s="1" t="s">
        <v>74</v>
      </c>
      <c r="V569" s="1" t="s">
        <v>5550</v>
      </c>
      <c r="W569" s="1" t="s">
        <v>74</v>
      </c>
      <c r="X569" s="1" t="s">
        <v>74</v>
      </c>
      <c r="Y569" s="1" t="s">
        <v>74</v>
      </c>
      <c r="Z569" s="1" t="s">
        <v>74</v>
      </c>
      <c r="AA569" s="1" t="s">
        <v>74</v>
      </c>
      <c r="AB569" s="1" t="s">
        <v>5551</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2604</v>
      </c>
      <c r="AP569" s="1" t="s">
        <v>74</v>
      </c>
      <c r="AQ569" s="1" t="s">
        <v>74</v>
      </c>
      <c r="AR569" s="1" t="s">
        <v>74</v>
      </c>
      <c r="AS569" s="1" t="s">
        <v>74</v>
      </c>
      <c r="AT569" s="1" t="s">
        <v>461</v>
      </c>
      <c r="AU569" s="1">
        <v>2002.0</v>
      </c>
      <c r="AV569" s="1">
        <v>45.0</v>
      </c>
      <c r="AW569" s="1">
        <v>3.0</v>
      </c>
      <c r="AX569" s="1" t="s">
        <v>74</v>
      </c>
      <c r="AY569" s="1" t="s">
        <v>74</v>
      </c>
      <c r="AZ569" s="1" t="s">
        <v>74</v>
      </c>
      <c r="BA569" s="1" t="s">
        <v>74</v>
      </c>
      <c r="BB569" s="1">
        <v>187.0</v>
      </c>
      <c r="BC569" s="1">
        <v>190.0</v>
      </c>
      <c r="BD569" s="1" t="s">
        <v>74</v>
      </c>
      <c r="BE569" s="1" t="s">
        <v>5552</v>
      </c>
      <c r="BF569" s="2" t="str">
        <f>HYPERLINK("http://dx.doi.org/10.1007/s00284-001-0114-5","http://dx.doi.org/10.1007/s00284-001-0114-5")</f>
        <v>http://dx.doi.org/10.1007/s00284-001-0114-5</v>
      </c>
      <c r="BG569" s="1" t="s">
        <v>74</v>
      </c>
      <c r="BH569" s="1" t="s">
        <v>74</v>
      </c>
      <c r="BI569" s="1" t="s">
        <v>74</v>
      </c>
      <c r="BJ569" s="1" t="s">
        <v>74</v>
      </c>
      <c r="BK569" s="1" t="s">
        <v>74</v>
      </c>
      <c r="BL569" s="1" t="s">
        <v>74</v>
      </c>
      <c r="BM569" s="1" t="s">
        <v>74</v>
      </c>
      <c r="BN569" s="1">
        <v>1.217774E7</v>
      </c>
      <c r="BO569" s="1" t="s">
        <v>74</v>
      </c>
      <c r="BP569" s="1" t="s">
        <v>74</v>
      </c>
      <c r="BQ569" s="1" t="s">
        <v>74</v>
      </c>
      <c r="BR569" s="1" t="s">
        <v>74</v>
      </c>
      <c r="BS569" s="1" t="s">
        <v>5553</v>
      </c>
      <c r="BT569" s="1" t="str">
        <f>HYPERLINK("https%3A%2F%2Fwww.webofscience.com%2Fwos%2Fwoscc%2Ffull-record%2FWOS:000176960000007","View Full Record in Web of Science")</f>
        <v>View Full Record in Web of Science</v>
      </c>
    </row>
    <row r="570" ht="12.75" customHeight="1">
      <c r="A570" s="1" t="s">
        <v>72</v>
      </c>
      <c r="B570" s="1" t="s">
        <v>5554</v>
      </c>
      <c r="C570" s="1" t="s">
        <v>74</v>
      </c>
      <c r="D570" s="1" t="s">
        <v>74</v>
      </c>
      <c r="E570" s="1" t="s">
        <v>74</v>
      </c>
      <c r="F570" s="1" t="s">
        <v>5554</v>
      </c>
      <c r="G570" s="1" t="s">
        <v>74</v>
      </c>
      <c r="H570" s="1" t="s">
        <v>74</v>
      </c>
      <c r="I570" s="1" t="s">
        <v>5555</v>
      </c>
      <c r="J570" s="1" t="s">
        <v>5556</v>
      </c>
      <c r="K570" s="1" t="s">
        <v>74</v>
      </c>
      <c r="L570" s="1" t="s">
        <v>74</v>
      </c>
      <c r="M570" s="1" t="s">
        <v>74</v>
      </c>
      <c r="N570" s="1" t="s">
        <v>74</v>
      </c>
      <c r="O570" s="1" t="s">
        <v>74</v>
      </c>
      <c r="P570" s="1" t="s">
        <v>74</v>
      </c>
      <c r="Q570" s="1" t="s">
        <v>74</v>
      </c>
      <c r="R570" s="1" t="s">
        <v>74</v>
      </c>
      <c r="S570" s="1" t="s">
        <v>74</v>
      </c>
      <c r="T570" s="1" t="s">
        <v>74</v>
      </c>
      <c r="U570" s="1" t="s">
        <v>74</v>
      </c>
      <c r="V570" s="1" t="s">
        <v>5557</v>
      </c>
      <c r="W570" s="1" t="s">
        <v>74</v>
      </c>
      <c r="X570" s="1" t="s">
        <v>74</v>
      </c>
      <c r="Y570" s="1" t="s">
        <v>74</v>
      </c>
      <c r="Z570" s="1" t="s">
        <v>74</v>
      </c>
      <c r="AA570" s="1" t="s">
        <v>5558</v>
      </c>
      <c r="AB570" s="1" t="s">
        <v>5559</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5560</v>
      </c>
      <c r="AP570" s="1" t="s">
        <v>74</v>
      </c>
      <c r="AQ570" s="1" t="s">
        <v>74</v>
      </c>
      <c r="AR570" s="1" t="s">
        <v>74</v>
      </c>
      <c r="AS570" s="1" t="s">
        <v>74</v>
      </c>
      <c r="AT570" s="1" t="s">
        <v>647</v>
      </c>
      <c r="AU570" s="1">
        <v>1999.0</v>
      </c>
      <c r="AV570" s="1">
        <v>28.0</v>
      </c>
      <c r="AW570" s="1">
        <v>2.0</v>
      </c>
      <c r="AX570" s="1" t="s">
        <v>74</v>
      </c>
      <c r="AY570" s="1" t="s">
        <v>74</v>
      </c>
      <c r="AZ570" s="1" t="s">
        <v>74</v>
      </c>
      <c r="BA570" s="1" t="s">
        <v>74</v>
      </c>
      <c r="BB570" s="1">
        <v>125.0</v>
      </c>
      <c r="BC570" s="1">
        <v>129.0</v>
      </c>
      <c r="BD570" s="1" t="s">
        <v>74</v>
      </c>
      <c r="BE570" s="1" t="s">
        <v>5561</v>
      </c>
      <c r="BF570" s="2" t="str">
        <f>HYPERLINK("http://dx.doi.org/10.1002/(SICI)1099-0496(199908)28:2&lt;125::AID-PPUL8&gt;3.0.CO;2-Y","http://dx.doi.org/10.1002/(SICI)1099-0496(199908)28:2&lt;125::AID-PPUL8&gt;3.0.CO;2-Y")</f>
        <v>http://dx.doi.org/10.1002/(SICI)1099-0496(199908)28:2&lt;125::AID-PPUL8&gt;3.0.CO;2-Y</v>
      </c>
      <c r="BG570" s="1" t="s">
        <v>74</v>
      </c>
      <c r="BH570" s="1" t="s">
        <v>74</v>
      </c>
      <c r="BI570" s="1" t="s">
        <v>74</v>
      </c>
      <c r="BJ570" s="1" t="s">
        <v>74</v>
      </c>
      <c r="BK570" s="1" t="s">
        <v>74</v>
      </c>
      <c r="BL570" s="1" t="s">
        <v>74</v>
      </c>
      <c r="BM570" s="1" t="s">
        <v>74</v>
      </c>
      <c r="BN570" s="1">
        <v>1.0423312E7</v>
      </c>
      <c r="BO570" s="1" t="s">
        <v>74</v>
      </c>
      <c r="BP570" s="1" t="s">
        <v>74</v>
      </c>
      <c r="BQ570" s="1" t="s">
        <v>74</v>
      </c>
      <c r="BR570" s="1" t="s">
        <v>74</v>
      </c>
      <c r="BS570" s="1" t="s">
        <v>5562</v>
      </c>
      <c r="BT570" s="1" t="str">
        <f>HYPERLINK("https%3A%2F%2Fwww.webofscience.com%2Fwos%2Fwoscc%2Ffull-record%2FWOS:000081699100008","View Full Record in Web of Science")</f>
        <v>View Full Record in Web of Science</v>
      </c>
    </row>
    <row r="571" ht="12.75" customHeight="1">
      <c r="A571" s="1" t="s">
        <v>72</v>
      </c>
      <c r="B571" s="1" t="s">
        <v>5563</v>
      </c>
      <c r="C571" s="1" t="s">
        <v>74</v>
      </c>
      <c r="D571" s="1" t="s">
        <v>74</v>
      </c>
      <c r="E571" s="1" t="s">
        <v>74</v>
      </c>
      <c r="F571" s="1" t="s">
        <v>5563</v>
      </c>
      <c r="G571" s="1" t="s">
        <v>74</v>
      </c>
      <c r="H571" s="1" t="s">
        <v>74</v>
      </c>
      <c r="I571" s="1" t="s">
        <v>5564</v>
      </c>
      <c r="J571" s="1" t="s">
        <v>453</v>
      </c>
      <c r="K571" s="1" t="s">
        <v>74</v>
      </c>
      <c r="L571" s="1" t="s">
        <v>74</v>
      </c>
      <c r="M571" s="1" t="s">
        <v>74</v>
      </c>
      <c r="N571" s="1" t="s">
        <v>74</v>
      </c>
      <c r="O571" s="1" t="s">
        <v>74</v>
      </c>
      <c r="P571" s="1" t="s">
        <v>74</v>
      </c>
      <c r="Q571" s="1" t="s">
        <v>74</v>
      </c>
      <c r="R571" s="1" t="s">
        <v>74</v>
      </c>
      <c r="S571" s="1" t="s">
        <v>74</v>
      </c>
      <c r="T571" s="1" t="s">
        <v>74</v>
      </c>
      <c r="U571" s="1" t="s">
        <v>74</v>
      </c>
      <c r="V571" s="1" t="s">
        <v>74</v>
      </c>
      <c r="W571" s="1" t="s">
        <v>74</v>
      </c>
      <c r="X571" s="1" t="s">
        <v>74</v>
      </c>
      <c r="Y571" s="1" t="s">
        <v>74</v>
      </c>
      <c r="Z571" s="1" t="s">
        <v>74</v>
      </c>
      <c r="AA571" s="1" t="s">
        <v>74</v>
      </c>
      <c r="AB571" s="1" t="s">
        <v>74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460</v>
      </c>
      <c r="AP571" s="1" t="s">
        <v>74</v>
      </c>
      <c r="AQ571" s="1" t="s">
        <v>74</v>
      </c>
      <c r="AR571" s="1" t="s">
        <v>74</v>
      </c>
      <c r="AS571" s="1" t="s">
        <v>74</v>
      </c>
      <c r="AT571" s="1" t="s">
        <v>95</v>
      </c>
      <c r="AU571" s="1">
        <v>1998.0</v>
      </c>
      <c r="AV571" s="1">
        <v>43.0</v>
      </c>
      <c r="AW571" s="1">
        <v>4.0</v>
      </c>
      <c r="AX571" s="1" t="s">
        <v>74</v>
      </c>
      <c r="AY571" s="1" t="s">
        <v>74</v>
      </c>
      <c r="AZ571" s="1" t="s">
        <v>74</v>
      </c>
      <c r="BA571" s="1" t="s">
        <v>74</v>
      </c>
      <c r="BB571" s="1">
        <v>509.0</v>
      </c>
      <c r="BC571" s="1">
        <v>509.0</v>
      </c>
      <c r="BD571" s="1" t="s">
        <v>74</v>
      </c>
      <c r="BE571" s="1" t="s">
        <v>74</v>
      </c>
      <c r="BF571" s="1" t="s">
        <v>74</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5565</v>
      </c>
      <c r="BT571" s="1" t="str">
        <f>HYPERLINK("https%3A%2F%2Fwww.webofscience.com%2Fwos%2Fwoscc%2Ffull-record%2FWOS:000078428600018","View Full Record in Web of Science")</f>
        <v>View Full Record in Web of Science</v>
      </c>
    </row>
    <row r="572" ht="12.75" customHeight="1">
      <c r="A572" s="1" t="s">
        <v>72</v>
      </c>
      <c r="B572" s="1" t="s">
        <v>5566</v>
      </c>
      <c r="C572" s="1" t="s">
        <v>74</v>
      </c>
      <c r="D572" s="1" t="s">
        <v>74</v>
      </c>
      <c r="E572" s="1" t="s">
        <v>74</v>
      </c>
      <c r="F572" s="1" t="s">
        <v>5566</v>
      </c>
      <c r="G572" s="1" t="s">
        <v>74</v>
      </c>
      <c r="H572" s="1" t="s">
        <v>74</v>
      </c>
      <c r="I572" s="1" t="s">
        <v>5567</v>
      </c>
      <c r="J572" s="1" t="s">
        <v>5568</v>
      </c>
      <c r="K572" s="1" t="s">
        <v>74</v>
      </c>
      <c r="L572" s="1" t="s">
        <v>74</v>
      </c>
      <c r="M572" s="1" t="s">
        <v>74</v>
      </c>
      <c r="N572" s="1" t="s">
        <v>74</v>
      </c>
      <c r="O572" s="1" t="s">
        <v>74</v>
      </c>
      <c r="P572" s="1" t="s">
        <v>74</v>
      </c>
      <c r="Q572" s="1" t="s">
        <v>74</v>
      </c>
      <c r="R572" s="1" t="s">
        <v>74</v>
      </c>
      <c r="S572" s="1" t="s">
        <v>74</v>
      </c>
      <c r="T572" s="1" t="s">
        <v>74</v>
      </c>
      <c r="U572" s="1" t="s">
        <v>74</v>
      </c>
      <c r="V572" s="1" t="s">
        <v>5569</v>
      </c>
      <c r="W572" s="1" t="s">
        <v>74</v>
      </c>
      <c r="X572" s="1" t="s">
        <v>74</v>
      </c>
      <c r="Y572" s="1" t="s">
        <v>74</v>
      </c>
      <c r="Z572" s="1" t="s">
        <v>74</v>
      </c>
      <c r="AA572" s="1" t="s">
        <v>5570</v>
      </c>
      <c r="AB572" s="1" t="s">
        <v>5571</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5572</v>
      </c>
      <c r="AP572" s="1" t="s">
        <v>74</v>
      </c>
      <c r="AQ572" s="1" t="s">
        <v>74</v>
      </c>
      <c r="AR572" s="1" t="s">
        <v>74</v>
      </c>
      <c r="AS572" s="1" t="s">
        <v>74</v>
      </c>
      <c r="AT572" s="1" t="s">
        <v>232</v>
      </c>
      <c r="AU572" s="1">
        <v>1998.0</v>
      </c>
      <c r="AV572" s="1">
        <v>32.0</v>
      </c>
      <c r="AW572" s="1">
        <v>20.0</v>
      </c>
      <c r="AX572" s="1" t="s">
        <v>74</v>
      </c>
      <c r="AY572" s="1" t="s">
        <v>74</v>
      </c>
      <c r="AZ572" s="1" t="s">
        <v>74</v>
      </c>
      <c r="BA572" s="1" t="s">
        <v>74</v>
      </c>
      <c r="BB572" s="1">
        <v>3415.0</v>
      </c>
      <c r="BC572" s="1">
        <v>3424.0</v>
      </c>
      <c r="BD572" s="1" t="s">
        <v>74</v>
      </c>
      <c r="BE572" s="1" t="s">
        <v>5573</v>
      </c>
      <c r="BF572" s="2" t="str">
        <f>HYPERLINK("http://dx.doi.org/10.1016/S1352-2310(98)00035-1","http://dx.doi.org/10.1016/S1352-2310(98)00035-1")</f>
        <v>http://dx.doi.org/10.1016/S1352-2310(98)00035-1</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5574</v>
      </c>
      <c r="BT572" s="1" t="str">
        <f>HYPERLINK("https%3A%2F%2Fwww.webofscience.com%2Fwos%2Fwoscc%2Ffull-record%2FWOS:000076086300005","View Full Record in Web of Science")</f>
        <v>View Full Record in Web of Science</v>
      </c>
    </row>
    <row r="573" ht="12.75" customHeight="1">
      <c r="A573" s="1" t="s">
        <v>72</v>
      </c>
      <c r="B573" s="1" t="s">
        <v>5575</v>
      </c>
      <c r="C573" s="1" t="s">
        <v>74</v>
      </c>
      <c r="D573" s="1" t="s">
        <v>74</v>
      </c>
      <c r="E573" s="1" t="s">
        <v>74</v>
      </c>
      <c r="F573" s="1" t="s">
        <v>5575</v>
      </c>
      <c r="G573" s="1" t="s">
        <v>74</v>
      </c>
      <c r="H573" s="1" t="s">
        <v>74</v>
      </c>
      <c r="I573" s="1" t="s">
        <v>5576</v>
      </c>
      <c r="J573" s="1" t="s">
        <v>3824</v>
      </c>
      <c r="K573" s="1" t="s">
        <v>74</v>
      </c>
      <c r="L573" s="1" t="s">
        <v>74</v>
      </c>
      <c r="M573" s="1" t="s">
        <v>74</v>
      </c>
      <c r="N573" s="1" t="s">
        <v>74</v>
      </c>
      <c r="O573" s="1" t="s">
        <v>74</v>
      </c>
      <c r="P573" s="1" t="s">
        <v>74</v>
      </c>
      <c r="Q573" s="1" t="s">
        <v>74</v>
      </c>
      <c r="R573" s="1" t="s">
        <v>74</v>
      </c>
      <c r="S573" s="1" t="s">
        <v>74</v>
      </c>
      <c r="T573" s="1" t="s">
        <v>74</v>
      </c>
      <c r="U573" s="1" t="s">
        <v>74</v>
      </c>
      <c r="V573" s="1" t="s">
        <v>5577</v>
      </c>
      <c r="W573" s="1" t="s">
        <v>74</v>
      </c>
      <c r="X573" s="1" t="s">
        <v>74</v>
      </c>
      <c r="Y573" s="1" t="s">
        <v>74</v>
      </c>
      <c r="Z573" s="1" t="s">
        <v>74</v>
      </c>
      <c r="AA573" s="1" t="s">
        <v>367</v>
      </c>
      <c r="AB573" s="1" t="s">
        <v>368</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3827</v>
      </c>
      <c r="AP573" s="1" t="s">
        <v>3828</v>
      </c>
      <c r="AQ573" s="1" t="s">
        <v>74</v>
      </c>
      <c r="AR573" s="1" t="s">
        <v>74</v>
      </c>
      <c r="AS573" s="1" t="s">
        <v>74</v>
      </c>
      <c r="AT573" s="1" t="s">
        <v>74</v>
      </c>
      <c r="AU573" s="1">
        <v>1990.0</v>
      </c>
      <c r="AV573" s="1">
        <v>29.0</v>
      </c>
      <c r="AW573" s="1">
        <v>7.0</v>
      </c>
      <c r="AX573" s="1" t="s">
        <v>74</v>
      </c>
      <c r="AY573" s="1" t="s">
        <v>74</v>
      </c>
      <c r="AZ573" s="1" t="s">
        <v>74</v>
      </c>
      <c r="BA573" s="1" t="s">
        <v>74</v>
      </c>
      <c r="BB573" s="1">
        <v>2139.0</v>
      </c>
      <c r="BC573" s="1">
        <v>2141.0</v>
      </c>
      <c r="BD573" s="1" t="s">
        <v>74</v>
      </c>
      <c r="BE573" s="1" t="s">
        <v>5578</v>
      </c>
      <c r="BF573" s="2" t="str">
        <f>HYPERLINK("http://dx.doi.org/10.1016/0031-9422(90)83023-T","http://dx.doi.org/10.1016/0031-9422(90)83023-T")</f>
        <v>http://dx.doi.org/10.1016/0031-9422(90)83023-T</v>
      </c>
      <c r="BG573" s="1" t="s">
        <v>74</v>
      </c>
      <c r="BH573" s="1" t="s">
        <v>74</v>
      </c>
      <c r="BI573" s="1" t="s">
        <v>74</v>
      </c>
      <c r="BJ573" s="1" t="s">
        <v>74</v>
      </c>
      <c r="BK573" s="1" t="s">
        <v>74</v>
      </c>
      <c r="BL573" s="1" t="s">
        <v>74</v>
      </c>
      <c r="BM573" s="1" t="s">
        <v>74</v>
      </c>
      <c r="BN573" s="1" t="s">
        <v>74</v>
      </c>
      <c r="BO573" s="1" t="s">
        <v>74</v>
      </c>
      <c r="BP573" s="1" t="s">
        <v>74</v>
      </c>
      <c r="BQ573" s="1" t="s">
        <v>74</v>
      </c>
      <c r="BR573" s="1" t="s">
        <v>74</v>
      </c>
      <c r="BS573" s="1" t="s">
        <v>5579</v>
      </c>
      <c r="BT573" s="1" t="str">
        <f>HYPERLINK("https%3A%2F%2Fwww.webofscience.com%2Fwos%2Fwoscc%2Ffull-record%2FWOS:A1990DH35500021","View Full Record in Web of Science")</f>
        <v>View Full Record in Web of Science</v>
      </c>
    </row>
    <row r="574" ht="12.75" customHeight="1">
      <c r="A574" s="1" t="s">
        <v>72</v>
      </c>
      <c r="B574" s="1" t="s">
        <v>5580</v>
      </c>
      <c r="C574" s="1" t="s">
        <v>74</v>
      </c>
      <c r="D574" s="1" t="s">
        <v>74</v>
      </c>
      <c r="E574" s="1" t="s">
        <v>74</v>
      </c>
      <c r="F574" s="1" t="s">
        <v>5580</v>
      </c>
      <c r="G574" s="1" t="s">
        <v>74</v>
      </c>
      <c r="H574" s="1" t="s">
        <v>74</v>
      </c>
      <c r="I574" s="1" t="s">
        <v>5581</v>
      </c>
      <c r="J574" s="1" t="s">
        <v>5582</v>
      </c>
      <c r="K574" s="1" t="s">
        <v>74</v>
      </c>
      <c r="L574" s="1" t="s">
        <v>74</v>
      </c>
      <c r="M574" s="1" t="s">
        <v>74</v>
      </c>
      <c r="N574" s="1" t="s">
        <v>74</v>
      </c>
      <c r="O574" s="1" t="s">
        <v>74</v>
      </c>
      <c r="P574" s="1" t="s">
        <v>74</v>
      </c>
      <c r="Q574" s="1" t="s">
        <v>74</v>
      </c>
      <c r="R574" s="1" t="s">
        <v>74</v>
      </c>
      <c r="S574" s="1" t="s">
        <v>74</v>
      </c>
      <c r="T574" s="1" t="s">
        <v>74</v>
      </c>
      <c r="U574" s="1" t="s">
        <v>74</v>
      </c>
      <c r="V574" s="1" t="s">
        <v>74</v>
      </c>
      <c r="W574" s="1" t="s">
        <v>74</v>
      </c>
      <c r="X574" s="1" t="s">
        <v>74</v>
      </c>
      <c r="Y574" s="1" t="s">
        <v>74</v>
      </c>
      <c r="Z574" s="1" t="s">
        <v>74</v>
      </c>
      <c r="AA574" s="1" t="s">
        <v>74</v>
      </c>
      <c r="AB574" s="1" t="s">
        <v>74</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5583</v>
      </c>
      <c r="AP574" s="1" t="s">
        <v>74</v>
      </c>
      <c r="AQ574" s="1" t="s">
        <v>74</v>
      </c>
      <c r="AR574" s="1" t="s">
        <v>74</v>
      </c>
      <c r="AS574" s="1" t="s">
        <v>74</v>
      </c>
      <c r="AT574" s="1" t="s">
        <v>74</v>
      </c>
      <c r="AU574" s="1">
        <v>1986.0</v>
      </c>
      <c r="AV574" s="1">
        <v>34.0</v>
      </c>
      <c r="AW574" s="1">
        <v>1.0</v>
      </c>
      <c r="AX574" s="1" t="s">
        <v>74</v>
      </c>
      <c r="AY574" s="1" t="s">
        <v>74</v>
      </c>
      <c r="AZ574" s="1" t="s">
        <v>74</v>
      </c>
      <c r="BA574" s="1" t="s">
        <v>74</v>
      </c>
      <c r="BB574" s="1">
        <v>108.0</v>
      </c>
      <c r="BC574" s="1">
        <v>110.0</v>
      </c>
      <c r="BD574" s="1" t="s">
        <v>74</v>
      </c>
      <c r="BE574" s="1" t="s">
        <v>5584</v>
      </c>
      <c r="BF574" s="2" t="str">
        <f>HYPERLINK("http://dx.doi.org/10.1346/CCMN.1986.0340116","http://dx.doi.org/10.1346/CCMN.1986.0340116")</f>
        <v>http://dx.doi.org/10.1346/CCMN.1986.0340116</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5585</v>
      </c>
      <c r="BT574" s="1" t="str">
        <f>HYPERLINK("https%3A%2F%2Fwww.webofscience.com%2Fwos%2Fwoscc%2Ffull-record%2FWOS:A1986A492600016","View Full Record in Web of Science")</f>
        <v>View Full Record in Web of Science</v>
      </c>
    </row>
    <row r="575" ht="12.75" customHeight="1">
      <c r="A575" s="1" t="s">
        <v>72</v>
      </c>
      <c r="B575" s="1" t="s">
        <v>5586</v>
      </c>
      <c r="C575" s="1" t="s">
        <v>74</v>
      </c>
      <c r="D575" s="1" t="s">
        <v>74</v>
      </c>
      <c r="E575" s="1" t="s">
        <v>74</v>
      </c>
      <c r="F575" s="1" t="s">
        <v>5586</v>
      </c>
      <c r="G575" s="1" t="s">
        <v>74</v>
      </c>
      <c r="H575" s="1" t="s">
        <v>74</v>
      </c>
      <c r="I575" s="1" t="s">
        <v>5587</v>
      </c>
      <c r="J575" s="1" t="s">
        <v>3853</v>
      </c>
      <c r="K575" s="1" t="s">
        <v>74</v>
      </c>
      <c r="L575" s="1" t="s">
        <v>74</v>
      </c>
      <c r="M575" s="1" t="s">
        <v>74</v>
      </c>
      <c r="N575" s="1" t="s">
        <v>74</v>
      </c>
      <c r="O575" s="1" t="s">
        <v>74</v>
      </c>
      <c r="P575" s="1" t="s">
        <v>74</v>
      </c>
      <c r="Q575" s="1" t="s">
        <v>74</v>
      </c>
      <c r="R575" s="1" t="s">
        <v>74</v>
      </c>
      <c r="S575" s="1" t="s">
        <v>74</v>
      </c>
      <c r="T575" s="1" t="s">
        <v>74</v>
      </c>
      <c r="U575" s="1" t="s">
        <v>74</v>
      </c>
      <c r="V575" s="1" t="s">
        <v>74</v>
      </c>
      <c r="W575" s="1" t="s">
        <v>74</v>
      </c>
      <c r="X575" s="1" t="s">
        <v>74</v>
      </c>
      <c r="Y575" s="1" t="s">
        <v>74</v>
      </c>
      <c r="Z575" s="1" t="s">
        <v>74</v>
      </c>
      <c r="AA575" s="1" t="s">
        <v>5588</v>
      </c>
      <c r="AB575" s="1" t="s">
        <v>5589</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3857</v>
      </c>
      <c r="AP575" s="1" t="s">
        <v>74</v>
      </c>
      <c r="AQ575" s="1" t="s">
        <v>74</v>
      </c>
      <c r="AR575" s="1" t="s">
        <v>74</v>
      </c>
      <c r="AS575" s="1" t="s">
        <v>74</v>
      </c>
      <c r="AT575" s="1" t="s">
        <v>74</v>
      </c>
      <c r="AU575" s="1">
        <v>1984.0</v>
      </c>
      <c r="AV575" s="1">
        <v>90.0</v>
      </c>
      <c r="AW575" s="1">
        <v>2.0</v>
      </c>
      <c r="AX575" s="1" t="s">
        <v>74</v>
      </c>
      <c r="AY575" s="1" t="s">
        <v>74</v>
      </c>
      <c r="AZ575" s="1" t="s">
        <v>74</v>
      </c>
      <c r="BA575" s="1" t="s">
        <v>74</v>
      </c>
      <c r="BB575" s="1">
        <v>323.0</v>
      </c>
      <c r="BC575" s="1">
        <v>328.0</v>
      </c>
      <c r="BD575" s="1" t="s">
        <v>74</v>
      </c>
      <c r="BE575" s="1" t="s">
        <v>5590</v>
      </c>
      <c r="BF575" s="2" t="str">
        <f>HYPERLINK("http://dx.doi.org/10.1016/0021-9517(84)90260-4","http://dx.doi.org/10.1016/0021-9517(84)90260-4")</f>
        <v>http://dx.doi.org/10.1016/0021-9517(84)90260-4</v>
      </c>
      <c r="BG575" s="1" t="s">
        <v>74</v>
      </c>
      <c r="BH575" s="1" t="s">
        <v>74</v>
      </c>
      <c r="BI575" s="1" t="s">
        <v>74</v>
      </c>
      <c r="BJ575" s="1" t="s">
        <v>74</v>
      </c>
      <c r="BK575" s="1" t="s">
        <v>74</v>
      </c>
      <c r="BL575" s="1" t="s">
        <v>74</v>
      </c>
      <c r="BM575" s="1" t="s">
        <v>74</v>
      </c>
      <c r="BN575" s="1" t="s">
        <v>74</v>
      </c>
      <c r="BO575" s="1" t="s">
        <v>74</v>
      </c>
      <c r="BP575" s="1" t="s">
        <v>74</v>
      </c>
      <c r="BQ575" s="1" t="s">
        <v>74</v>
      </c>
      <c r="BR575" s="1" t="s">
        <v>74</v>
      </c>
      <c r="BS575" s="1" t="s">
        <v>5591</v>
      </c>
      <c r="BT575" s="1" t="str">
        <f>HYPERLINK("https%3A%2F%2Fwww.webofscience.com%2Fwos%2Fwoscc%2Ffull-record%2FWOS:A1984TW43200014","View Full Record in Web of Science")</f>
        <v>View Full Record in Web of Science</v>
      </c>
    </row>
    <row r="576" ht="12.75" customHeight="1">
      <c r="A576" s="1" t="s">
        <v>72</v>
      </c>
      <c r="B576" s="1" t="s">
        <v>5592</v>
      </c>
      <c r="C576" s="1" t="s">
        <v>74</v>
      </c>
      <c r="D576" s="1" t="s">
        <v>74</v>
      </c>
      <c r="E576" s="1" t="s">
        <v>74</v>
      </c>
      <c r="F576" s="1" t="s">
        <v>5593</v>
      </c>
      <c r="G576" s="1" t="s">
        <v>74</v>
      </c>
      <c r="H576" s="1" t="s">
        <v>74</v>
      </c>
      <c r="I576" s="1" t="s">
        <v>5594</v>
      </c>
      <c r="J576" s="1" t="s">
        <v>602</v>
      </c>
      <c r="K576" s="1" t="s">
        <v>74</v>
      </c>
      <c r="L576" s="1" t="s">
        <v>74</v>
      </c>
      <c r="M576" s="1" t="s">
        <v>74</v>
      </c>
      <c r="N576" s="1" t="s">
        <v>74</v>
      </c>
      <c r="O576" s="1" t="s">
        <v>74</v>
      </c>
      <c r="P576" s="1" t="s">
        <v>74</v>
      </c>
      <c r="Q576" s="1" t="s">
        <v>74</v>
      </c>
      <c r="R576" s="1" t="s">
        <v>74</v>
      </c>
      <c r="S576" s="1" t="s">
        <v>74</v>
      </c>
      <c r="T576" s="1" t="s">
        <v>74</v>
      </c>
      <c r="U576" s="1" t="s">
        <v>74</v>
      </c>
      <c r="V576" s="1" t="s">
        <v>5595</v>
      </c>
      <c r="W576" s="1" t="s">
        <v>74</v>
      </c>
      <c r="X576" s="1" t="s">
        <v>74</v>
      </c>
      <c r="Y576" s="1" t="s">
        <v>74</v>
      </c>
      <c r="Z576" s="1" t="s">
        <v>74</v>
      </c>
      <c r="AA576" s="1" t="s">
        <v>5596</v>
      </c>
      <c r="AB576" s="1" t="s">
        <v>5597</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605</v>
      </c>
      <c r="AP576" s="1" t="s">
        <v>74</v>
      </c>
      <c r="AQ576" s="1" t="s">
        <v>74</v>
      </c>
      <c r="AR576" s="1" t="s">
        <v>74</v>
      </c>
      <c r="AS576" s="1" t="s">
        <v>74</v>
      </c>
      <c r="AT576" s="1" t="s">
        <v>107</v>
      </c>
      <c r="AU576" s="1">
        <v>2025.0</v>
      </c>
      <c r="AV576" s="1">
        <v>24.0</v>
      </c>
      <c r="AW576" s="1">
        <v>3.0</v>
      </c>
      <c r="AX576" s="1" t="s">
        <v>74</v>
      </c>
      <c r="AY576" s="1" t="s">
        <v>74</v>
      </c>
      <c r="AZ576" s="1" t="s">
        <v>74</v>
      </c>
      <c r="BA576" s="1" t="s">
        <v>74</v>
      </c>
      <c r="BB576" s="1">
        <v>432.0</v>
      </c>
      <c r="BC576" s="1">
        <v>452.0</v>
      </c>
      <c r="BD576" s="1" t="s">
        <v>74</v>
      </c>
      <c r="BE576" s="1" t="s">
        <v>5598</v>
      </c>
      <c r="BF576" s="2" t="str">
        <f>HYPERLINK("http://dx.doi.org/10.37360/blacpma.25.24.3.32","http://dx.doi.org/10.37360/blacpma.25.24.3.32")</f>
        <v>http://dx.doi.org/10.37360/blacpma.25.24.3.32</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5599</v>
      </c>
      <c r="BT576" s="1" t="str">
        <f>HYPERLINK("https%3A%2F%2Fwww.webofscience.com%2Fwos%2Fwoscc%2Ffull-record%2FWOS:001391317300010","View Full Record in Web of Science")</f>
        <v>View Full Record in Web of Science</v>
      </c>
    </row>
    <row r="577" ht="12.75" customHeight="1">
      <c r="A577" s="1" t="s">
        <v>72</v>
      </c>
      <c r="B577" s="1" t="s">
        <v>5600</v>
      </c>
      <c r="C577" s="1" t="s">
        <v>74</v>
      </c>
      <c r="D577" s="1" t="s">
        <v>74</v>
      </c>
      <c r="E577" s="1" t="s">
        <v>74</v>
      </c>
      <c r="F577" s="1" t="s">
        <v>5601</v>
      </c>
      <c r="G577" s="1" t="s">
        <v>74</v>
      </c>
      <c r="H577" s="1" t="s">
        <v>74</v>
      </c>
      <c r="I577" s="1" t="s">
        <v>5602</v>
      </c>
      <c r="J577" s="1" t="s">
        <v>2061</v>
      </c>
      <c r="K577" s="1" t="s">
        <v>74</v>
      </c>
      <c r="L577" s="1" t="s">
        <v>74</v>
      </c>
      <c r="M577" s="1" t="s">
        <v>74</v>
      </c>
      <c r="N577" s="1" t="s">
        <v>74</v>
      </c>
      <c r="O577" s="1" t="s">
        <v>74</v>
      </c>
      <c r="P577" s="1" t="s">
        <v>74</v>
      </c>
      <c r="Q577" s="1" t="s">
        <v>74</v>
      </c>
      <c r="R577" s="1" t="s">
        <v>74</v>
      </c>
      <c r="S577" s="1" t="s">
        <v>74</v>
      </c>
      <c r="T577" s="1" t="s">
        <v>74</v>
      </c>
      <c r="U577" s="1" t="s">
        <v>74</v>
      </c>
      <c r="V577" s="1" t="s">
        <v>5603</v>
      </c>
      <c r="W577" s="1" t="s">
        <v>74</v>
      </c>
      <c r="X577" s="1" t="s">
        <v>74</v>
      </c>
      <c r="Y577" s="1" t="s">
        <v>74</v>
      </c>
      <c r="Z577" s="1" t="s">
        <v>74</v>
      </c>
      <c r="AA577" s="1" t="s">
        <v>5604</v>
      </c>
      <c r="AB577" s="1" t="s">
        <v>5605</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74</v>
      </c>
      <c r="AP577" s="1" t="s">
        <v>2065</v>
      </c>
      <c r="AQ577" s="1" t="s">
        <v>74</v>
      </c>
      <c r="AR577" s="1" t="s">
        <v>74</v>
      </c>
      <c r="AS577" s="1" t="s">
        <v>74</v>
      </c>
      <c r="AT577" s="1" t="s">
        <v>647</v>
      </c>
      <c r="AU577" s="1">
        <v>2024.0</v>
      </c>
      <c r="AV577" s="1">
        <v>14.0</v>
      </c>
      <c r="AW577" s="1">
        <v>15.0</v>
      </c>
      <c r="AX577" s="1" t="s">
        <v>74</v>
      </c>
      <c r="AY577" s="1" t="s">
        <v>74</v>
      </c>
      <c r="AZ577" s="1" t="s">
        <v>74</v>
      </c>
      <c r="BA577" s="1" t="s">
        <v>74</v>
      </c>
      <c r="BB577" s="1" t="s">
        <v>74</v>
      </c>
      <c r="BC577" s="1" t="s">
        <v>74</v>
      </c>
      <c r="BD577" s="1">
        <v>6804.0</v>
      </c>
      <c r="BE577" s="1" t="s">
        <v>5606</v>
      </c>
      <c r="BF577" s="2" t="str">
        <f>HYPERLINK("http://dx.doi.org/10.3390/app14156804","http://dx.doi.org/10.3390/app14156804")</f>
        <v>http://dx.doi.org/10.3390/app14156804</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5607</v>
      </c>
      <c r="BT577" s="1" t="str">
        <f>HYPERLINK("https%3A%2F%2Fwww.webofscience.com%2Fwos%2Fwoscc%2Ffull-record%2FWOS:001287065800001","View Full Record in Web of Science")</f>
        <v>View Full Record in Web of Science</v>
      </c>
    </row>
    <row r="578" ht="12.75" customHeight="1">
      <c r="A578" s="1" t="s">
        <v>72</v>
      </c>
      <c r="B578" s="1" t="s">
        <v>5608</v>
      </c>
      <c r="C578" s="1" t="s">
        <v>74</v>
      </c>
      <c r="D578" s="1" t="s">
        <v>74</v>
      </c>
      <c r="E578" s="1" t="s">
        <v>74</v>
      </c>
      <c r="F578" s="1" t="s">
        <v>5609</v>
      </c>
      <c r="G578" s="1" t="s">
        <v>74</v>
      </c>
      <c r="H578" s="1" t="s">
        <v>74</v>
      </c>
      <c r="I578" s="1" t="s">
        <v>5610</v>
      </c>
      <c r="J578" s="1" t="s">
        <v>5568</v>
      </c>
      <c r="K578" s="1" t="s">
        <v>74</v>
      </c>
      <c r="L578" s="1" t="s">
        <v>74</v>
      </c>
      <c r="M578" s="1" t="s">
        <v>74</v>
      </c>
      <c r="N578" s="1" t="s">
        <v>74</v>
      </c>
      <c r="O578" s="1" t="s">
        <v>74</v>
      </c>
      <c r="P578" s="1" t="s">
        <v>74</v>
      </c>
      <c r="Q578" s="1" t="s">
        <v>74</v>
      </c>
      <c r="R578" s="1" t="s">
        <v>74</v>
      </c>
      <c r="S578" s="1" t="s">
        <v>74</v>
      </c>
      <c r="T578" s="1" t="s">
        <v>74</v>
      </c>
      <c r="U578" s="1" t="s">
        <v>74</v>
      </c>
      <c r="V578" s="1" t="s">
        <v>5611</v>
      </c>
      <c r="W578" s="1" t="s">
        <v>74</v>
      </c>
      <c r="X578" s="1" t="s">
        <v>74</v>
      </c>
      <c r="Y578" s="1" t="s">
        <v>74</v>
      </c>
      <c r="Z578" s="1" t="s">
        <v>74</v>
      </c>
      <c r="AA578" s="1" t="s">
        <v>5612</v>
      </c>
      <c r="AB578" s="1" t="s">
        <v>5613</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5572</v>
      </c>
      <c r="AP578" s="1" t="s">
        <v>5614</v>
      </c>
      <c r="AQ578" s="1" t="s">
        <v>74</v>
      </c>
      <c r="AR578" s="1" t="s">
        <v>74</v>
      </c>
      <c r="AS578" s="1" t="s">
        <v>74</v>
      </c>
      <c r="AT578" s="1" t="s">
        <v>4055</v>
      </c>
      <c r="AU578" s="1">
        <v>2023.0</v>
      </c>
      <c r="AV578" s="1">
        <v>310.0</v>
      </c>
      <c r="AW578" s="1" t="s">
        <v>74</v>
      </c>
      <c r="AX578" s="1" t="s">
        <v>74</v>
      </c>
      <c r="AY578" s="1" t="s">
        <v>74</v>
      </c>
      <c r="AZ578" s="1" t="s">
        <v>74</v>
      </c>
      <c r="BA578" s="1" t="s">
        <v>74</v>
      </c>
      <c r="BB578" s="1" t="s">
        <v>74</v>
      </c>
      <c r="BC578" s="1" t="s">
        <v>74</v>
      </c>
      <c r="BD578" s="1">
        <v>119947.0</v>
      </c>
      <c r="BE578" s="1" t="s">
        <v>5615</v>
      </c>
      <c r="BF578" s="2" t="str">
        <f>HYPERLINK("http://dx.doi.org/10.1016/j.atmosenv.2023.119947","http://dx.doi.org/10.1016/j.atmosenv.2023.119947")</f>
        <v>http://dx.doi.org/10.1016/j.atmosenv.2023.119947</v>
      </c>
      <c r="BG578" s="1" t="s">
        <v>74</v>
      </c>
      <c r="BH578" s="1" t="s">
        <v>5616</v>
      </c>
      <c r="BI578" s="1" t="s">
        <v>74</v>
      </c>
      <c r="BJ578" s="1" t="s">
        <v>74</v>
      </c>
      <c r="BK578" s="1" t="s">
        <v>74</v>
      </c>
      <c r="BL578" s="1" t="s">
        <v>74</v>
      </c>
      <c r="BM578" s="1" t="s">
        <v>74</v>
      </c>
      <c r="BN578" s="1" t="s">
        <v>74</v>
      </c>
      <c r="BO578" s="1" t="s">
        <v>74</v>
      </c>
      <c r="BP578" s="1" t="s">
        <v>74</v>
      </c>
      <c r="BQ578" s="1" t="s">
        <v>74</v>
      </c>
      <c r="BR578" s="1" t="s">
        <v>74</v>
      </c>
      <c r="BS578" s="1" t="s">
        <v>5617</v>
      </c>
      <c r="BT578" s="1" t="str">
        <f>HYPERLINK("https%3A%2F%2Fwww.webofscience.com%2Fwos%2Fwoscc%2Ffull-record%2FWOS:001051286900001","View Full Record in Web of Science")</f>
        <v>View Full Record in Web of Science</v>
      </c>
    </row>
    <row r="579" ht="12.75" customHeight="1">
      <c r="A579" s="1" t="s">
        <v>72</v>
      </c>
      <c r="B579" s="1" t="s">
        <v>98</v>
      </c>
      <c r="C579" s="1" t="s">
        <v>74</v>
      </c>
      <c r="D579" s="1" t="s">
        <v>74</v>
      </c>
      <c r="E579" s="1" t="s">
        <v>74</v>
      </c>
      <c r="F579" s="1" t="s">
        <v>99</v>
      </c>
      <c r="G579" s="1" t="s">
        <v>74</v>
      </c>
      <c r="H579" s="1" t="s">
        <v>74</v>
      </c>
      <c r="I579" s="1" t="s">
        <v>5618</v>
      </c>
      <c r="J579" s="1" t="s">
        <v>291</v>
      </c>
      <c r="K579" s="1" t="s">
        <v>74</v>
      </c>
      <c r="L579" s="1" t="s">
        <v>74</v>
      </c>
      <c r="M579" s="1" t="s">
        <v>74</v>
      </c>
      <c r="N579" s="1" t="s">
        <v>74</v>
      </c>
      <c r="O579" s="1" t="s">
        <v>74</v>
      </c>
      <c r="P579" s="1" t="s">
        <v>74</v>
      </c>
      <c r="Q579" s="1" t="s">
        <v>74</v>
      </c>
      <c r="R579" s="1" t="s">
        <v>74</v>
      </c>
      <c r="S579" s="1" t="s">
        <v>74</v>
      </c>
      <c r="T579" s="1" t="s">
        <v>74</v>
      </c>
      <c r="U579" s="1" t="s">
        <v>74</v>
      </c>
      <c r="V579" s="1" t="s">
        <v>74</v>
      </c>
      <c r="W579" s="1" t="s">
        <v>74</v>
      </c>
      <c r="X579" s="1" t="s">
        <v>74</v>
      </c>
      <c r="Y579" s="1" t="s">
        <v>74</v>
      </c>
      <c r="Z579" s="1" t="s">
        <v>74</v>
      </c>
      <c r="AA579" s="1" t="s">
        <v>103</v>
      </c>
      <c r="AB579" s="1" t="s">
        <v>74</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295</v>
      </c>
      <c r="AP579" s="1" t="s">
        <v>296</v>
      </c>
      <c r="AQ579" s="1" t="s">
        <v>74</v>
      </c>
      <c r="AR579" s="1" t="s">
        <v>74</v>
      </c>
      <c r="AS579" s="1" t="s">
        <v>74</v>
      </c>
      <c r="AT579" s="1" t="s">
        <v>554</v>
      </c>
      <c r="AU579" s="1">
        <v>2023.0</v>
      </c>
      <c r="AV579" s="1">
        <v>30.0</v>
      </c>
      <c r="AW579" s="1">
        <v>2.0</v>
      </c>
      <c r="AX579" s="1" t="s">
        <v>74</v>
      </c>
      <c r="AY579" s="1" t="s">
        <v>74</v>
      </c>
      <c r="AZ579" s="1" t="s">
        <v>74</v>
      </c>
      <c r="BA579" s="1" t="s">
        <v>74</v>
      </c>
      <c r="BB579" s="1">
        <v>315.0</v>
      </c>
      <c r="BC579" s="1">
        <v>316.0</v>
      </c>
      <c r="BD579" s="1" t="s">
        <v>74</v>
      </c>
      <c r="BE579" s="1" t="s">
        <v>5619</v>
      </c>
      <c r="BF579" s="2" t="str">
        <f>HYPERLINK("http://dx.doi.org/10.1007/s44198-023-00122-8","http://dx.doi.org/10.1007/s44198-023-00122-8")</f>
        <v>http://dx.doi.org/10.1007/s44198-023-00122-8</v>
      </c>
      <c r="BG579" s="1" t="s">
        <v>74</v>
      </c>
      <c r="BH579" s="1" t="s">
        <v>5620</v>
      </c>
      <c r="BI579" s="1" t="s">
        <v>74</v>
      </c>
      <c r="BJ579" s="1" t="s">
        <v>74</v>
      </c>
      <c r="BK579" s="1" t="s">
        <v>74</v>
      </c>
      <c r="BL579" s="1" t="s">
        <v>74</v>
      </c>
      <c r="BM579" s="1" t="s">
        <v>74</v>
      </c>
      <c r="BN579" s="1" t="s">
        <v>74</v>
      </c>
      <c r="BO579" s="1" t="s">
        <v>74</v>
      </c>
      <c r="BP579" s="1" t="s">
        <v>74</v>
      </c>
      <c r="BQ579" s="1" t="s">
        <v>74</v>
      </c>
      <c r="BR579" s="1" t="s">
        <v>74</v>
      </c>
      <c r="BS579" s="1" t="s">
        <v>5621</v>
      </c>
      <c r="BT579" s="1" t="str">
        <f>HYPERLINK("https%3A%2F%2Fwww.webofscience.com%2Fwos%2Fwoscc%2Ffull-record%2FWOS:001004477400001","View Full Record in Web of Science")</f>
        <v>View Full Record in Web of Science</v>
      </c>
    </row>
    <row r="580" ht="12.75" customHeight="1">
      <c r="A580" s="1" t="s">
        <v>72</v>
      </c>
      <c r="B580" s="1" t="s">
        <v>5622</v>
      </c>
      <c r="C580" s="1" t="s">
        <v>74</v>
      </c>
      <c r="D580" s="1" t="s">
        <v>74</v>
      </c>
      <c r="E580" s="1" t="s">
        <v>74</v>
      </c>
      <c r="F580" s="1" t="s">
        <v>5623</v>
      </c>
      <c r="G580" s="1" t="s">
        <v>74</v>
      </c>
      <c r="H580" s="1" t="s">
        <v>74</v>
      </c>
      <c r="I580" s="1" t="s">
        <v>5624</v>
      </c>
      <c r="J580" s="1" t="s">
        <v>5625</v>
      </c>
      <c r="K580" s="1" t="s">
        <v>74</v>
      </c>
      <c r="L580" s="1" t="s">
        <v>74</v>
      </c>
      <c r="M580" s="1" t="s">
        <v>74</v>
      </c>
      <c r="N580" s="1" t="s">
        <v>74</v>
      </c>
      <c r="O580" s="1" t="s">
        <v>74</v>
      </c>
      <c r="P580" s="1" t="s">
        <v>74</v>
      </c>
      <c r="Q580" s="1" t="s">
        <v>74</v>
      </c>
      <c r="R580" s="1" t="s">
        <v>74</v>
      </c>
      <c r="S580" s="1" t="s">
        <v>74</v>
      </c>
      <c r="T580" s="1" t="s">
        <v>74</v>
      </c>
      <c r="U580" s="1" t="s">
        <v>74</v>
      </c>
      <c r="V580" s="1" t="s">
        <v>74</v>
      </c>
      <c r="W580" s="1" t="s">
        <v>74</v>
      </c>
      <c r="X580" s="1" t="s">
        <v>74</v>
      </c>
      <c r="Y580" s="1" t="s">
        <v>74</v>
      </c>
      <c r="Z580" s="1" t="s">
        <v>74</v>
      </c>
      <c r="AA580" s="1" t="s">
        <v>74</v>
      </c>
      <c r="AB580" s="1" t="s">
        <v>74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5626</v>
      </c>
      <c r="AP580" s="1" t="s">
        <v>5627</v>
      </c>
      <c r="AQ580" s="1" t="s">
        <v>74</v>
      </c>
      <c r="AR580" s="1" t="s">
        <v>74</v>
      </c>
      <c r="AS580" s="1" t="s">
        <v>74</v>
      </c>
      <c r="AT580" s="1" t="s">
        <v>95</v>
      </c>
      <c r="AU580" s="1">
        <v>2022.0</v>
      </c>
      <c r="AV580" s="1">
        <v>23.0</v>
      </c>
      <c r="AW580" s="1">
        <v>38.0</v>
      </c>
      <c r="AX580" s="1" t="s">
        <v>74</v>
      </c>
      <c r="AY580" s="1" t="s">
        <v>74</v>
      </c>
      <c r="AZ580" s="1" t="s">
        <v>74</v>
      </c>
      <c r="BA580" s="1" t="s">
        <v>74</v>
      </c>
      <c r="BB580" s="1">
        <v>285.0</v>
      </c>
      <c r="BC580" s="1">
        <v>302.0</v>
      </c>
      <c r="BD580" s="1" t="s">
        <v>74</v>
      </c>
      <c r="BE580" s="1" t="s">
        <v>74</v>
      </c>
      <c r="BF580" s="1" t="s">
        <v>74</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5628</v>
      </c>
      <c r="BT580" s="1" t="str">
        <f>HYPERLINK("https%3A%2F%2Fwww.webofscience.com%2Fwos%2Fwoscc%2Ffull-record%2FWOS:000913147700018","View Full Record in Web of Science")</f>
        <v>View Full Record in Web of Science</v>
      </c>
    </row>
    <row r="581" ht="12.75" customHeight="1">
      <c r="A581" s="1" t="s">
        <v>72</v>
      </c>
      <c r="B581" s="1" t="s">
        <v>5629</v>
      </c>
      <c r="C581" s="1" t="s">
        <v>74</v>
      </c>
      <c r="D581" s="1" t="s">
        <v>74</v>
      </c>
      <c r="E581" s="1" t="s">
        <v>74</v>
      </c>
      <c r="F581" s="1" t="s">
        <v>5630</v>
      </c>
      <c r="G581" s="1" t="s">
        <v>74</v>
      </c>
      <c r="H581" s="1" t="s">
        <v>74</v>
      </c>
      <c r="I581" s="1" t="s">
        <v>5631</v>
      </c>
      <c r="J581" s="1" t="s">
        <v>4986</v>
      </c>
      <c r="K581" s="1" t="s">
        <v>74</v>
      </c>
      <c r="L581" s="1" t="s">
        <v>74</v>
      </c>
      <c r="M581" s="1" t="s">
        <v>74</v>
      </c>
      <c r="N581" s="1" t="s">
        <v>74</v>
      </c>
      <c r="O581" s="1" t="s">
        <v>74</v>
      </c>
      <c r="P581" s="1" t="s">
        <v>74</v>
      </c>
      <c r="Q581" s="1" t="s">
        <v>74</v>
      </c>
      <c r="R581" s="1" t="s">
        <v>74</v>
      </c>
      <c r="S581" s="1" t="s">
        <v>74</v>
      </c>
      <c r="T581" s="1" t="s">
        <v>74</v>
      </c>
      <c r="U581" s="1" t="s">
        <v>74</v>
      </c>
      <c r="V581" s="1" t="s">
        <v>5632</v>
      </c>
      <c r="W581" s="1" t="s">
        <v>74</v>
      </c>
      <c r="X581" s="1" t="s">
        <v>74</v>
      </c>
      <c r="Y581" s="1" t="s">
        <v>74</v>
      </c>
      <c r="Z581" s="1" t="s">
        <v>74</v>
      </c>
      <c r="AA581" s="1" t="s">
        <v>5633</v>
      </c>
      <c r="AB581" s="1" t="s">
        <v>5634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74</v>
      </c>
      <c r="AP581" s="1" t="s">
        <v>4989</v>
      </c>
      <c r="AQ581" s="1" t="s">
        <v>74</v>
      </c>
      <c r="AR581" s="1" t="s">
        <v>74</v>
      </c>
      <c r="AS581" s="1" t="s">
        <v>74</v>
      </c>
      <c r="AT581" s="1" t="s">
        <v>647</v>
      </c>
      <c r="AU581" s="1">
        <v>2021.0</v>
      </c>
      <c r="AV581" s="1">
        <v>13.0</v>
      </c>
      <c r="AW581" s="1">
        <v>8.0</v>
      </c>
      <c r="AX581" s="1" t="s">
        <v>74</v>
      </c>
      <c r="AY581" s="1" t="s">
        <v>74</v>
      </c>
      <c r="AZ581" s="1" t="s">
        <v>74</v>
      </c>
      <c r="BA581" s="1" t="s">
        <v>74</v>
      </c>
      <c r="BB581" s="1" t="s">
        <v>74</v>
      </c>
      <c r="BC581" s="1" t="s">
        <v>74</v>
      </c>
      <c r="BD581" s="1">
        <v>204.0</v>
      </c>
      <c r="BE581" s="1" t="s">
        <v>5635</v>
      </c>
      <c r="BF581" s="2" t="str">
        <f>HYPERLINK("http://dx.doi.org/10.3390/fi13080204","http://dx.doi.org/10.3390/fi13080204")</f>
        <v>http://dx.doi.org/10.3390/fi13080204</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5636</v>
      </c>
      <c r="BT581" s="1" t="str">
        <f>HYPERLINK("https%3A%2F%2Fwww.webofscience.com%2Fwos%2Fwoscc%2Ffull-record%2FWOS:000690608600001","View Full Record in Web of Science")</f>
        <v>View Full Record in Web of Science</v>
      </c>
    </row>
    <row r="582" ht="12.75" customHeight="1">
      <c r="A582" s="1" t="s">
        <v>72</v>
      </c>
      <c r="B582" s="1" t="s">
        <v>5637</v>
      </c>
      <c r="C582" s="1" t="s">
        <v>74</v>
      </c>
      <c r="D582" s="1" t="s">
        <v>74</v>
      </c>
      <c r="E582" s="1" t="s">
        <v>74</v>
      </c>
      <c r="F582" s="1" t="s">
        <v>5638</v>
      </c>
      <c r="G582" s="1" t="s">
        <v>74</v>
      </c>
      <c r="H582" s="1" t="s">
        <v>74</v>
      </c>
      <c r="I582" s="1" t="s">
        <v>5639</v>
      </c>
      <c r="J582" s="1" t="s">
        <v>5640</v>
      </c>
      <c r="K582" s="1" t="s">
        <v>74</v>
      </c>
      <c r="L582" s="1" t="s">
        <v>74</v>
      </c>
      <c r="M582" s="1" t="s">
        <v>74</v>
      </c>
      <c r="N582" s="1" t="s">
        <v>74</v>
      </c>
      <c r="O582" s="1" t="s">
        <v>74</v>
      </c>
      <c r="P582" s="1" t="s">
        <v>74</v>
      </c>
      <c r="Q582" s="1" t="s">
        <v>74</v>
      </c>
      <c r="R582" s="1" t="s">
        <v>74</v>
      </c>
      <c r="S582" s="1" t="s">
        <v>74</v>
      </c>
      <c r="T582" s="1" t="s">
        <v>74</v>
      </c>
      <c r="U582" s="1" t="s">
        <v>74</v>
      </c>
      <c r="V582" s="1" t="s">
        <v>5641</v>
      </c>
      <c r="W582" s="1" t="s">
        <v>74</v>
      </c>
      <c r="X582" s="1" t="s">
        <v>74</v>
      </c>
      <c r="Y582" s="1" t="s">
        <v>74</v>
      </c>
      <c r="Z582" s="1" t="s">
        <v>74</v>
      </c>
      <c r="AA582" s="1" t="s">
        <v>5642</v>
      </c>
      <c r="AB582" s="1" t="s">
        <v>74</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5643</v>
      </c>
      <c r="AP582" s="1" t="s">
        <v>5644</v>
      </c>
      <c r="AQ582" s="1" t="s">
        <v>74</v>
      </c>
      <c r="AR582" s="1" t="s">
        <v>74</v>
      </c>
      <c r="AS582" s="1" t="s">
        <v>74</v>
      </c>
      <c r="AT582" s="1" t="s">
        <v>74</v>
      </c>
      <c r="AU582" s="1">
        <v>2021.0</v>
      </c>
      <c r="AV582" s="1">
        <v>25.0</v>
      </c>
      <c r="AW582" s="1">
        <v>60.0</v>
      </c>
      <c r="AX582" s="1" t="s">
        <v>74</v>
      </c>
      <c r="AY582" s="1" t="s">
        <v>74</v>
      </c>
      <c r="AZ582" s="1" t="s">
        <v>74</v>
      </c>
      <c r="BA582" s="1" t="s">
        <v>74</v>
      </c>
      <c r="BB582" s="1">
        <v>63.0</v>
      </c>
      <c r="BC582" s="1">
        <v>77.0</v>
      </c>
      <c r="BD582" s="1" t="s">
        <v>74</v>
      </c>
      <c r="BE582" s="1" t="s">
        <v>5645</v>
      </c>
      <c r="BF582" s="2" t="str">
        <f>HYPERLINK("http://dx.doi.org/10.14198/cuid.2021.60.06","http://dx.doi.org/10.14198/cuid.2021.60.06")</f>
        <v>http://dx.doi.org/10.14198/cuid.2021.60.06</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5646</v>
      </c>
      <c r="BT582" s="1" t="str">
        <f>HYPERLINK("https%3A%2F%2Fwww.webofscience.com%2Fwos%2Fwoscc%2Ffull-record%2FWOS:000677642300006","View Full Record in Web of Science")</f>
        <v>View Full Record in Web of Science</v>
      </c>
    </row>
    <row r="583" ht="12.75" customHeight="1">
      <c r="A583" s="1" t="s">
        <v>72</v>
      </c>
      <c r="B583" s="1" t="s">
        <v>5647</v>
      </c>
      <c r="C583" s="1" t="s">
        <v>74</v>
      </c>
      <c r="D583" s="1" t="s">
        <v>74</v>
      </c>
      <c r="E583" s="1" t="s">
        <v>74</v>
      </c>
      <c r="F583" s="1" t="s">
        <v>5648</v>
      </c>
      <c r="G583" s="1" t="s">
        <v>74</v>
      </c>
      <c r="H583" s="1" t="s">
        <v>74</v>
      </c>
      <c r="I583" s="1" t="s">
        <v>5649</v>
      </c>
      <c r="J583" s="1" t="s">
        <v>5650</v>
      </c>
      <c r="K583" s="1" t="s">
        <v>74</v>
      </c>
      <c r="L583" s="1" t="s">
        <v>74</v>
      </c>
      <c r="M583" s="1" t="s">
        <v>74</v>
      </c>
      <c r="N583" s="1" t="s">
        <v>74</v>
      </c>
      <c r="O583" s="1" t="s">
        <v>74</v>
      </c>
      <c r="P583" s="1" t="s">
        <v>74</v>
      </c>
      <c r="Q583" s="1" t="s">
        <v>74</v>
      </c>
      <c r="R583" s="1" t="s">
        <v>74</v>
      </c>
      <c r="S583" s="1" t="s">
        <v>74</v>
      </c>
      <c r="T583" s="1" t="s">
        <v>74</v>
      </c>
      <c r="U583" s="1" t="s">
        <v>74</v>
      </c>
      <c r="V583" s="1" t="s">
        <v>5651</v>
      </c>
      <c r="W583" s="1" t="s">
        <v>74</v>
      </c>
      <c r="X583" s="1" t="s">
        <v>74</v>
      </c>
      <c r="Y583" s="1" t="s">
        <v>74</v>
      </c>
      <c r="Z583" s="1" t="s">
        <v>74</v>
      </c>
      <c r="AA583" s="1" t="s">
        <v>5652</v>
      </c>
      <c r="AB583" s="1" t="s">
        <v>5653</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74</v>
      </c>
      <c r="AP583" s="1" t="s">
        <v>5654</v>
      </c>
      <c r="AQ583" s="1" t="s">
        <v>74</v>
      </c>
      <c r="AR583" s="1" t="s">
        <v>74</v>
      </c>
      <c r="AS583" s="1" t="s">
        <v>74</v>
      </c>
      <c r="AT583" s="1" t="s">
        <v>95</v>
      </c>
      <c r="AU583" s="1">
        <v>2020.0</v>
      </c>
      <c r="AV583" s="1">
        <v>9.0</v>
      </c>
      <c r="AW583" s="1">
        <v>12.0</v>
      </c>
      <c r="AX583" s="1" t="s">
        <v>74</v>
      </c>
      <c r="AY583" s="1" t="s">
        <v>74</v>
      </c>
      <c r="AZ583" s="1" t="s">
        <v>74</v>
      </c>
      <c r="BA583" s="1" t="s">
        <v>74</v>
      </c>
      <c r="BB583" s="1" t="s">
        <v>74</v>
      </c>
      <c r="BC583" s="1" t="s">
        <v>74</v>
      </c>
      <c r="BD583" s="1">
        <v>2609.0</v>
      </c>
      <c r="BE583" s="1" t="s">
        <v>5655</v>
      </c>
      <c r="BF583" s="2" t="str">
        <f>HYPERLINK("http://dx.doi.org/10.3390/cells9122609","http://dx.doi.org/10.3390/cells9122609")</f>
        <v>http://dx.doi.org/10.3390/cells9122609</v>
      </c>
      <c r="BG583" s="1" t="s">
        <v>74</v>
      </c>
      <c r="BH583" s="1" t="s">
        <v>74</v>
      </c>
      <c r="BI583" s="1" t="s">
        <v>74</v>
      </c>
      <c r="BJ583" s="1" t="s">
        <v>74</v>
      </c>
      <c r="BK583" s="1" t="s">
        <v>74</v>
      </c>
      <c r="BL583" s="1" t="s">
        <v>74</v>
      </c>
      <c r="BM583" s="1" t="s">
        <v>74</v>
      </c>
      <c r="BN583" s="1">
        <v>3.3291797E7</v>
      </c>
      <c r="BO583" s="1" t="s">
        <v>74</v>
      </c>
      <c r="BP583" s="1" t="s">
        <v>74</v>
      </c>
      <c r="BQ583" s="1" t="s">
        <v>74</v>
      </c>
      <c r="BR583" s="1" t="s">
        <v>74</v>
      </c>
      <c r="BS583" s="1" t="s">
        <v>5656</v>
      </c>
      <c r="BT583" s="1" t="str">
        <f>HYPERLINK("https%3A%2F%2Fwww.webofscience.com%2Fwos%2Fwoscc%2Ffull-record%2FWOS:000601634600001","View Full Record in Web of Science")</f>
        <v>View Full Record in Web of Science</v>
      </c>
    </row>
    <row r="584" ht="12.75" customHeight="1">
      <c r="A584" s="1" t="s">
        <v>72</v>
      </c>
      <c r="B584" s="1" t="s">
        <v>5657</v>
      </c>
      <c r="C584" s="1" t="s">
        <v>74</v>
      </c>
      <c r="D584" s="1" t="s">
        <v>74</v>
      </c>
      <c r="E584" s="1" t="s">
        <v>74</v>
      </c>
      <c r="F584" s="1" t="s">
        <v>5658</v>
      </c>
      <c r="G584" s="1" t="s">
        <v>74</v>
      </c>
      <c r="H584" s="1" t="s">
        <v>74</v>
      </c>
      <c r="I584" s="1" t="s">
        <v>5659</v>
      </c>
      <c r="J584" s="1" t="s">
        <v>2169</v>
      </c>
      <c r="K584" s="1" t="s">
        <v>74</v>
      </c>
      <c r="L584" s="1" t="s">
        <v>74</v>
      </c>
      <c r="M584" s="1" t="s">
        <v>74</v>
      </c>
      <c r="N584" s="1" t="s">
        <v>74</v>
      </c>
      <c r="O584" s="1" t="s">
        <v>74</v>
      </c>
      <c r="P584" s="1" t="s">
        <v>74</v>
      </c>
      <c r="Q584" s="1" t="s">
        <v>74</v>
      </c>
      <c r="R584" s="1" t="s">
        <v>74</v>
      </c>
      <c r="S584" s="1" t="s">
        <v>74</v>
      </c>
      <c r="T584" s="1" t="s">
        <v>74</v>
      </c>
      <c r="U584" s="1" t="s">
        <v>74</v>
      </c>
      <c r="V584" s="1" t="s">
        <v>5660</v>
      </c>
      <c r="W584" s="1" t="s">
        <v>74</v>
      </c>
      <c r="X584" s="1" t="s">
        <v>74</v>
      </c>
      <c r="Y584" s="1" t="s">
        <v>74</v>
      </c>
      <c r="Z584" s="1" t="s">
        <v>74</v>
      </c>
      <c r="AA584" s="1" t="s">
        <v>74</v>
      </c>
      <c r="AB584" s="1" t="s">
        <v>74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2173</v>
      </c>
      <c r="AP584" s="1" t="s">
        <v>74</v>
      </c>
      <c r="AQ584" s="1" t="s">
        <v>74</v>
      </c>
      <c r="AR584" s="1" t="s">
        <v>74</v>
      </c>
      <c r="AS584" s="1" t="s">
        <v>74</v>
      </c>
      <c r="AT584" s="1" t="s">
        <v>647</v>
      </c>
      <c r="AU584" s="1">
        <v>2020.0</v>
      </c>
      <c r="AV584" s="1">
        <v>38.0</v>
      </c>
      <c r="AW584" s="1">
        <v>2.0</v>
      </c>
      <c r="AX584" s="1" t="s">
        <v>74</v>
      </c>
      <c r="AY584" s="1" t="s">
        <v>74</v>
      </c>
      <c r="AZ584" s="1" t="s">
        <v>74</v>
      </c>
      <c r="BA584" s="1" t="s">
        <v>74</v>
      </c>
      <c r="BB584" s="1">
        <v>131.0</v>
      </c>
      <c r="BC584" s="1">
        <v>152.0</v>
      </c>
      <c r="BD584" s="1" t="s">
        <v>74</v>
      </c>
      <c r="BE584" s="1" t="s">
        <v>5661</v>
      </c>
      <c r="BF584" s="2" t="str">
        <f>HYPERLINK("http://dx.doi.org/10.4067/S0718-48082020000200131","http://dx.doi.org/10.4067/S0718-48082020000200131")</f>
        <v>http://dx.doi.org/10.4067/S0718-48082020000200131</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5662</v>
      </c>
      <c r="BT584" s="1" t="str">
        <f>HYPERLINK("https%3A%2F%2Fwww.webofscience.com%2Fwos%2Fwoscc%2Ffull-record%2FWOS:000616693800001","View Full Record in Web of Science")</f>
        <v>View Full Record in Web of Science</v>
      </c>
    </row>
    <row r="585" ht="12.75" customHeight="1">
      <c r="A585" s="1" t="s">
        <v>72</v>
      </c>
      <c r="B585" s="1" t="s">
        <v>4030</v>
      </c>
      <c r="C585" s="1" t="s">
        <v>74</v>
      </c>
      <c r="D585" s="1" t="s">
        <v>74</v>
      </c>
      <c r="E585" s="1" t="s">
        <v>74</v>
      </c>
      <c r="F585" s="1" t="s">
        <v>5663</v>
      </c>
      <c r="G585" s="1" t="s">
        <v>74</v>
      </c>
      <c r="H585" s="1" t="s">
        <v>74</v>
      </c>
      <c r="I585" s="1" t="s">
        <v>5664</v>
      </c>
      <c r="J585" s="1" t="s">
        <v>5665</v>
      </c>
      <c r="K585" s="1" t="s">
        <v>74</v>
      </c>
      <c r="L585" s="1" t="s">
        <v>74</v>
      </c>
      <c r="M585" s="1" t="s">
        <v>74</v>
      </c>
      <c r="N585" s="1" t="s">
        <v>74</v>
      </c>
      <c r="O585" s="1" t="s">
        <v>74</v>
      </c>
      <c r="P585" s="1" t="s">
        <v>74</v>
      </c>
      <c r="Q585" s="1" t="s">
        <v>74</v>
      </c>
      <c r="R585" s="1" t="s">
        <v>74</v>
      </c>
      <c r="S585" s="1" t="s">
        <v>74</v>
      </c>
      <c r="T585" s="1" t="s">
        <v>74</v>
      </c>
      <c r="U585" s="1" t="s">
        <v>74</v>
      </c>
      <c r="V585" s="1" t="s">
        <v>5666</v>
      </c>
      <c r="W585" s="1" t="s">
        <v>74</v>
      </c>
      <c r="X585" s="1" t="s">
        <v>74</v>
      </c>
      <c r="Y585" s="1" t="s">
        <v>74</v>
      </c>
      <c r="Z585" s="1" t="s">
        <v>74</v>
      </c>
      <c r="AA585" s="1" t="s">
        <v>74</v>
      </c>
      <c r="AB585" s="1" t="s">
        <v>4034</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5667</v>
      </c>
      <c r="AP585" s="1" t="s">
        <v>5668</v>
      </c>
      <c r="AQ585" s="1" t="s">
        <v>74</v>
      </c>
      <c r="AR585" s="1" t="s">
        <v>74</v>
      </c>
      <c r="AS585" s="1" t="s">
        <v>74</v>
      </c>
      <c r="AT585" s="1" t="s">
        <v>107</v>
      </c>
      <c r="AU585" s="1">
        <v>2020.0</v>
      </c>
      <c r="AV585" s="1">
        <v>40.0</v>
      </c>
      <c r="AW585" s="1">
        <v>5.0</v>
      </c>
      <c r="AX585" s="1" t="s">
        <v>74</v>
      </c>
      <c r="AY585" s="1" t="s">
        <v>74</v>
      </c>
      <c r="AZ585" s="1" t="s">
        <v>74</v>
      </c>
      <c r="BA585" s="1" t="s">
        <v>74</v>
      </c>
      <c r="BB585" s="1">
        <v>2891.0</v>
      </c>
      <c r="BC585" s="1">
        <v>2901.0</v>
      </c>
      <c r="BD585" s="1" t="s">
        <v>74</v>
      </c>
      <c r="BE585" s="1" t="s">
        <v>5669</v>
      </c>
      <c r="BF585" s="2" t="str">
        <f>HYPERLINK("http://dx.doi.org/10.3934/dcds.2020153","http://dx.doi.org/10.3934/dcds.2020153")</f>
        <v>http://dx.doi.org/10.3934/dcds.2020153</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5670</v>
      </c>
      <c r="BT585" s="1" t="str">
        <f>HYPERLINK("https%3A%2F%2Fwww.webofscience.com%2Fwos%2Fwoscc%2Ffull-record%2FWOS:000519529100014","View Full Record in Web of Science")</f>
        <v>View Full Record in Web of Science</v>
      </c>
    </row>
    <row r="586" ht="12.75" customHeight="1">
      <c r="A586" s="1" t="s">
        <v>72</v>
      </c>
      <c r="B586" s="1" t="s">
        <v>5671</v>
      </c>
      <c r="C586" s="1" t="s">
        <v>74</v>
      </c>
      <c r="D586" s="1" t="s">
        <v>74</v>
      </c>
      <c r="E586" s="1" t="s">
        <v>74</v>
      </c>
      <c r="F586" s="1" t="s">
        <v>5672</v>
      </c>
      <c r="G586" s="1" t="s">
        <v>74</v>
      </c>
      <c r="H586" s="1" t="s">
        <v>74</v>
      </c>
      <c r="I586" s="1" t="s">
        <v>5673</v>
      </c>
      <c r="J586" s="1" t="s">
        <v>5674</v>
      </c>
      <c r="K586" s="1" t="s">
        <v>74</v>
      </c>
      <c r="L586" s="1" t="s">
        <v>74</v>
      </c>
      <c r="M586" s="1" t="s">
        <v>74</v>
      </c>
      <c r="N586" s="1" t="s">
        <v>74</v>
      </c>
      <c r="O586" s="1" t="s">
        <v>74</v>
      </c>
      <c r="P586" s="1" t="s">
        <v>74</v>
      </c>
      <c r="Q586" s="1" t="s">
        <v>74</v>
      </c>
      <c r="R586" s="1" t="s">
        <v>74</v>
      </c>
      <c r="S586" s="1" t="s">
        <v>74</v>
      </c>
      <c r="T586" s="1" t="s">
        <v>74</v>
      </c>
      <c r="U586" s="1" t="s">
        <v>74</v>
      </c>
      <c r="V586" s="1" t="s">
        <v>5675</v>
      </c>
      <c r="W586" s="1" t="s">
        <v>74</v>
      </c>
      <c r="X586" s="1" t="s">
        <v>74</v>
      </c>
      <c r="Y586" s="1" t="s">
        <v>74</v>
      </c>
      <c r="Z586" s="1" t="s">
        <v>74</v>
      </c>
      <c r="AA586" s="1" t="s">
        <v>5676</v>
      </c>
      <c r="AB586" s="1" t="s">
        <v>5677</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5678</v>
      </c>
      <c r="AP586" s="1" t="s">
        <v>5679</v>
      </c>
      <c r="AQ586" s="1" t="s">
        <v>74</v>
      </c>
      <c r="AR586" s="1" t="s">
        <v>74</v>
      </c>
      <c r="AS586" s="1" t="s">
        <v>74</v>
      </c>
      <c r="AT586" s="1" t="s">
        <v>2015</v>
      </c>
      <c r="AU586" s="1">
        <v>2020.0</v>
      </c>
      <c r="AV586" s="1">
        <v>81.0</v>
      </c>
      <c r="AW586" s="1">
        <v>4.0</v>
      </c>
      <c r="AX586" s="1" t="s">
        <v>74</v>
      </c>
      <c r="AY586" s="1" t="s">
        <v>74</v>
      </c>
      <c r="AZ586" s="1" t="s">
        <v>74</v>
      </c>
      <c r="BA586" s="1" t="s">
        <v>74</v>
      </c>
      <c r="BB586" s="1">
        <v>773.0</v>
      </c>
      <c r="BC586" s="1">
        <v>780.0</v>
      </c>
      <c r="BD586" s="1" t="s">
        <v>74</v>
      </c>
      <c r="BE586" s="1" t="s">
        <v>5680</v>
      </c>
      <c r="BF586" s="2" t="str">
        <f>HYPERLINK("http://dx.doi.org/10.2166/wst.2020.158","http://dx.doi.org/10.2166/wst.2020.158")</f>
        <v>http://dx.doi.org/10.2166/wst.2020.158</v>
      </c>
      <c r="BG586" s="1" t="s">
        <v>74</v>
      </c>
      <c r="BH586" s="1" t="s">
        <v>74</v>
      </c>
      <c r="BI586" s="1" t="s">
        <v>74</v>
      </c>
      <c r="BJ586" s="1" t="s">
        <v>74</v>
      </c>
      <c r="BK586" s="1" t="s">
        <v>74</v>
      </c>
      <c r="BL586" s="1" t="s">
        <v>74</v>
      </c>
      <c r="BM586" s="1" t="s">
        <v>74</v>
      </c>
      <c r="BN586" s="1">
        <v>3.246028E7</v>
      </c>
      <c r="BO586" s="1" t="s">
        <v>74</v>
      </c>
      <c r="BP586" s="1" t="s">
        <v>74</v>
      </c>
      <c r="BQ586" s="1" t="s">
        <v>74</v>
      </c>
      <c r="BR586" s="1" t="s">
        <v>74</v>
      </c>
      <c r="BS586" s="1" t="s">
        <v>5681</v>
      </c>
      <c r="BT586" s="1" t="str">
        <f>HYPERLINK("https%3A%2F%2Fwww.webofscience.com%2Fwos%2Fwoscc%2Ffull-record%2FWOS:000537967000013","View Full Record in Web of Science")</f>
        <v>View Full Record in Web of Science</v>
      </c>
    </row>
    <row r="587" ht="12.75" customHeight="1">
      <c r="A587" s="1" t="s">
        <v>72</v>
      </c>
      <c r="B587" s="1" t="s">
        <v>5682</v>
      </c>
      <c r="C587" s="1" t="s">
        <v>74</v>
      </c>
      <c r="D587" s="1" t="s">
        <v>74</v>
      </c>
      <c r="E587" s="1" t="s">
        <v>74</v>
      </c>
      <c r="F587" s="1" t="s">
        <v>5683</v>
      </c>
      <c r="G587" s="1" t="s">
        <v>74</v>
      </c>
      <c r="H587" s="1" t="s">
        <v>74</v>
      </c>
      <c r="I587" s="1" t="s">
        <v>5684</v>
      </c>
      <c r="J587" s="1" t="s">
        <v>3583</v>
      </c>
      <c r="K587" s="1" t="s">
        <v>74</v>
      </c>
      <c r="L587" s="1" t="s">
        <v>74</v>
      </c>
      <c r="M587" s="1" t="s">
        <v>74</v>
      </c>
      <c r="N587" s="1" t="s">
        <v>74</v>
      </c>
      <c r="O587" s="1" t="s">
        <v>74</v>
      </c>
      <c r="P587" s="1" t="s">
        <v>74</v>
      </c>
      <c r="Q587" s="1" t="s">
        <v>74</v>
      </c>
      <c r="R587" s="1" t="s">
        <v>74</v>
      </c>
      <c r="S587" s="1" t="s">
        <v>74</v>
      </c>
      <c r="T587" s="1" t="s">
        <v>74</v>
      </c>
      <c r="U587" s="1" t="s">
        <v>74</v>
      </c>
      <c r="V587" s="1" t="s">
        <v>5685</v>
      </c>
      <c r="W587" s="1" t="s">
        <v>74</v>
      </c>
      <c r="X587" s="1" t="s">
        <v>74</v>
      </c>
      <c r="Y587" s="1" t="s">
        <v>74</v>
      </c>
      <c r="Z587" s="1" t="s">
        <v>74</v>
      </c>
      <c r="AA587" s="1" t="s">
        <v>3584</v>
      </c>
      <c r="AB587" s="1" t="s">
        <v>3585</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3586</v>
      </c>
      <c r="AP587" s="1" t="s">
        <v>3587</v>
      </c>
      <c r="AQ587" s="1" t="s">
        <v>74</v>
      </c>
      <c r="AR587" s="1" t="s">
        <v>74</v>
      </c>
      <c r="AS587" s="1" t="s">
        <v>74</v>
      </c>
      <c r="AT587" s="1" t="s">
        <v>647</v>
      </c>
      <c r="AU587" s="1">
        <v>2019.0</v>
      </c>
      <c r="AV587" s="1">
        <v>29.0</v>
      </c>
      <c r="AW587" s="1">
        <v>8.0</v>
      </c>
      <c r="AX587" s="1" t="s">
        <v>74</v>
      </c>
      <c r="AY587" s="1" t="s">
        <v>74</v>
      </c>
      <c r="AZ587" s="1" t="s">
        <v>74</v>
      </c>
      <c r="BA587" s="1" t="s">
        <v>74</v>
      </c>
      <c r="BB587" s="1">
        <v>2548.0</v>
      </c>
      <c r="BC587" s="1">
        <v>2552.0</v>
      </c>
      <c r="BD587" s="1" t="s">
        <v>74</v>
      </c>
      <c r="BE587" s="1" t="s">
        <v>5686</v>
      </c>
      <c r="BF587" s="2" t="str">
        <f>HYPERLINK("http://dx.doi.org/10.1007/s11695-019-03876-7","http://dx.doi.org/10.1007/s11695-019-03876-7")</f>
        <v>http://dx.doi.org/10.1007/s11695-019-03876-7</v>
      </c>
      <c r="BG587" s="1" t="s">
        <v>74</v>
      </c>
      <c r="BH587" s="1" t="s">
        <v>74</v>
      </c>
      <c r="BI587" s="1" t="s">
        <v>74</v>
      </c>
      <c r="BJ587" s="1" t="s">
        <v>74</v>
      </c>
      <c r="BK587" s="1" t="s">
        <v>74</v>
      </c>
      <c r="BL587" s="1" t="s">
        <v>74</v>
      </c>
      <c r="BM587" s="1" t="s">
        <v>74</v>
      </c>
      <c r="BN587" s="1">
        <v>3.0993573E7</v>
      </c>
      <c r="BO587" s="1" t="s">
        <v>74</v>
      </c>
      <c r="BP587" s="1" t="s">
        <v>74</v>
      </c>
      <c r="BQ587" s="1" t="s">
        <v>74</v>
      </c>
      <c r="BR587" s="1" t="s">
        <v>74</v>
      </c>
      <c r="BS587" s="1" t="s">
        <v>5687</v>
      </c>
      <c r="BT587" s="1" t="str">
        <f>HYPERLINK("https%3A%2F%2Fwww.webofscience.com%2Fwos%2Fwoscc%2Ffull-record%2FWOS:000477590600024","View Full Record in Web of Science")</f>
        <v>View Full Record in Web of Science</v>
      </c>
    </row>
    <row r="588" ht="12.75" customHeight="1">
      <c r="A588" s="1" t="s">
        <v>380</v>
      </c>
      <c r="B588" s="1" t="s">
        <v>5688</v>
      </c>
      <c r="C588" s="1" t="s">
        <v>74</v>
      </c>
      <c r="D588" s="1" t="s">
        <v>2462</v>
      </c>
      <c r="E588" s="1" t="s">
        <v>74</v>
      </c>
      <c r="F588" s="1" t="s">
        <v>5689</v>
      </c>
      <c r="G588" s="1" t="s">
        <v>74</v>
      </c>
      <c r="H588" s="1" t="s">
        <v>74</v>
      </c>
      <c r="I588" s="1" t="s">
        <v>5690</v>
      </c>
      <c r="J588" s="1" t="s">
        <v>2465</v>
      </c>
      <c r="K588" s="1" t="s">
        <v>74</v>
      </c>
      <c r="L588" s="1" t="s">
        <v>74</v>
      </c>
      <c r="M588" s="1" t="s">
        <v>74</v>
      </c>
      <c r="N588" s="1" t="s">
        <v>74</v>
      </c>
      <c r="O588" s="1" t="s">
        <v>74</v>
      </c>
      <c r="P588" s="1" t="s">
        <v>74</v>
      </c>
      <c r="Q588" s="1" t="s">
        <v>74</v>
      </c>
      <c r="R588" s="1" t="s">
        <v>74</v>
      </c>
      <c r="S588" s="1" t="s">
        <v>74</v>
      </c>
      <c r="T588" s="1" t="s">
        <v>74</v>
      </c>
      <c r="U588" s="1" t="s">
        <v>74</v>
      </c>
      <c r="V588" s="1" t="s">
        <v>74</v>
      </c>
      <c r="W588" s="1" t="s">
        <v>74</v>
      </c>
      <c r="X588" s="1" t="s">
        <v>74</v>
      </c>
      <c r="Y588" s="1" t="s">
        <v>74</v>
      </c>
      <c r="Z588" s="1" t="s">
        <v>74</v>
      </c>
      <c r="AA588" s="1" t="s">
        <v>74</v>
      </c>
      <c r="AB588" s="1" t="s">
        <v>74</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74</v>
      </c>
      <c r="AP588" s="1" t="s">
        <v>74</v>
      </c>
      <c r="AQ588" s="1" t="s">
        <v>2466</v>
      </c>
      <c r="AR588" s="1" t="s">
        <v>74</v>
      </c>
      <c r="AS588" s="1" t="s">
        <v>74</v>
      </c>
      <c r="AT588" s="1" t="s">
        <v>74</v>
      </c>
      <c r="AU588" s="1">
        <v>2018.0</v>
      </c>
      <c r="AV588" s="1" t="s">
        <v>74</v>
      </c>
      <c r="AW588" s="1" t="s">
        <v>74</v>
      </c>
      <c r="AX588" s="1" t="s">
        <v>74</v>
      </c>
      <c r="AY588" s="1" t="s">
        <v>74</v>
      </c>
      <c r="AZ588" s="1" t="s">
        <v>74</v>
      </c>
      <c r="BA588" s="1" t="s">
        <v>74</v>
      </c>
      <c r="BB588" s="1">
        <v>75.0</v>
      </c>
      <c r="BC588" s="1">
        <v>105.0</v>
      </c>
      <c r="BD588" s="1" t="s">
        <v>74</v>
      </c>
      <c r="BE588" s="1" t="s">
        <v>74</v>
      </c>
      <c r="BF588" s="1" t="s">
        <v>74</v>
      </c>
      <c r="BG588" s="1" t="s">
        <v>2467</v>
      </c>
      <c r="BH588" s="1" t="s">
        <v>74</v>
      </c>
      <c r="BI588" s="1" t="s">
        <v>74</v>
      </c>
      <c r="BJ588" s="1" t="s">
        <v>74</v>
      </c>
      <c r="BK588" s="1" t="s">
        <v>74</v>
      </c>
      <c r="BL588" s="1" t="s">
        <v>74</v>
      </c>
      <c r="BM588" s="1" t="s">
        <v>74</v>
      </c>
      <c r="BN588" s="1" t="s">
        <v>74</v>
      </c>
      <c r="BO588" s="1" t="s">
        <v>74</v>
      </c>
      <c r="BP588" s="1" t="s">
        <v>74</v>
      </c>
      <c r="BQ588" s="1" t="s">
        <v>74</v>
      </c>
      <c r="BR588" s="1" t="s">
        <v>74</v>
      </c>
      <c r="BS588" s="1" t="s">
        <v>5691</v>
      </c>
      <c r="BT588" s="1" t="str">
        <f>HYPERLINK("https%3A%2F%2Fwww.webofscience.com%2Fwos%2Fwoscc%2Ffull-record%2FWOS:000440942900003","View Full Record in Web of Science")</f>
        <v>View Full Record in Web of Science</v>
      </c>
    </row>
    <row r="589" ht="12.75" customHeight="1">
      <c r="A589" s="1" t="s">
        <v>72</v>
      </c>
      <c r="B589" s="1" t="s">
        <v>5692</v>
      </c>
      <c r="C589" s="1" t="s">
        <v>74</v>
      </c>
      <c r="D589" s="1" t="s">
        <v>74</v>
      </c>
      <c r="E589" s="1" t="s">
        <v>74</v>
      </c>
      <c r="F589" s="1" t="s">
        <v>5693</v>
      </c>
      <c r="G589" s="1" t="s">
        <v>74</v>
      </c>
      <c r="H589" s="1" t="s">
        <v>74</v>
      </c>
      <c r="I589" s="1" t="s">
        <v>5694</v>
      </c>
      <c r="J589" s="1" t="s">
        <v>3635</v>
      </c>
      <c r="K589" s="1" t="s">
        <v>74</v>
      </c>
      <c r="L589" s="1" t="s">
        <v>74</v>
      </c>
      <c r="M589" s="1" t="s">
        <v>74</v>
      </c>
      <c r="N589" s="1" t="s">
        <v>74</v>
      </c>
      <c r="O589" s="1" t="s">
        <v>74</v>
      </c>
      <c r="P589" s="1" t="s">
        <v>74</v>
      </c>
      <c r="Q589" s="1" t="s">
        <v>74</v>
      </c>
      <c r="R589" s="1" t="s">
        <v>74</v>
      </c>
      <c r="S589" s="1" t="s">
        <v>74</v>
      </c>
      <c r="T589" s="1" t="s">
        <v>74</v>
      </c>
      <c r="U589" s="1" t="s">
        <v>74</v>
      </c>
      <c r="V589" s="1" t="s">
        <v>5695</v>
      </c>
      <c r="W589" s="1" t="s">
        <v>74</v>
      </c>
      <c r="X589" s="1" t="s">
        <v>74</v>
      </c>
      <c r="Y589" s="1" t="s">
        <v>74</v>
      </c>
      <c r="Z589" s="1" t="s">
        <v>74</v>
      </c>
      <c r="AA589" s="1" t="s">
        <v>5696</v>
      </c>
      <c r="AB589" s="1" t="s">
        <v>5697</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3638</v>
      </c>
      <c r="AP589" s="1" t="s">
        <v>3639</v>
      </c>
      <c r="AQ589" s="1" t="s">
        <v>74</v>
      </c>
      <c r="AR589" s="1" t="s">
        <v>74</v>
      </c>
      <c r="AS589" s="1" t="s">
        <v>74</v>
      </c>
      <c r="AT589" s="1" t="s">
        <v>647</v>
      </c>
      <c r="AU589" s="1">
        <v>2017.0</v>
      </c>
      <c r="AV589" s="1">
        <v>54.0</v>
      </c>
      <c r="AW589" s="1">
        <v>9.0</v>
      </c>
      <c r="AX589" s="1" t="s">
        <v>74</v>
      </c>
      <c r="AY589" s="1" t="s">
        <v>74</v>
      </c>
      <c r="AZ589" s="1" t="s">
        <v>74</v>
      </c>
      <c r="BA589" s="1" t="s">
        <v>74</v>
      </c>
      <c r="BB589" s="1">
        <v>2878.0</v>
      </c>
      <c r="BC589" s="1">
        <v>2889.0</v>
      </c>
      <c r="BD589" s="1" t="s">
        <v>74</v>
      </c>
      <c r="BE589" s="1" t="s">
        <v>5698</v>
      </c>
      <c r="BF589" s="2" t="str">
        <f>HYPERLINK("http://dx.doi.org/10.1007/s13197-017-2726-1","http://dx.doi.org/10.1007/s13197-017-2726-1")</f>
        <v>http://dx.doi.org/10.1007/s13197-017-2726-1</v>
      </c>
      <c r="BG589" s="1" t="s">
        <v>74</v>
      </c>
      <c r="BH589" s="1" t="s">
        <v>74</v>
      </c>
      <c r="BI589" s="1" t="s">
        <v>74</v>
      </c>
      <c r="BJ589" s="1" t="s">
        <v>74</v>
      </c>
      <c r="BK589" s="1" t="s">
        <v>74</v>
      </c>
      <c r="BL589" s="1" t="s">
        <v>74</v>
      </c>
      <c r="BM589" s="1" t="s">
        <v>74</v>
      </c>
      <c r="BN589" s="1">
        <v>2.8928528E7</v>
      </c>
      <c r="BO589" s="1" t="s">
        <v>74</v>
      </c>
      <c r="BP589" s="1" t="s">
        <v>74</v>
      </c>
      <c r="BQ589" s="1" t="s">
        <v>74</v>
      </c>
      <c r="BR589" s="1" t="s">
        <v>74</v>
      </c>
      <c r="BS589" s="1" t="s">
        <v>5699</v>
      </c>
      <c r="BT589" s="1" t="str">
        <f>HYPERLINK("https%3A%2F%2Fwww.webofscience.com%2Fwos%2Fwoscc%2Ffull-record%2FWOS:000409183800028","View Full Record in Web of Science")</f>
        <v>View Full Record in Web of Science</v>
      </c>
    </row>
    <row r="590" ht="12.75" customHeight="1">
      <c r="A590" s="1" t="s">
        <v>72</v>
      </c>
      <c r="B590" s="1" t="s">
        <v>5700</v>
      </c>
      <c r="C590" s="1" t="s">
        <v>74</v>
      </c>
      <c r="D590" s="1" t="s">
        <v>74</v>
      </c>
      <c r="E590" s="1" t="s">
        <v>74</v>
      </c>
      <c r="F590" s="1" t="s">
        <v>5701</v>
      </c>
      <c r="G590" s="1" t="s">
        <v>74</v>
      </c>
      <c r="H590" s="1" t="s">
        <v>74</v>
      </c>
      <c r="I590" s="1" t="s">
        <v>5702</v>
      </c>
      <c r="J590" s="1" t="s">
        <v>5703</v>
      </c>
      <c r="K590" s="1" t="s">
        <v>74</v>
      </c>
      <c r="L590" s="1" t="s">
        <v>74</v>
      </c>
      <c r="M590" s="1" t="s">
        <v>74</v>
      </c>
      <c r="N590" s="1" t="s">
        <v>74</v>
      </c>
      <c r="O590" s="1" t="s">
        <v>74</v>
      </c>
      <c r="P590" s="1" t="s">
        <v>74</v>
      </c>
      <c r="Q590" s="1" t="s">
        <v>74</v>
      </c>
      <c r="R590" s="1" t="s">
        <v>74</v>
      </c>
      <c r="S590" s="1" t="s">
        <v>74</v>
      </c>
      <c r="T590" s="1" t="s">
        <v>74</v>
      </c>
      <c r="U590" s="1" t="s">
        <v>74</v>
      </c>
      <c r="V590" s="1" t="s">
        <v>5704</v>
      </c>
      <c r="W590" s="1" t="s">
        <v>74</v>
      </c>
      <c r="X590" s="1" t="s">
        <v>74</v>
      </c>
      <c r="Y590" s="1" t="s">
        <v>74</v>
      </c>
      <c r="Z590" s="1" t="s">
        <v>74</v>
      </c>
      <c r="AA590" s="1" t="s">
        <v>5705</v>
      </c>
      <c r="AB590" s="1" t="s">
        <v>5706</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74</v>
      </c>
      <c r="AP590" s="1" t="s">
        <v>5707</v>
      </c>
      <c r="AQ590" s="1" t="s">
        <v>74</v>
      </c>
      <c r="AR590" s="1" t="s">
        <v>74</v>
      </c>
      <c r="AS590" s="1" t="s">
        <v>74</v>
      </c>
      <c r="AT590" s="1" t="s">
        <v>596</v>
      </c>
      <c r="AU590" s="1">
        <v>2015.0</v>
      </c>
      <c r="AV590" s="1">
        <v>15.0</v>
      </c>
      <c r="AW590" s="1">
        <v>11.0</v>
      </c>
      <c r="AX590" s="1" t="s">
        <v>74</v>
      </c>
      <c r="AY590" s="1" t="s">
        <v>74</v>
      </c>
      <c r="AZ590" s="1" t="s">
        <v>74</v>
      </c>
      <c r="BA590" s="1" t="s">
        <v>74</v>
      </c>
      <c r="BB590" s="1">
        <v>27905.0</v>
      </c>
      <c r="BC590" s="1">
        <v>27916.0</v>
      </c>
      <c r="BD590" s="1" t="s">
        <v>74</v>
      </c>
      <c r="BE590" s="1" t="s">
        <v>5708</v>
      </c>
      <c r="BF590" s="2" t="str">
        <f>HYPERLINK("http://dx.doi.org/10.3390/s151127905","http://dx.doi.org/10.3390/s151127905")</f>
        <v>http://dx.doi.org/10.3390/s151127905</v>
      </c>
      <c r="BG590" s="1" t="s">
        <v>74</v>
      </c>
      <c r="BH590" s="1" t="s">
        <v>74</v>
      </c>
      <c r="BI590" s="1" t="s">
        <v>74</v>
      </c>
      <c r="BJ590" s="1" t="s">
        <v>74</v>
      </c>
      <c r="BK590" s="1" t="s">
        <v>74</v>
      </c>
      <c r="BL590" s="1" t="s">
        <v>74</v>
      </c>
      <c r="BM590" s="1" t="s">
        <v>74</v>
      </c>
      <c r="BN590" s="1">
        <v>2.6540061E7</v>
      </c>
      <c r="BO590" s="1" t="s">
        <v>74</v>
      </c>
      <c r="BP590" s="1" t="s">
        <v>74</v>
      </c>
      <c r="BQ590" s="1" t="s">
        <v>74</v>
      </c>
      <c r="BR590" s="1" t="s">
        <v>74</v>
      </c>
      <c r="BS590" s="1" t="s">
        <v>5709</v>
      </c>
      <c r="BT590" s="1" t="str">
        <f>HYPERLINK("https%3A%2F%2Fwww.webofscience.com%2Fwos%2Fwoscc%2Ffull-record%2FWOS:000365686400023","View Full Record in Web of Science")</f>
        <v>View Full Record in Web of Science</v>
      </c>
    </row>
    <row r="591" ht="12.75" customHeight="1">
      <c r="A591" s="1" t="s">
        <v>72</v>
      </c>
      <c r="B591" s="1" t="s">
        <v>5710</v>
      </c>
      <c r="C591" s="1" t="s">
        <v>74</v>
      </c>
      <c r="D591" s="1" t="s">
        <v>74</v>
      </c>
      <c r="E591" s="1" t="s">
        <v>74</v>
      </c>
      <c r="F591" s="1" t="s">
        <v>5711</v>
      </c>
      <c r="G591" s="1" t="s">
        <v>74</v>
      </c>
      <c r="H591" s="1" t="s">
        <v>74</v>
      </c>
      <c r="I591" s="1" t="s">
        <v>5712</v>
      </c>
      <c r="J591" s="1" t="s">
        <v>1440</v>
      </c>
      <c r="K591" s="1" t="s">
        <v>74</v>
      </c>
      <c r="L591" s="1" t="s">
        <v>74</v>
      </c>
      <c r="M591" s="1" t="s">
        <v>74</v>
      </c>
      <c r="N591" s="1" t="s">
        <v>74</v>
      </c>
      <c r="O591" s="1" t="s">
        <v>74</v>
      </c>
      <c r="P591" s="1" t="s">
        <v>74</v>
      </c>
      <c r="Q591" s="1" t="s">
        <v>74</v>
      </c>
      <c r="R591" s="1" t="s">
        <v>74</v>
      </c>
      <c r="S591" s="1" t="s">
        <v>74</v>
      </c>
      <c r="T591" s="1" t="s">
        <v>74</v>
      </c>
      <c r="U591" s="1" t="s">
        <v>74</v>
      </c>
      <c r="V591" s="1" t="s">
        <v>5713</v>
      </c>
      <c r="W591" s="1" t="s">
        <v>74</v>
      </c>
      <c r="X591" s="1" t="s">
        <v>74</v>
      </c>
      <c r="Y591" s="1" t="s">
        <v>74</v>
      </c>
      <c r="Z591" s="1" t="s">
        <v>74</v>
      </c>
      <c r="AA591" s="1" t="s">
        <v>5714</v>
      </c>
      <c r="AB591" s="1" t="s">
        <v>5715</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1443</v>
      </c>
      <c r="AP591" s="1" t="s">
        <v>1444</v>
      </c>
      <c r="AQ591" s="1" t="s">
        <v>74</v>
      </c>
      <c r="AR591" s="1" t="s">
        <v>74</v>
      </c>
      <c r="AS591" s="1" t="s">
        <v>74</v>
      </c>
      <c r="AT591" s="1" t="s">
        <v>496</v>
      </c>
      <c r="AU591" s="1">
        <v>2015.0</v>
      </c>
      <c r="AV591" s="1">
        <v>143.0</v>
      </c>
      <c r="AW591" s="1">
        <v>1.0</v>
      </c>
      <c r="AX591" s="1" t="s">
        <v>74</v>
      </c>
      <c r="AY591" s="1" t="s">
        <v>74</v>
      </c>
      <c r="AZ591" s="1" t="s">
        <v>74</v>
      </c>
      <c r="BA591" s="1" t="s">
        <v>74</v>
      </c>
      <c r="BB591" s="1">
        <v>30.0</v>
      </c>
      <c r="BC591" s="1">
        <v>38.0</v>
      </c>
      <c r="BD591" s="1" t="s">
        <v>74</v>
      </c>
      <c r="BE591" s="1" t="s">
        <v>5716</v>
      </c>
      <c r="BF591" s="2" t="str">
        <f>HYPERLINK("http://dx.doi.org/10.4067/S0034-98872015000100004","http://dx.doi.org/10.4067/S0034-98872015000100004")</f>
        <v>http://dx.doi.org/10.4067/S0034-98872015000100004</v>
      </c>
      <c r="BG591" s="1" t="s">
        <v>74</v>
      </c>
      <c r="BH591" s="1" t="s">
        <v>74</v>
      </c>
      <c r="BI591" s="1" t="s">
        <v>74</v>
      </c>
      <c r="BJ591" s="1" t="s">
        <v>74</v>
      </c>
      <c r="BK591" s="1" t="s">
        <v>74</v>
      </c>
      <c r="BL591" s="1" t="s">
        <v>74</v>
      </c>
      <c r="BM591" s="1" t="s">
        <v>74</v>
      </c>
      <c r="BN591" s="1">
        <v>2.5860266E7</v>
      </c>
      <c r="BO591" s="1" t="s">
        <v>74</v>
      </c>
      <c r="BP591" s="1" t="s">
        <v>74</v>
      </c>
      <c r="BQ591" s="1" t="s">
        <v>74</v>
      </c>
      <c r="BR591" s="1" t="s">
        <v>74</v>
      </c>
      <c r="BS591" s="1" t="s">
        <v>5717</v>
      </c>
      <c r="BT591" s="1" t="str">
        <f>HYPERLINK("https%3A%2F%2Fwww.webofscience.com%2Fwos%2Fwoscc%2Ffull-record%2FWOS:000348557800004","View Full Record in Web of Science")</f>
        <v>View Full Record in Web of Science</v>
      </c>
    </row>
    <row r="592" ht="12.75" customHeight="1">
      <c r="A592" s="1" t="s">
        <v>72</v>
      </c>
      <c r="B592" s="1" t="s">
        <v>5718</v>
      </c>
      <c r="C592" s="1" t="s">
        <v>74</v>
      </c>
      <c r="D592" s="1" t="s">
        <v>74</v>
      </c>
      <c r="E592" s="1" t="s">
        <v>74</v>
      </c>
      <c r="F592" s="1" t="s">
        <v>5719</v>
      </c>
      <c r="G592" s="1" t="s">
        <v>74</v>
      </c>
      <c r="H592" s="1" t="s">
        <v>74</v>
      </c>
      <c r="I592" s="1" t="s">
        <v>5720</v>
      </c>
      <c r="J592" s="1" t="s">
        <v>5721</v>
      </c>
      <c r="K592" s="1" t="s">
        <v>74</v>
      </c>
      <c r="L592" s="1" t="s">
        <v>74</v>
      </c>
      <c r="M592" s="1" t="s">
        <v>74</v>
      </c>
      <c r="N592" s="1" t="s">
        <v>74</v>
      </c>
      <c r="O592" s="1" t="s">
        <v>74</v>
      </c>
      <c r="P592" s="1" t="s">
        <v>74</v>
      </c>
      <c r="Q592" s="1" t="s">
        <v>74</v>
      </c>
      <c r="R592" s="1" t="s">
        <v>74</v>
      </c>
      <c r="S592" s="1" t="s">
        <v>74</v>
      </c>
      <c r="T592" s="1" t="s">
        <v>74</v>
      </c>
      <c r="U592" s="1" t="s">
        <v>74</v>
      </c>
      <c r="V592" s="1" t="s">
        <v>5722</v>
      </c>
      <c r="W592" s="1" t="s">
        <v>74</v>
      </c>
      <c r="X592" s="1" t="s">
        <v>74</v>
      </c>
      <c r="Y592" s="1" t="s">
        <v>74</v>
      </c>
      <c r="Z592" s="1" t="s">
        <v>74</v>
      </c>
      <c r="AA592" s="1" t="s">
        <v>5723</v>
      </c>
      <c r="AB592" s="1" t="s">
        <v>5724</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5725</v>
      </c>
      <c r="AP592" s="1" t="s">
        <v>5726</v>
      </c>
      <c r="AQ592" s="1" t="s">
        <v>74</v>
      </c>
      <c r="AR592" s="1" t="s">
        <v>74</v>
      </c>
      <c r="AS592" s="1" t="s">
        <v>74</v>
      </c>
      <c r="AT592" s="1" t="s">
        <v>647</v>
      </c>
      <c r="AU592" s="1">
        <v>2012.0</v>
      </c>
      <c r="AV592" s="1">
        <v>77.0</v>
      </c>
      <c r="AW592" s="1">
        <v>8.0</v>
      </c>
      <c r="AX592" s="1" t="s">
        <v>74</v>
      </c>
      <c r="AY592" s="1" t="s">
        <v>74</v>
      </c>
      <c r="AZ592" s="1" t="s">
        <v>74</v>
      </c>
      <c r="BA592" s="1" t="s">
        <v>74</v>
      </c>
      <c r="BB592" s="1" t="s">
        <v>5727</v>
      </c>
      <c r="BC592" s="1" t="s">
        <v>5728</v>
      </c>
      <c r="BD592" s="1" t="s">
        <v>74</v>
      </c>
      <c r="BE592" s="1" t="s">
        <v>5729</v>
      </c>
      <c r="BF592" s="2" t="str">
        <f>HYPERLINK("http://dx.doi.org/10.1111/j.1750-3841.2012.02796.x","http://dx.doi.org/10.1111/j.1750-3841.2012.02796.x")</f>
        <v>http://dx.doi.org/10.1111/j.1750-3841.2012.02796.x</v>
      </c>
      <c r="BG592" s="1" t="s">
        <v>74</v>
      </c>
      <c r="BH592" s="1" t="s">
        <v>74</v>
      </c>
      <c r="BI592" s="1" t="s">
        <v>74</v>
      </c>
      <c r="BJ592" s="1" t="s">
        <v>74</v>
      </c>
      <c r="BK592" s="1" t="s">
        <v>74</v>
      </c>
      <c r="BL592" s="1" t="s">
        <v>74</v>
      </c>
      <c r="BM592" s="1" t="s">
        <v>74</v>
      </c>
      <c r="BN592" s="1">
        <v>2.280909E7</v>
      </c>
      <c r="BO592" s="1" t="s">
        <v>74</v>
      </c>
      <c r="BP592" s="1" t="s">
        <v>74</v>
      </c>
      <c r="BQ592" s="1" t="s">
        <v>74</v>
      </c>
      <c r="BR592" s="1" t="s">
        <v>74</v>
      </c>
      <c r="BS592" s="1" t="s">
        <v>5730</v>
      </c>
      <c r="BT592" s="1" t="str">
        <f>HYPERLINK("https%3A%2F%2Fwww.webofscience.com%2Fwos%2Fwoscc%2Ffull-record%2FWOS:000307385800004","View Full Record in Web of Science")</f>
        <v>View Full Record in Web of Science</v>
      </c>
    </row>
    <row r="593" ht="12.75" customHeight="1">
      <c r="A593" s="1" t="s">
        <v>72</v>
      </c>
      <c r="B593" s="1" t="s">
        <v>5731</v>
      </c>
      <c r="C593" s="1" t="s">
        <v>74</v>
      </c>
      <c r="D593" s="1" t="s">
        <v>74</v>
      </c>
      <c r="E593" s="1" t="s">
        <v>74</v>
      </c>
      <c r="F593" s="1" t="s">
        <v>5732</v>
      </c>
      <c r="G593" s="1" t="s">
        <v>74</v>
      </c>
      <c r="H593" s="1" t="s">
        <v>74</v>
      </c>
      <c r="I593" s="1" t="s">
        <v>5733</v>
      </c>
      <c r="J593" s="1" t="s">
        <v>4403</v>
      </c>
      <c r="K593" s="1" t="s">
        <v>74</v>
      </c>
      <c r="L593" s="1" t="s">
        <v>74</v>
      </c>
      <c r="M593" s="1" t="s">
        <v>74</v>
      </c>
      <c r="N593" s="1" t="s">
        <v>74</v>
      </c>
      <c r="O593" s="1" t="s">
        <v>74</v>
      </c>
      <c r="P593" s="1" t="s">
        <v>74</v>
      </c>
      <c r="Q593" s="1" t="s">
        <v>74</v>
      </c>
      <c r="R593" s="1" t="s">
        <v>74</v>
      </c>
      <c r="S593" s="1" t="s">
        <v>74</v>
      </c>
      <c r="T593" s="1" t="s">
        <v>74</v>
      </c>
      <c r="U593" s="1" t="s">
        <v>74</v>
      </c>
      <c r="V593" s="1" t="s">
        <v>5734</v>
      </c>
      <c r="W593" s="1" t="s">
        <v>74</v>
      </c>
      <c r="X593" s="1" t="s">
        <v>74</v>
      </c>
      <c r="Y593" s="1" t="s">
        <v>74</v>
      </c>
      <c r="Z593" s="1" t="s">
        <v>74</v>
      </c>
      <c r="AA593" s="1" t="s">
        <v>5735</v>
      </c>
      <c r="AB593" s="1" t="s">
        <v>5736</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4407</v>
      </c>
      <c r="AP593" s="1" t="s">
        <v>5737</v>
      </c>
      <c r="AQ593" s="1" t="s">
        <v>74</v>
      </c>
      <c r="AR593" s="1" t="s">
        <v>74</v>
      </c>
      <c r="AS593" s="1" t="s">
        <v>74</v>
      </c>
      <c r="AT593" s="1" t="s">
        <v>647</v>
      </c>
      <c r="AU593" s="1">
        <v>2011.0</v>
      </c>
      <c r="AV593" s="1">
        <v>30.0</v>
      </c>
      <c r="AW593" s="1">
        <v>6.0</v>
      </c>
      <c r="AX593" s="1" t="s">
        <v>74</v>
      </c>
      <c r="AY593" s="1" t="s">
        <v>74</v>
      </c>
      <c r="AZ593" s="1" t="s">
        <v>74</v>
      </c>
      <c r="BA593" s="1" t="s">
        <v>74</v>
      </c>
      <c r="BB593" s="1">
        <v>367.0</v>
      </c>
      <c r="BC593" s="1">
        <v>373.0</v>
      </c>
      <c r="BD593" s="1" t="s">
        <v>74</v>
      </c>
      <c r="BE593" s="1" t="s">
        <v>5738</v>
      </c>
      <c r="BF593" s="2" t="str">
        <f>HYPERLINK("http://dx.doi.org/10.1007/s10930-011-9339-8","http://dx.doi.org/10.1007/s10930-011-9339-8")</f>
        <v>http://dx.doi.org/10.1007/s10930-011-9339-8</v>
      </c>
      <c r="BG593" s="1" t="s">
        <v>74</v>
      </c>
      <c r="BH593" s="1" t="s">
        <v>74</v>
      </c>
      <c r="BI593" s="1" t="s">
        <v>74</v>
      </c>
      <c r="BJ593" s="1" t="s">
        <v>74</v>
      </c>
      <c r="BK593" s="1" t="s">
        <v>74</v>
      </c>
      <c r="BL593" s="1" t="s">
        <v>74</v>
      </c>
      <c r="BM593" s="1" t="s">
        <v>74</v>
      </c>
      <c r="BN593" s="1">
        <v>2.1748378E7</v>
      </c>
      <c r="BO593" s="1" t="s">
        <v>74</v>
      </c>
      <c r="BP593" s="1" t="s">
        <v>74</v>
      </c>
      <c r="BQ593" s="1" t="s">
        <v>74</v>
      </c>
      <c r="BR593" s="1" t="s">
        <v>74</v>
      </c>
      <c r="BS593" s="1" t="s">
        <v>5739</v>
      </c>
      <c r="BT593" s="1" t="str">
        <f>HYPERLINK("https%3A%2F%2Fwww.webofscience.com%2Fwos%2Fwoscc%2Ffull-record%2FWOS:000293462400001","View Full Record in Web of Science")</f>
        <v>View Full Record in Web of Science</v>
      </c>
    </row>
    <row r="594" ht="12.75" customHeight="1">
      <c r="A594" s="1" t="s">
        <v>72</v>
      </c>
      <c r="B594" s="1" t="s">
        <v>5740</v>
      </c>
      <c r="C594" s="1" t="s">
        <v>74</v>
      </c>
      <c r="D594" s="1" t="s">
        <v>74</v>
      </c>
      <c r="E594" s="1" t="s">
        <v>74</v>
      </c>
      <c r="F594" s="1" t="s">
        <v>5741</v>
      </c>
      <c r="G594" s="1" t="s">
        <v>74</v>
      </c>
      <c r="H594" s="1" t="s">
        <v>74</v>
      </c>
      <c r="I594" s="1" t="s">
        <v>5742</v>
      </c>
      <c r="J594" s="1" t="s">
        <v>5743</v>
      </c>
      <c r="K594" s="1" t="s">
        <v>74</v>
      </c>
      <c r="L594" s="1" t="s">
        <v>74</v>
      </c>
      <c r="M594" s="1" t="s">
        <v>74</v>
      </c>
      <c r="N594" s="1" t="s">
        <v>74</v>
      </c>
      <c r="O594" s="1" t="s">
        <v>74</v>
      </c>
      <c r="P594" s="1" t="s">
        <v>74</v>
      </c>
      <c r="Q594" s="1" t="s">
        <v>74</v>
      </c>
      <c r="R594" s="1" t="s">
        <v>74</v>
      </c>
      <c r="S594" s="1" t="s">
        <v>74</v>
      </c>
      <c r="T594" s="1" t="s">
        <v>74</v>
      </c>
      <c r="U594" s="1" t="s">
        <v>74</v>
      </c>
      <c r="V594" s="1" t="s">
        <v>5744</v>
      </c>
      <c r="W594" s="1" t="s">
        <v>74</v>
      </c>
      <c r="X594" s="1" t="s">
        <v>74</v>
      </c>
      <c r="Y594" s="1" t="s">
        <v>74</v>
      </c>
      <c r="Z594" s="1" t="s">
        <v>74</v>
      </c>
      <c r="AA594" s="1" t="s">
        <v>74</v>
      </c>
      <c r="AB594" s="1" t="s">
        <v>74</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5745</v>
      </c>
      <c r="AP594" s="1" t="s">
        <v>74</v>
      </c>
      <c r="AQ594" s="1" t="s">
        <v>74</v>
      </c>
      <c r="AR594" s="1" t="s">
        <v>74</v>
      </c>
      <c r="AS594" s="1" t="s">
        <v>74</v>
      </c>
      <c r="AT594" s="1" t="s">
        <v>74</v>
      </c>
      <c r="AU594" s="1">
        <v>2011.0</v>
      </c>
      <c r="AV594" s="1">
        <v>18.0</v>
      </c>
      <c r="AW594" s="1">
        <v>3.0</v>
      </c>
      <c r="AX594" s="1" t="s">
        <v>74</v>
      </c>
      <c r="AY594" s="1" t="s">
        <v>74</v>
      </c>
      <c r="AZ594" s="1" t="s">
        <v>74</v>
      </c>
      <c r="BA594" s="1" t="s">
        <v>74</v>
      </c>
      <c r="BB594" s="1">
        <v>324.0</v>
      </c>
      <c r="BC594" s="1">
        <v>333.0</v>
      </c>
      <c r="BD594" s="1" t="s">
        <v>74</v>
      </c>
      <c r="BE594" s="1" t="s">
        <v>74</v>
      </c>
      <c r="BF594" s="1" t="s">
        <v>74</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5746</v>
      </c>
      <c r="BT594" s="1" t="str">
        <f>HYPERLINK("https%3A%2F%2Fwww.webofscience.com%2Fwos%2Fwoscc%2Ffull-record%2FWOS:000298114400013","View Full Record in Web of Science")</f>
        <v>View Full Record in Web of Science</v>
      </c>
    </row>
    <row r="595" ht="12.75" customHeight="1">
      <c r="A595" s="1" t="s">
        <v>72</v>
      </c>
      <c r="B595" s="1" t="s">
        <v>5747</v>
      </c>
      <c r="C595" s="1" t="s">
        <v>74</v>
      </c>
      <c r="D595" s="1" t="s">
        <v>74</v>
      </c>
      <c r="E595" s="1" t="s">
        <v>74</v>
      </c>
      <c r="F595" s="1" t="s">
        <v>5748</v>
      </c>
      <c r="G595" s="1" t="s">
        <v>74</v>
      </c>
      <c r="H595" s="1" t="s">
        <v>74</v>
      </c>
      <c r="I595" s="1" t="s">
        <v>5749</v>
      </c>
      <c r="J595" s="1" t="s">
        <v>5750</v>
      </c>
      <c r="K595" s="1" t="s">
        <v>74</v>
      </c>
      <c r="L595" s="1" t="s">
        <v>74</v>
      </c>
      <c r="M595" s="1" t="s">
        <v>74</v>
      </c>
      <c r="N595" s="1" t="s">
        <v>74</v>
      </c>
      <c r="O595" s="1" t="s">
        <v>74</v>
      </c>
      <c r="P595" s="1" t="s">
        <v>74</v>
      </c>
      <c r="Q595" s="1" t="s">
        <v>74</v>
      </c>
      <c r="R595" s="1" t="s">
        <v>74</v>
      </c>
      <c r="S595" s="1" t="s">
        <v>74</v>
      </c>
      <c r="T595" s="1" t="s">
        <v>74</v>
      </c>
      <c r="U595" s="1" t="s">
        <v>74</v>
      </c>
      <c r="V595" s="1" t="s">
        <v>74</v>
      </c>
      <c r="W595" s="1" t="s">
        <v>74</v>
      </c>
      <c r="X595" s="1" t="s">
        <v>74</v>
      </c>
      <c r="Y595" s="1" t="s">
        <v>74</v>
      </c>
      <c r="Z595" s="1" t="s">
        <v>74</v>
      </c>
      <c r="AA595" s="1" t="s">
        <v>5751</v>
      </c>
      <c r="AB595" s="1" t="s">
        <v>3397</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5752</v>
      </c>
      <c r="AP595" s="1" t="s">
        <v>74</v>
      </c>
      <c r="AQ595" s="1" t="s">
        <v>74</v>
      </c>
      <c r="AR595" s="1" t="s">
        <v>74</v>
      </c>
      <c r="AS595" s="1" t="s">
        <v>74</v>
      </c>
      <c r="AT595" s="1" t="s">
        <v>74</v>
      </c>
      <c r="AU595" s="1">
        <v>2009.0</v>
      </c>
      <c r="AV595" s="1">
        <v>179.0</v>
      </c>
      <c r="AW595" s="1" t="s">
        <v>74</v>
      </c>
      <c r="AX595" s="1" t="s">
        <v>74</v>
      </c>
      <c r="AY595" s="1" t="s">
        <v>74</v>
      </c>
      <c r="AZ595" s="1" t="s">
        <v>74</v>
      </c>
      <c r="BA595" s="1" t="s">
        <v>5753</v>
      </c>
      <c r="BB595" s="1" t="s">
        <v>74</v>
      </c>
      <c r="BC595" s="1" t="s">
        <v>74</v>
      </c>
      <c r="BD595" s="1" t="s">
        <v>74</v>
      </c>
      <c r="BE595" s="1" t="s">
        <v>74</v>
      </c>
      <c r="BF595" s="1" t="s">
        <v>74</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5754</v>
      </c>
      <c r="BT595" s="1" t="str">
        <f>HYPERLINK("https%3A%2F%2Fwww.webofscience.com%2Fwos%2Fwoscc%2Ffull-record%2FWOS:000208733105558","View Full Record in Web of Science")</f>
        <v>View Full Record in Web of Science</v>
      </c>
    </row>
    <row r="596" ht="12.75" customHeight="1">
      <c r="A596" s="1" t="s">
        <v>72</v>
      </c>
      <c r="B596" s="1" t="s">
        <v>5755</v>
      </c>
      <c r="C596" s="1" t="s">
        <v>74</v>
      </c>
      <c r="D596" s="1" t="s">
        <v>74</v>
      </c>
      <c r="E596" s="1" t="s">
        <v>74</v>
      </c>
      <c r="F596" s="1" t="s">
        <v>5756</v>
      </c>
      <c r="G596" s="1" t="s">
        <v>74</v>
      </c>
      <c r="H596" s="1" t="s">
        <v>74</v>
      </c>
      <c r="I596" s="1" t="s">
        <v>5757</v>
      </c>
      <c r="J596" s="1" t="s">
        <v>5758</v>
      </c>
      <c r="K596" s="1" t="s">
        <v>74</v>
      </c>
      <c r="L596" s="1" t="s">
        <v>74</v>
      </c>
      <c r="M596" s="1" t="s">
        <v>74</v>
      </c>
      <c r="N596" s="1" t="s">
        <v>74</v>
      </c>
      <c r="O596" s="1" t="s">
        <v>74</v>
      </c>
      <c r="P596" s="1" t="s">
        <v>74</v>
      </c>
      <c r="Q596" s="1" t="s">
        <v>74</v>
      </c>
      <c r="R596" s="1" t="s">
        <v>74</v>
      </c>
      <c r="S596" s="1" t="s">
        <v>74</v>
      </c>
      <c r="T596" s="1" t="s">
        <v>74</v>
      </c>
      <c r="U596" s="1" t="s">
        <v>74</v>
      </c>
      <c r="V596" s="1" t="s">
        <v>5759</v>
      </c>
      <c r="W596" s="1" t="s">
        <v>74</v>
      </c>
      <c r="X596" s="1" t="s">
        <v>74</v>
      </c>
      <c r="Y596" s="1" t="s">
        <v>74</v>
      </c>
      <c r="Z596" s="1" t="s">
        <v>74</v>
      </c>
      <c r="AA596" s="1" t="s">
        <v>5760</v>
      </c>
      <c r="AB596" s="1" t="s">
        <v>5761</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5762</v>
      </c>
      <c r="AP596" s="1" t="s">
        <v>74</v>
      </c>
      <c r="AQ596" s="1" t="s">
        <v>74</v>
      </c>
      <c r="AR596" s="1" t="s">
        <v>74</v>
      </c>
      <c r="AS596" s="1" t="s">
        <v>74</v>
      </c>
      <c r="AT596" s="1" t="s">
        <v>5763</v>
      </c>
      <c r="AU596" s="1">
        <v>2008.0</v>
      </c>
      <c r="AV596" s="1">
        <v>198.0</v>
      </c>
      <c r="AW596" s="1" t="s">
        <v>3424</v>
      </c>
      <c r="AX596" s="1" t="s">
        <v>74</v>
      </c>
      <c r="AY596" s="1" t="s">
        <v>74</v>
      </c>
      <c r="AZ596" s="1" t="s">
        <v>74</v>
      </c>
      <c r="BA596" s="1" t="s">
        <v>74</v>
      </c>
      <c r="BB596" s="1">
        <v>93.0</v>
      </c>
      <c r="BC596" s="1">
        <v>98.0</v>
      </c>
      <c r="BD596" s="1" t="s">
        <v>74</v>
      </c>
      <c r="BE596" s="1" t="s">
        <v>5764</v>
      </c>
      <c r="BF596" s="2" t="str">
        <f>HYPERLINK("http://dx.doi.org/10.1016/j.jmatprotec.2007.06.053","http://dx.doi.org/10.1016/j.jmatprotec.2007.06.053")</f>
        <v>http://dx.doi.org/10.1016/j.jmatprotec.2007.06.053</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5765</v>
      </c>
      <c r="BT596" s="1" t="str">
        <f>HYPERLINK("https%3A%2F%2Fwww.webofscience.com%2Fwos%2Fwoscc%2Ffull-record%2FWOS:000252564100013","View Full Record in Web of Science")</f>
        <v>View Full Record in Web of Science</v>
      </c>
    </row>
    <row r="597" ht="12.75" customHeight="1">
      <c r="A597" s="1" t="s">
        <v>72</v>
      </c>
      <c r="B597" s="1" t="s">
        <v>5766</v>
      </c>
      <c r="C597" s="1" t="s">
        <v>74</v>
      </c>
      <c r="D597" s="1" t="s">
        <v>74</v>
      </c>
      <c r="E597" s="1" t="s">
        <v>74</v>
      </c>
      <c r="F597" s="1" t="s">
        <v>5767</v>
      </c>
      <c r="G597" s="1" t="s">
        <v>74</v>
      </c>
      <c r="H597" s="1" t="s">
        <v>74</v>
      </c>
      <c r="I597" s="1" t="s">
        <v>5768</v>
      </c>
      <c r="J597" s="1" t="s">
        <v>5769</v>
      </c>
      <c r="K597" s="1" t="s">
        <v>74</v>
      </c>
      <c r="L597" s="1" t="s">
        <v>74</v>
      </c>
      <c r="M597" s="1" t="s">
        <v>74</v>
      </c>
      <c r="N597" s="1" t="s">
        <v>74</v>
      </c>
      <c r="O597" s="1" t="s">
        <v>74</v>
      </c>
      <c r="P597" s="1" t="s">
        <v>74</v>
      </c>
      <c r="Q597" s="1" t="s">
        <v>74</v>
      </c>
      <c r="R597" s="1" t="s">
        <v>74</v>
      </c>
      <c r="S597" s="1" t="s">
        <v>74</v>
      </c>
      <c r="T597" s="1" t="s">
        <v>74</v>
      </c>
      <c r="U597" s="1" t="s">
        <v>74</v>
      </c>
      <c r="V597" s="1" t="s">
        <v>5770</v>
      </c>
      <c r="W597" s="1" t="s">
        <v>74</v>
      </c>
      <c r="X597" s="1" t="s">
        <v>74</v>
      </c>
      <c r="Y597" s="1" t="s">
        <v>74</v>
      </c>
      <c r="Z597" s="1" t="s">
        <v>74</v>
      </c>
      <c r="AA597" s="1" t="s">
        <v>5771</v>
      </c>
      <c r="AB597" s="1" t="s">
        <v>5772</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5773</v>
      </c>
      <c r="AP597" s="1" t="s">
        <v>5774</v>
      </c>
      <c r="AQ597" s="1" t="s">
        <v>74</v>
      </c>
      <c r="AR597" s="1" t="s">
        <v>74</v>
      </c>
      <c r="AS597" s="1" t="s">
        <v>74</v>
      </c>
      <c r="AT597" s="1" t="s">
        <v>74</v>
      </c>
      <c r="AU597" s="1">
        <v>2008.0</v>
      </c>
      <c r="AV597" s="1">
        <v>40.0</v>
      </c>
      <c r="AW597" s="1">
        <v>9.0</v>
      </c>
      <c r="AX597" s="1" t="s">
        <v>74</v>
      </c>
      <c r="AY597" s="1" t="s">
        <v>74</v>
      </c>
      <c r="AZ597" s="1" t="s">
        <v>74</v>
      </c>
      <c r="BA597" s="1" t="s">
        <v>74</v>
      </c>
      <c r="BB597" s="1">
        <v>1883.0</v>
      </c>
      <c r="BC597" s="1">
        <v>1889.0</v>
      </c>
      <c r="BD597" s="1" t="s">
        <v>74</v>
      </c>
      <c r="BE597" s="1" t="s">
        <v>5775</v>
      </c>
      <c r="BF597" s="2" t="str">
        <f>HYPERLINK("http://dx.doi.org/10.1016/j.biocel.2008.01.032","http://dx.doi.org/10.1016/j.biocel.2008.01.032")</f>
        <v>http://dx.doi.org/10.1016/j.biocel.2008.01.032</v>
      </c>
      <c r="BG597" s="1" t="s">
        <v>74</v>
      </c>
      <c r="BH597" s="1" t="s">
        <v>74</v>
      </c>
      <c r="BI597" s="1" t="s">
        <v>74</v>
      </c>
      <c r="BJ597" s="1" t="s">
        <v>74</v>
      </c>
      <c r="BK597" s="1" t="s">
        <v>74</v>
      </c>
      <c r="BL597" s="1" t="s">
        <v>74</v>
      </c>
      <c r="BM597" s="1" t="s">
        <v>74</v>
      </c>
      <c r="BN597" s="1">
        <v>1.8346928E7</v>
      </c>
      <c r="BO597" s="1" t="s">
        <v>74</v>
      </c>
      <c r="BP597" s="1" t="s">
        <v>74</v>
      </c>
      <c r="BQ597" s="1" t="s">
        <v>74</v>
      </c>
      <c r="BR597" s="1" t="s">
        <v>74</v>
      </c>
      <c r="BS597" s="1" t="s">
        <v>5776</v>
      </c>
      <c r="BT597" s="1" t="str">
        <f>HYPERLINK("https%3A%2F%2Fwww.webofscience.com%2Fwos%2Fwoscc%2Ffull-record%2FWOS:000258052000025","View Full Record in Web of Science")</f>
        <v>View Full Record in Web of Science</v>
      </c>
    </row>
    <row r="598" ht="12.75" customHeight="1">
      <c r="A598" s="1" t="s">
        <v>72</v>
      </c>
      <c r="B598" s="1" t="s">
        <v>5777</v>
      </c>
      <c r="C598" s="1" t="s">
        <v>74</v>
      </c>
      <c r="D598" s="1" t="s">
        <v>74</v>
      </c>
      <c r="E598" s="1" t="s">
        <v>74</v>
      </c>
      <c r="F598" s="1" t="s">
        <v>5778</v>
      </c>
      <c r="G598" s="1" t="s">
        <v>74</v>
      </c>
      <c r="H598" s="1" t="s">
        <v>74</v>
      </c>
      <c r="I598" s="1" t="s">
        <v>5779</v>
      </c>
      <c r="J598" s="1" t="s">
        <v>5217</v>
      </c>
      <c r="K598" s="1" t="s">
        <v>74</v>
      </c>
      <c r="L598" s="1" t="s">
        <v>74</v>
      </c>
      <c r="M598" s="1" t="s">
        <v>74</v>
      </c>
      <c r="N598" s="1" t="s">
        <v>74</v>
      </c>
      <c r="O598" s="1" t="s">
        <v>74</v>
      </c>
      <c r="P598" s="1" t="s">
        <v>74</v>
      </c>
      <c r="Q598" s="1" t="s">
        <v>74</v>
      </c>
      <c r="R598" s="1" t="s">
        <v>74</v>
      </c>
      <c r="S598" s="1" t="s">
        <v>74</v>
      </c>
      <c r="T598" s="1" t="s">
        <v>74</v>
      </c>
      <c r="U598" s="1" t="s">
        <v>74</v>
      </c>
      <c r="V598" s="1" t="s">
        <v>5780</v>
      </c>
      <c r="W598" s="1" t="s">
        <v>74</v>
      </c>
      <c r="X598" s="1" t="s">
        <v>74</v>
      </c>
      <c r="Y598" s="1" t="s">
        <v>74</v>
      </c>
      <c r="Z598" s="1" t="s">
        <v>74</v>
      </c>
      <c r="AA598" s="1" t="s">
        <v>340</v>
      </c>
      <c r="AB598" s="1" t="s">
        <v>341</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5219</v>
      </c>
      <c r="AP598" s="1" t="s">
        <v>5781</v>
      </c>
      <c r="AQ598" s="1" t="s">
        <v>74</v>
      </c>
      <c r="AR598" s="1" t="s">
        <v>74</v>
      </c>
      <c r="AS598" s="1" t="s">
        <v>74</v>
      </c>
      <c r="AT598" s="1" t="s">
        <v>2420</v>
      </c>
      <c r="AU598" s="1">
        <v>2006.0</v>
      </c>
      <c r="AV598" s="1">
        <v>230.0</v>
      </c>
      <c r="AW598" s="1">
        <v>2.0</v>
      </c>
      <c r="AX598" s="1" t="s">
        <v>74</v>
      </c>
      <c r="AY598" s="1" t="s">
        <v>74</v>
      </c>
      <c r="AZ598" s="1" t="s">
        <v>74</v>
      </c>
      <c r="BA598" s="1" t="s">
        <v>74</v>
      </c>
      <c r="BB598" s="1">
        <v>634.0</v>
      </c>
      <c r="BC598" s="1">
        <v>660.0</v>
      </c>
      <c r="BD598" s="1" t="s">
        <v>74</v>
      </c>
      <c r="BE598" s="1" t="s">
        <v>5782</v>
      </c>
      <c r="BF598" s="2" t="str">
        <f>HYPERLINK("http://dx.doi.org/10.1016/j.jde.2006.07.018","http://dx.doi.org/10.1016/j.jde.2006.07.018")</f>
        <v>http://dx.doi.org/10.1016/j.jde.2006.07.018</v>
      </c>
      <c r="BG598" s="1" t="s">
        <v>74</v>
      </c>
      <c r="BH598" s="1" t="s">
        <v>74</v>
      </c>
      <c r="BI598" s="1" t="s">
        <v>74</v>
      </c>
      <c r="BJ598" s="1" t="s">
        <v>74</v>
      </c>
      <c r="BK598" s="1" t="s">
        <v>74</v>
      </c>
      <c r="BL598" s="1" t="s">
        <v>74</v>
      </c>
      <c r="BM598" s="1" t="s">
        <v>74</v>
      </c>
      <c r="BN598" s="1" t="s">
        <v>74</v>
      </c>
      <c r="BO598" s="1" t="s">
        <v>74</v>
      </c>
      <c r="BP598" s="1" t="s">
        <v>74</v>
      </c>
      <c r="BQ598" s="1" t="s">
        <v>74</v>
      </c>
      <c r="BR598" s="1" t="s">
        <v>74</v>
      </c>
      <c r="BS598" s="1" t="s">
        <v>5783</v>
      </c>
      <c r="BT598" s="1" t="str">
        <f>HYPERLINK("https%3A%2F%2Fwww.webofscience.com%2Fwos%2Fwoscc%2Ffull-record%2FWOS:000242323900012","View Full Record in Web of Science")</f>
        <v>View Full Record in Web of Science</v>
      </c>
    </row>
    <row r="599" ht="12.75" customHeight="1">
      <c r="A599" s="1" t="s">
        <v>72</v>
      </c>
      <c r="B599" s="1" t="s">
        <v>5777</v>
      </c>
      <c r="C599" s="1" t="s">
        <v>74</v>
      </c>
      <c r="D599" s="1" t="s">
        <v>74</v>
      </c>
      <c r="E599" s="1" t="s">
        <v>74</v>
      </c>
      <c r="F599" s="1" t="s">
        <v>5777</v>
      </c>
      <c r="G599" s="1" t="s">
        <v>74</v>
      </c>
      <c r="H599" s="1" t="s">
        <v>74</v>
      </c>
      <c r="I599" s="1" t="s">
        <v>5784</v>
      </c>
      <c r="J599" s="1" t="s">
        <v>5785</v>
      </c>
      <c r="K599" s="1" t="s">
        <v>74</v>
      </c>
      <c r="L599" s="1" t="s">
        <v>74</v>
      </c>
      <c r="M599" s="1" t="s">
        <v>74</v>
      </c>
      <c r="N599" s="1" t="s">
        <v>74</v>
      </c>
      <c r="O599" s="1" t="s">
        <v>74</v>
      </c>
      <c r="P599" s="1" t="s">
        <v>74</v>
      </c>
      <c r="Q599" s="1" t="s">
        <v>74</v>
      </c>
      <c r="R599" s="1" t="s">
        <v>74</v>
      </c>
      <c r="S599" s="1" t="s">
        <v>74</v>
      </c>
      <c r="T599" s="1" t="s">
        <v>74</v>
      </c>
      <c r="U599" s="1" t="s">
        <v>74</v>
      </c>
      <c r="V599" s="1" t="s">
        <v>5786</v>
      </c>
      <c r="W599" s="1" t="s">
        <v>74</v>
      </c>
      <c r="X599" s="1" t="s">
        <v>74</v>
      </c>
      <c r="Y599" s="1" t="s">
        <v>74</v>
      </c>
      <c r="Z599" s="1" t="s">
        <v>74</v>
      </c>
      <c r="AA599" s="1" t="s">
        <v>340</v>
      </c>
      <c r="AB599" s="1" t="s">
        <v>341</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5787</v>
      </c>
      <c r="AP599" s="1" t="s">
        <v>74</v>
      </c>
      <c r="AQ599" s="1" t="s">
        <v>74</v>
      </c>
      <c r="AR599" s="1" t="s">
        <v>74</v>
      </c>
      <c r="AS599" s="1" t="s">
        <v>74</v>
      </c>
      <c r="AT599" s="1" t="s">
        <v>164</v>
      </c>
      <c r="AU599" s="1">
        <v>2006.0</v>
      </c>
      <c r="AV599" s="1">
        <v>253.0</v>
      </c>
      <c r="AW599" s="1">
        <v>3.0</v>
      </c>
      <c r="AX599" s="1" t="s">
        <v>74</v>
      </c>
      <c r="AY599" s="1" t="s">
        <v>74</v>
      </c>
      <c r="AZ599" s="1" t="s">
        <v>74</v>
      </c>
      <c r="BA599" s="1" t="s">
        <v>74</v>
      </c>
      <c r="BB599" s="1">
        <v>489.0</v>
      </c>
      <c r="BC599" s="1">
        <v>514.0</v>
      </c>
      <c r="BD599" s="1" t="s">
        <v>74</v>
      </c>
      <c r="BE599" s="1" t="s">
        <v>5788</v>
      </c>
      <c r="BF599" s="2" t="str">
        <f>HYPERLINK("http://dx.doi.org/10.1007/s00209-005-0919-1","http://dx.doi.org/10.1007/s00209-005-0919-1")</f>
        <v>http://dx.doi.org/10.1007/s00209-005-0919-1</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5789</v>
      </c>
      <c r="BT599" s="1" t="str">
        <f>HYPERLINK("https%3A%2F%2Fwww.webofscience.com%2Fwos%2Fwoscc%2Ffull-record%2FWOS:000237325000005","View Full Record in Web of Science")</f>
        <v>View Full Record in Web of Science</v>
      </c>
    </row>
    <row r="600" ht="12.75" customHeight="1">
      <c r="A600" s="1" t="s">
        <v>346</v>
      </c>
      <c r="B600" s="1" t="s">
        <v>5790</v>
      </c>
      <c r="C600" s="1" t="s">
        <v>74</v>
      </c>
      <c r="D600" s="1" t="s">
        <v>74</v>
      </c>
      <c r="E600" s="1" t="s">
        <v>348</v>
      </c>
      <c r="F600" s="1" t="s">
        <v>5791</v>
      </c>
      <c r="G600" s="1" t="s">
        <v>74</v>
      </c>
      <c r="H600" s="1" t="s">
        <v>74</v>
      </c>
      <c r="I600" s="1" t="s">
        <v>5792</v>
      </c>
      <c r="J600" s="1" t="s">
        <v>5793</v>
      </c>
      <c r="K600" s="1" t="s">
        <v>5794</v>
      </c>
      <c r="L600" s="1" t="s">
        <v>74</v>
      </c>
      <c r="M600" s="1" t="s">
        <v>74</v>
      </c>
      <c r="N600" s="1" t="s">
        <v>74</v>
      </c>
      <c r="O600" s="1" t="s">
        <v>5795</v>
      </c>
      <c r="P600" s="1" t="s">
        <v>5796</v>
      </c>
      <c r="Q600" s="1" t="s">
        <v>5797</v>
      </c>
      <c r="R600" s="1" t="s">
        <v>348</v>
      </c>
      <c r="S600" s="1" t="s">
        <v>74</v>
      </c>
      <c r="T600" s="1" t="s">
        <v>74</v>
      </c>
      <c r="U600" s="1" t="s">
        <v>74</v>
      </c>
      <c r="V600" s="1" t="s">
        <v>5798</v>
      </c>
      <c r="W600" s="1" t="s">
        <v>74</v>
      </c>
      <c r="X600" s="1" t="s">
        <v>74</v>
      </c>
      <c r="Y600" s="1" t="s">
        <v>74</v>
      </c>
      <c r="Z600" s="1" t="s">
        <v>74</v>
      </c>
      <c r="AA600" s="1" t="s">
        <v>5799</v>
      </c>
      <c r="AB600" s="1" t="s">
        <v>5800</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5801</v>
      </c>
      <c r="AP600" s="1" t="s">
        <v>74</v>
      </c>
      <c r="AQ600" s="1" t="s">
        <v>5802</v>
      </c>
      <c r="AR600" s="1" t="s">
        <v>74</v>
      </c>
      <c r="AS600" s="1" t="s">
        <v>74</v>
      </c>
      <c r="AT600" s="1" t="s">
        <v>74</v>
      </c>
      <c r="AU600" s="1">
        <v>2006.0</v>
      </c>
      <c r="AV600" s="1" t="s">
        <v>74</v>
      </c>
      <c r="AW600" s="1" t="s">
        <v>74</v>
      </c>
      <c r="AX600" s="1" t="s">
        <v>74</v>
      </c>
      <c r="AY600" s="1" t="s">
        <v>74</v>
      </c>
      <c r="AZ600" s="1" t="s">
        <v>74</v>
      </c>
      <c r="BA600" s="1" t="s">
        <v>74</v>
      </c>
      <c r="BB600" s="1">
        <v>1220.0</v>
      </c>
      <c r="BC600" s="1">
        <v>1223.0</v>
      </c>
      <c r="BD600" s="1" t="s">
        <v>74</v>
      </c>
      <c r="BE600" s="1" t="s">
        <v>5803</v>
      </c>
      <c r="BF600" s="2" t="str">
        <f>HYPERLINK("http://dx.doi.org/10.1109/NSSMIC.2006.356064","http://dx.doi.org/10.1109/NSSMIC.2006.356064")</f>
        <v>http://dx.doi.org/10.1109/NSSMIC.2006.356064</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5804</v>
      </c>
      <c r="BT600" s="1" t="str">
        <f>HYPERLINK("https%3A%2F%2Fwww.webofscience.com%2Fwos%2Fwoscc%2Ffull-record%2FWOS:000288875601059","View Full Record in Web of Science")</f>
        <v>View Full Record in Web of Science</v>
      </c>
    </row>
    <row r="601" ht="12.75" customHeight="1">
      <c r="A601" s="1" t="s">
        <v>475</v>
      </c>
      <c r="B601" s="1" t="s">
        <v>5805</v>
      </c>
      <c r="C601" s="1" t="s">
        <v>74</v>
      </c>
      <c r="D601" s="1" t="s">
        <v>5806</v>
      </c>
      <c r="E601" s="1" t="s">
        <v>74</v>
      </c>
      <c r="F601" s="1" t="s">
        <v>5805</v>
      </c>
      <c r="G601" s="1" t="s">
        <v>74</v>
      </c>
      <c r="H601" s="1" t="s">
        <v>74</v>
      </c>
      <c r="I601" s="1" t="s">
        <v>5807</v>
      </c>
      <c r="J601" s="1" t="s">
        <v>5808</v>
      </c>
      <c r="K601" s="1" t="s">
        <v>5809</v>
      </c>
      <c r="L601" s="1" t="s">
        <v>74</v>
      </c>
      <c r="M601" s="1" t="s">
        <v>74</v>
      </c>
      <c r="N601" s="1" t="s">
        <v>74</v>
      </c>
      <c r="O601" s="1" t="s">
        <v>74</v>
      </c>
      <c r="P601" s="1" t="s">
        <v>74</v>
      </c>
      <c r="Q601" s="1" t="s">
        <v>74</v>
      </c>
      <c r="R601" s="1" t="s">
        <v>74</v>
      </c>
      <c r="S601" s="1" t="s">
        <v>74</v>
      </c>
      <c r="T601" s="1" t="s">
        <v>74</v>
      </c>
      <c r="U601" s="1" t="s">
        <v>74</v>
      </c>
      <c r="V601" s="1" t="s">
        <v>5810</v>
      </c>
      <c r="W601" s="1" t="s">
        <v>74</v>
      </c>
      <c r="X601" s="1" t="s">
        <v>74</v>
      </c>
      <c r="Y601" s="1" t="s">
        <v>74</v>
      </c>
      <c r="Z601" s="1" t="s">
        <v>74</v>
      </c>
      <c r="AA601" s="1" t="s">
        <v>5811</v>
      </c>
      <c r="AB601" s="1" t="s">
        <v>5812</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3619</v>
      </c>
      <c r="AP601" s="1" t="s">
        <v>74</v>
      </c>
      <c r="AQ601" s="1" t="s">
        <v>74</v>
      </c>
      <c r="AR601" s="1" t="s">
        <v>74</v>
      </c>
      <c r="AS601" s="1" t="s">
        <v>74</v>
      </c>
      <c r="AT601" s="1" t="s">
        <v>74</v>
      </c>
      <c r="AU601" s="1">
        <v>2005.0</v>
      </c>
      <c r="AV601" s="1">
        <v>36.0</v>
      </c>
      <c r="AW601" s="1">
        <v>12.0</v>
      </c>
      <c r="AX601" s="1" t="s">
        <v>74</v>
      </c>
      <c r="AY601" s="1" t="s">
        <v>74</v>
      </c>
      <c r="AZ601" s="1">
        <v>2005.0</v>
      </c>
      <c r="BA601" s="1" t="s">
        <v>74</v>
      </c>
      <c r="BB601" s="1">
        <v>2423.0</v>
      </c>
      <c r="BC601" s="1">
        <v>2427.0</v>
      </c>
      <c r="BD601" s="1" t="s">
        <v>74</v>
      </c>
      <c r="BE601" s="1" t="s">
        <v>5813</v>
      </c>
      <c r="BF601" s="2" t="str">
        <f>HYPERLINK("http://dx.doi.org/10.1016/j.asr.2003.10.056","http://dx.doi.org/10.1016/j.asr.2003.10.056")</f>
        <v>http://dx.doi.org/10.1016/j.asr.2003.10.056</v>
      </c>
      <c r="BG601" s="1" t="s">
        <v>74</v>
      </c>
      <c r="BH601" s="1" t="s">
        <v>74</v>
      </c>
      <c r="BI601" s="1" t="s">
        <v>74</v>
      </c>
      <c r="BJ601" s="1" t="s">
        <v>74</v>
      </c>
      <c r="BK601" s="1" t="s">
        <v>74</v>
      </c>
      <c r="BL601" s="1" t="s">
        <v>74</v>
      </c>
      <c r="BM601" s="1" t="s">
        <v>74</v>
      </c>
      <c r="BN601" s="1" t="s">
        <v>74</v>
      </c>
      <c r="BO601" s="1" t="s">
        <v>74</v>
      </c>
      <c r="BP601" s="1" t="s">
        <v>74</v>
      </c>
      <c r="BQ601" s="1" t="s">
        <v>74</v>
      </c>
      <c r="BR601" s="1" t="s">
        <v>74</v>
      </c>
      <c r="BS601" s="1" t="s">
        <v>5814</v>
      </c>
      <c r="BT601" s="1" t="str">
        <f>HYPERLINK("https%3A%2F%2Fwww.webofscience.com%2Fwos%2Fwoscc%2Ffull-record%2FWOS:000235183100032","View Full Record in Web of Science")</f>
        <v>View Full Record in Web of Science</v>
      </c>
    </row>
    <row r="602" ht="12.75" customHeight="1">
      <c r="A602" s="1" t="s">
        <v>72</v>
      </c>
      <c r="B602" s="1" t="s">
        <v>4526</v>
      </c>
      <c r="C602" s="1" t="s">
        <v>74</v>
      </c>
      <c r="D602" s="1" t="s">
        <v>74</v>
      </c>
      <c r="E602" s="1" t="s">
        <v>74</v>
      </c>
      <c r="F602" s="1" t="s">
        <v>4526</v>
      </c>
      <c r="G602" s="1" t="s">
        <v>74</v>
      </c>
      <c r="H602" s="1" t="s">
        <v>74</v>
      </c>
      <c r="I602" s="1" t="s">
        <v>5815</v>
      </c>
      <c r="J602" s="1" t="s">
        <v>5816</v>
      </c>
      <c r="K602" s="1" t="s">
        <v>74</v>
      </c>
      <c r="L602" s="1" t="s">
        <v>74</v>
      </c>
      <c r="M602" s="1" t="s">
        <v>74</v>
      </c>
      <c r="N602" s="1" t="s">
        <v>74</v>
      </c>
      <c r="O602" s="1" t="s">
        <v>74</v>
      </c>
      <c r="P602" s="1" t="s">
        <v>74</v>
      </c>
      <c r="Q602" s="1" t="s">
        <v>74</v>
      </c>
      <c r="R602" s="1" t="s">
        <v>74</v>
      </c>
      <c r="S602" s="1" t="s">
        <v>74</v>
      </c>
      <c r="T602" s="1" t="s">
        <v>74</v>
      </c>
      <c r="U602" s="1" t="s">
        <v>74</v>
      </c>
      <c r="V602" s="1" t="s">
        <v>5817</v>
      </c>
      <c r="W602" s="1" t="s">
        <v>74</v>
      </c>
      <c r="X602" s="1" t="s">
        <v>74</v>
      </c>
      <c r="Y602" s="1" t="s">
        <v>74</v>
      </c>
      <c r="Z602" s="1" t="s">
        <v>74</v>
      </c>
      <c r="AA602" s="1" t="s">
        <v>74</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5818</v>
      </c>
      <c r="AP602" s="1" t="s">
        <v>74</v>
      </c>
      <c r="AQ602" s="1" t="s">
        <v>74</v>
      </c>
      <c r="AR602" s="1" t="s">
        <v>74</v>
      </c>
      <c r="AS602" s="1" t="s">
        <v>74</v>
      </c>
      <c r="AT602" s="1" t="s">
        <v>232</v>
      </c>
      <c r="AU602" s="1">
        <v>2003.0</v>
      </c>
      <c r="AV602" s="1">
        <v>307.0</v>
      </c>
      <c r="AW602" s="1">
        <v>2.0</v>
      </c>
      <c r="AX602" s="1" t="s">
        <v>74</v>
      </c>
      <c r="AY602" s="1" t="s">
        <v>74</v>
      </c>
      <c r="AZ602" s="1" t="s">
        <v>74</v>
      </c>
      <c r="BA602" s="1" t="s">
        <v>74</v>
      </c>
      <c r="BB602" s="1">
        <v>372.0</v>
      </c>
      <c r="BC602" s="1">
        <v>391.0</v>
      </c>
      <c r="BD602" s="1" t="s">
        <v>74</v>
      </c>
      <c r="BE602" s="1" t="s">
        <v>5819</v>
      </c>
      <c r="BF602" s="2" t="str">
        <f>HYPERLINK("http://dx.doi.org/10.1016/S0003-4916(03)00118-0","http://dx.doi.org/10.1016/S0003-4916(03)00118-0")</f>
        <v>http://dx.doi.org/10.1016/S0003-4916(03)00118-0</v>
      </c>
      <c r="BG602" s="1" t="s">
        <v>74</v>
      </c>
      <c r="BH602" s="1" t="s">
        <v>74</v>
      </c>
      <c r="BI602" s="1" t="s">
        <v>74</v>
      </c>
      <c r="BJ602" s="1" t="s">
        <v>74</v>
      </c>
      <c r="BK602" s="1" t="s">
        <v>74</v>
      </c>
      <c r="BL602" s="1" t="s">
        <v>74</v>
      </c>
      <c r="BM602" s="1" t="s">
        <v>74</v>
      </c>
      <c r="BN602" s="1" t="s">
        <v>74</v>
      </c>
      <c r="BO602" s="1" t="s">
        <v>74</v>
      </c>
      <c r="BP602" s="1" t="s">
        <v>74</v>
      </c>
      <c r="BQ602" s="1" t="s">
        <v>74</v>
      </c>
      <c r="BR602" s="1" t="s">
        <v>74</v>
      </c>
      <c r="BS602" s="1" t="s">
        <v>5820</v>
      </c>
      <c r="BT602" s="1" t="str">
        <f>HYPERLINK("https%3A%2F%2Fwww.webofscience.com%2Fwos%2Fwoscc%2Ffull-record%2FWOS:000185640400007","View Full Record in Web of Science")</f>
        <v>View Full Record in Web of Science</v>
      </c>
    </row>
    <row r="603" ht="12.75" customHeight="1">
      <c r="A603" s="1" t="s">
        <v>72</v>
      </c>
      <c r="B603" s="1" t="s">
        <v>5821</v>
      </c>
      <c r="C603" s="1" t="s">
        <v>74</v>
      </c>
      <c r="D603" s="1" t="s">
        <v>74</v>
      </c>
      <c r="E603" s="1" t="s">
        <v>74</v>
      </c>
      <c r="F603" s="1" t="s">
        <v>5821</v>
      </c>
      <c r="G603" s="1" t="s">
        <v>74</v>
      </c>
      <c r="H603" s="1" t="s">
        <v>74</v>
      </c>
      <c r="I603" s="1" t="s">
        <v>5822</v>
      </c>
      <c r="J603" s="1" t="s">
        <v>2190</v>
      </c>
      <c r="K603" s="1" t="s">
        <v>74</v>
      </c>
      <c r="L603" s="1" t="s">
        <v>74</v>
      </c>
      <c r="M603" s="1" t="s">
        <v>74</v>
      </c>
      <c r="N603" s="1" t="s">
        <v>74</v>
      </c>
      <c r="O603" s="1" t="s">
        <v>74</v>
      </c>
      <c r="P603" s="1" t="s">
        <v>74</v>
      </c>
      <c r="Q603" s="1" t="s">
        <v>74</v>
      </c>
      <c r="R603" s="1" t="s">
        <v>74</v>
      </c>
      <c r="S603" s="1" t="s">
        <v>74</v>
      </c>
      <c r="T603" s="1" t="s">
        <v>74</v>
      </c>
      <c r="U603" s="1" t="s">
        <v>74</v>
      </c>
      <c r="V603" s="1" t="s">
        <v>5823</v>
      </c>
      <c r="W603" s="1" t="s">
        <v>74</v>
      </c>
      <c r="X603" s="1" t="s">
        <v>74</v>
      </c>
      <c r="Y603" s="1" t="s">
        <v>74</v>
      </c>
      <c r="Z603" s="1" t="s">
        <v>74</v>
      </c>
      <c r="AA603" s="1" t="s">
        <v>3815</v>
      </c>
      <c r="AB603" s="1" t="s">
        <v>3816</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5824</v>
      </c>
      <c r="AP603" s="1" t="s">
        <v>74</v>
      </c>
      <c r="AQ603" s="1" t="s">
        <v>74</v>
      </c>
      <c r="AR603" s="1" t="s">
        <v>74</v>
      </c>
      <c r="AS603" s="1" t="s">
        <v>74</v>
      </c>
      <c r="AT603" s="1" t="s">
        <v>2085</v>
      </c>
      <c r="AU603" s="1">
        <v>2002.0</v>
      </c>
      <c r="AV603" s="1">
        <v>65.0</v>
      </c>
      <c r="AW603" s="1">
        <v>19.0</v>
      </c>
      <c r="AX603" s="1" t="s">
        <v>74</v>
      </c>
      <c r="AY603" s="1" t="s">
        <v>74</v>
      </c>
      <c r="AZ603" s="1" t="s">
        <v>74</v>
      </c>
      <c r="BA603" s="1" t="s">
        <v>74</v>
      </c>
      <c r="BB603" s="1" t="s">
        <v>74</v>
      </c>
      <c r="BC603" s="1" t="s">
        <v>74</v>
      </c>
      <c r="BD603" s="1">
        <v>193307.0</v>
      </c>
      <c r="BE603" s="1" t="s">
        <v>5825</v>
      </c>
      <c r="BF603" s="2" t="str">
        <f>HYPERLINK("http://dx.doi.org/10.1103/PhysRevB.65.193307","http://dx.doi.org/10.1103/PhysRevB.65.193307")</f>
        <v>http://dx.doi.org/10.1103/PhysRevB.65.193307</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5826</v>
      </c>
      <c r="BT603" s="1" t="str">
        <f>HYPERLINK("https%3A%2F%2Fwww.webofscience.com%2Fwos%2Fwoscc%2Ffull-record%2FWOS:000175860900019","View Full Record in Web of Science")</f>
        <v>View Full Record in Web of Science</v>
      </c>
    </row>
    <row r="604" ht="12.75" customHeight="1">
      <c r="A604" s="1" t="s">
        <v>72</v>
      </c>
      <c r="B604" s="1" t="s">
        <v>5827</v>
      </c>
      <c r="C604" s="1" t="s">
        <v>74</v>
      </c>
      <c r="D604" s="1" t="s">
        <v>74</v>
      </c>
      <c r="E604" s="1" t="s">
        <v>74</v>
      </c>
      <c r="F604" s="1" t="s">
        <v>5827</v>
      </c>
      <c r="G604" s="1" t="s">
        <v>74</v>
      </c>
      <c r="H604" s="1" t="s">
        <v>74</v>
      </c>
      <c r="I604" s="1" t="s">
        <v>5828</v>
      </c>
      <c r="J604" s="1" t="s">
        <v>1538</v>
      </c>
      <c r="K604" s="1" t="s">
        <v>74</v>
      </c>
      <c r="L604" s="1" t="s">
        <v>74</v>
      </c>
      <c r="M604" s="1" t="s">
        <v>74</v>
      </c>
      <c r="N604" s="1" t="s">
        <v>74</v>
      </c>
      <c r="O604" s="1" t="s">
        <v>74</v>
      </c>
      <c r="P604" s="1" t="s">
        <v>74</v>
      </c>
      <c r="Q604" s="1" t="s">
        <v>74</v>
      </c>
      <c r="R604" s="1" t="s">
        <v>74</v>
      </c>
      <c r="S604" s="1" t="s">
        <v>74</v>
      </c>
      <c r="T604" s="1" t="s">
        <v>74</v>
      </c>
      <c r="U604" s="1" t="s">
        <v>74</v>
      </c>
      <c r="V604" s="1" t="s">
        <v>5829</v>
      </c>
      <c r="W604" s="1" t="s">
        <v>74</v>
      </c>
      <c r="X604" s="1" t="s">
        <v>74</v>
      </c>
      <c r="Y604" s="1" t="s">
        <v>74</v>
      </c>
      <c r="Z604" s="1" t="s">
        <v>74</v>
      </c>
      <c r="AA604" s="1" t="s">
        <v>5830</v>
      </c>
      <c r="AB604" s="1" t="s">
        <v>5266</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1542</v>
      </c>
      <c r="AP604" s="1" t="s">
        <v>74</v>
      </c>
      <c r="AQ604" s="1" t="s">
        <v>74</v>
      </c>
      <c r="AR604" s="1" t="s">
        <v>74</v>
      </c>
      <c r="AS604" s="1" t="s">
        <v>74</v>
      </c>
      <c r="AT604" s="1" t="s">
        <v>1174</v>
      </c>
      <c r="AU604" s="1">
        <v>2001.0</v>
      </c>
      <c r="AV604" s="1">
        <v>288.0</v>
      </c>
      <c r="AW604" s="1">
        <v>1.0</v>
      </c>
      <c r="AX604" s="1" t="s">
        <v>74</v>
      </c>
      <c r="AY604" s="1" t="s">
        <v>74</v>
      </c>
      <c r="AZ604" s="1" t="s">
        <v>74</v>
      </c>
      <c r="BA604" s="1" t="s">
        <v>74</v>
      </c>
      <c r="BB604" s="1">
        <v>71.0</v>
      </c>
      <c r="BC604" s="1">
        <v>80.0</v>
      </c>
      <c r="BD604" s="1" t="s">
        <v>74</v>
      </c>
      <c r="BE604" s="1" t="s">
        <v>5831</v>
      </c>
      <c r="BF604" s="2" t="str">
        <f>HYPERLINK("http://dx.doi.org/10.1006/viro.2001.1054","http://dx.doi.org/10.1006/viro.2001.1054")</f>
        <v>http://dx.doi.org/10.1006/viro.2001.1054</v>
      </c>
      <c r="BG604" s="1" t="s">
        <v>74</v>
      </c>
      <c r="BH604" s="1" t="s">
        <v>74</v>
      </c>
      <c r="BI604" s="1" t="s">
        <v>74</v>
      </c>
      <c r="BJ604" s="1" t="s">
        <v>74</v>
      </c>
      <c r="BK604" s="1" t="s">
        <v>74</v>
      </c>
      <c r="BL604" s="1" t="s">
        <v>74</v>
      </c>
      <c r="BM604" s="1" t="s">
        <v>74</v>
      </c>
      <c r="BN604" s="1">
        <v>1.1543659E7</v>
      </c>
      <c r="BO604" s="1" t="s">
        <v>74</v>
      </c>
      <c r="BP604" s="1" t="s">
        <v>74</v>
      </c>
      <c r="BQ604" s="1" t="s">
        <v>74</v>
      </c>
      <c r="BR604" s="1" t="s">
        <v>74</v>
      </c>
      <c r="BS604" s="1" t="s">
        <v>5832</v>
      </c>
      <c r="BT604" s="1" t="str">
        <f>HYPERLINK("https%3A%2F%2Fwww.webofscience.com%2Fwos%2Fwoscc%2Ffull-record%2FWOS:000171011700008","View Full Record in Web of Science")</f>
        <v>View Full Record in Web of Science</v>
      </c>
    </row>
    <row r="605" ht="12.75" customHeight="1">
      <c r="A605" s="1" t="s">
        <v>72</v>
      </c>
      <c r="B605" s="1" t="s">
        <v>5833</v>
      </c>
      <c r="C605" s="1" t="s">
        <v>74</v>
      </c>
      <c r="D605" s="1" t="s">
        <v>74</v>
      </c>
      <c r="E605" s="1" t="s">
        <v>74</v>
      </c>
      <c r="F605" s="1" t="s">
        <v>5833</v>
      </c>
      <c r="G605" s="1" t="s">
        <v>74</v>
      </c>
      <c r="H605" s="1" t="s">
        <v>74</v>
      </c>
      <c r="I605" s="1" t="s">
        <v>5834</v>
      </c>
      <c r="J605" s="1" t="s">
        <v>473</v>
      </c>
      <c r="K605" s="1" t="s">
        <v>74</v>
      </c>
      <c r="L605" s="1" t="s">
        <v>74</v>
      </c>
      <c r="M605" s="1" t="s">
        <v>74</v>
      </c>
      <c r="N605" s="1" t="s">
        <v>74</v>
      </c>
      <c r="O605" s="1" t="s">
        <v>74</v>
      </c>
      <c r="P605" s="1" t="s">
        <v>74</v>
      </c>
      <c r="Q605" s="1" t="s">
        <v>74</v>
      </c>
      <c r="R605" s="1" t="s">
        <v>74</v>
      </c>
      <c r="S605" s="1" t="s">
        <v>74</v>
      </c>
      <c r="T605" s="1" t="s">
        <v>74</v>
      </c>
      <c r="U605" s="1" t="s">
        <v>74</v>
      </c>
      <c r="V605" s="1" t="s">
        <v>74</v>
      </c>
      <c r="W605" s="1" t="s">
        <v>74</v>
      </c>
      <c r="X605" s="1" t="s">
        <v>74</v>
      </c>
      <c r="Y605" s="1" t="s">
        <v>74</v>
      </c>
      <c r="Z605" s="1" t="s">
        <v>74</v>
      </c>
      <c r="AA605" s="1" t="s">
        <v>74</v>
      </c>
      <c r="AB605" s="1" t="s">
        <v>74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474</v>
      </c>
      <c r="AP605" s="1" t="s">
        <v>74</v>
      </c>
      <c r="AQ605" s="1" t="s">
        <v>74</v>
      </c>
      <c r="AR605" s="1" t="s">
        <v>74</v>
      </c>
      <c r="AS605" s="1" t="s">
        <v>74</v>
      </c>
      <c r="AT605" s="1" t="s">
        <v>120</v>
      </c>
      <c r="AU605" s="1">
        <v>2000.0</v>
      </c>
      <c r="AV605" s="1">
        <v>523.0</v>
      </c>
      <c r="AW605" s="1" t="s">
        <v>74</v>
      </c>
      <c r="AX605" s="1" t="s">
        <v>74</v>
      </c>
      <c r="AY605" s="1" t="s">
        <v>475</v>
      </c>
      <c r="AZ605" s="1" t="s">
        <v>74</v>
      </c>
      <c r="BA605" s="1" t="s">
        <v>74</v>
      </c>
      <c r="BB605" s="1" t="s">
        <v>476</v>
      </c>
      <c r="BC605" s="1" t="s">
        <v>476</v>
      </c>
      <c r="BD605" s="1" t="s">
        <v>74</v>
      </c>
      <c r="BE605" s="1" t="s">
        <v>74</v>
      </c>
      <c r="BF605" s="1" t="s">
        <v>74</v>
      </c>
      <c r="BG605" s="1" t="s">
        <v>74</v>
      </c>
      <c r="BH605" s="1" t="s">
        <v>74</v>
      </c>
      <c r="BI605" s="1" t="s">
        <v>74</v>
      </c>
      <c r="BJ605" s="1" t="s">
        <v>74</v>
      </c>
      <c r="BK605" s="1" t="s">
        <v>74</v>
      </c>
      <c r="BL605" s="1" t="s">
        <v>74</v>
      </c>
      <c r="BM605" s="1" t="s">
        <v>74</v>
      </c>
      <c r="BN605" s="1" t="s">
        <v>74</v>
      </c>
      <c r="BO605" s="1" t="s">
        <v>74</v>
      </c>
      <c r="BP605" s="1" t="s">
        <v>74</v>
      </c>
      <c r="BQ605" s="1" t="s">
        <v>74</v>
      </c>
      <c r="BR605" s="1" t="s">
        <v>74</v>
      </c>
      <c r="BS605" s="1" t="s">
        <v>5835</v>
      </c>
      <c r="BT605" s="1" t="str">
        <f>HYPERLINK("https%3A%2F%2Fwww.webofscience.com%2Fwos%2Fwoscc%2Ffull-record%2FWOS:000085937100024","View Full Record in Web of Science")</f>
        <v>View Full Record in Web of Science</v>
      </c>
    </row>
    <row r="606" ht="12.75" customHeight="1">
      <c r="A606" s="1" t="s">
        <v>72</v>
      </c>
      <c r="B606" s="1" t="s">
        <v>5836</v>
      </c>
      <c r="C606" s="1" t="s">
        <v>74</v>
      </c>
      <c r="D606" s="1" t="s">
        <v>74</v>
      </c>
      <c r="E606" s="1" t="s">
        <v>74</v>
      </c>
      <c r="F606" s="1" t="s">
        <v>5836</v>
      </c>
      <c r="G606" s="1" t="s">
        <v>74</v>
      </c>
      <c r="H606" s="1" t="s">
        <v>74</v>
      </c>
      <c r="I606" s="1" t="s">
        <v>5837</v>
      </c>
      <c r="J606" s="1" t="s">
        <v>5838</v>
      </c>
      <c r="K606" s="1" t="s">
        <v>74</v>
      </c>
      <c r="L606" s="1" t="s">
        <v>74</v>
      </c>
      <c r="M606" s="1" t="s">
        <v>74</v>
      </c>
      <c r="N606" s="1" t="s">
        <v>74</v>
      </c>
      <c r="O606" s="1" t="s">
        <v>74</v>
      </c>
      <c r="P606" s="1" t="s">
        <v>74</v>
      </c>
      <c r="Q606" s="1" t="s">
        <v>74</v>
      </c>
      <c r="R606" s="1" t="s">
        <v>74</v>
      </c>
      <c r="S606" s="1" t="s">
        <v>74</v>
      </c>
      <c r="T606" s="1" t="s">
        <v>74</v>
      </c>
      <c r="U606" s="1" t="s">
        <v>74</v>
      </c>
      <c r="V606" s="1" t="s">
        <v>5839</v>
      </c>
      <c r="W606" s="1" t="s">
        <v>74</v>
      </c>
      <c r="X606" s="1" t="s">
        <v>74</v>
      </c>
      <c r="Y606" s="1" t="s">
        <v>74</v>
      </c>
      <c r="Z606" s="1" t="s">
        <v>74</v>
      </c>
      <c r="AA606" s="1" t="s">
        <v>74</v>
      </c>
      <c r="AB606" s="1" t="s">
        <v>1194</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5840</v>
      </c>
      <c r="AP606" s="1" t="s">
        <v>74</v>
      </c>
      <c r="AQ606" s="1" t="s">
        <v>74</v>
      </c>
      <c r="AR606" s="1" t="s">
        <v>74</v>
      </c>
      <c r="AS606" s="1" t="s">
        <v>74</v>
      </c>
      <c r="AT606" s="1" t="s">
        <v>647</v>
      </c>
      <c r="AU606" s="1">
        <v>1999.0</v>
      </c>
      <c r="AV606" s="1" t="s">
        <v>74</v>
      </c>
      <c r="AW606" s="1">
        <v>8.0</v>
      </c>
      <c r="AX606" s="1" t="s">
        <v>74</v>
      </c>
      <c r="AY606" s="1" t="s">
        <v>74</v>
      </c>
      <c r="AZ606" s="1" t="s">
        <v>74</v>
      </c>
      <c r="BA606" s="1" t="s">
        <v>74</v>
      </c>
      <c r="BB606" s="1">
        <v>518.0</v>
      </c>
      <c r="BC606" s="1">
        <v>519.0</v>
      </c>
      <c r="BD606" s="1" t="s">
        <v>74</v>
      </c>
      <c r="BE606" s="1" t="s">
        <v>5841</v>
      </c>
      <c r="BF606" s="2" t="str">
        <f>HYPERLINK("http://dx.doi.org/10.1039/a902669j","http://dx.doi.org/10.1039/a902669j")</f>
        <v>http://dx.doi.org/10.1039/a902669j</v>
      </c>
      <c r="BG606" s="1" t="s">
        <v>74</v>
      </c>
      <c r="BH606" s="1" t="s">
        <v>74</v>
      </c>
      <c r="BI606" s="1" t="s">
        <v>74</v>
      </c>
      <c r="BJ606" s="1" t="s">
        <v>74</v>
      </c>
      <c r="BK606" s="1" t="s">
        <v>74</v>
      </c>
      <c r="BL606" s="1" t="s">
        <v>74</v>
      </c>
      <c r="BM606" s="1" t="s">
        <v>74</v>
      </c>
      <c r="BN606" s="1" t="s">
        <v>74</v>
      </c>
      <c r="BO606" s="1" t="s">
        <v>74</v>
      </c>
      <c r="BP606" s="1" t="s">
        <v>74</v>
      </c>
      <c r="BQ606" s="1" t="s">
        <v>74</v>
      </c>
      <c r="BR606" s="1" t="s">
        <v>74</v>
      </c>
      <c r="BS606" s="1" t="s">
        <v>5842</v>
      </c>
      <c r="BT606" s="1" t="str">
        <f>HYPERLINK("https%3A%2F%2Fwww.webofscience.com%2Fwos%2Fwoscc%2Ffull-record%2FWOS:000082518600031","View Full Record in Web of Science")</f>
        <v>View Full Record in Web of Science</v>
      </c>
    </row>
    <row r="607" ht="12.75" customHeight="1">
      <c r="A607" s="1" t="s">
        <v>72</v>
      </c>
      <c r="B607" s="1" t="s">
        <v>5843</v>
      </c>
      <c r="C607" s="1" t="s">
        <v>74</v>
      </c>
      <c r="D607" s="1" t="s">
        <v>74</v>
      </c>
      <c r="E607" s="1" t="s">
        <v>74</v>
      </c>
      <c r="F607" s="1" t="s">
        <v>5843</v>
      </c>
      <c r="G607" s="1" t="s">
        <v>74</v>
      </c>
      <c r="H607" s="1" t="s">
        <v>74</v>
      </c>
      <c r="I607" s="1" t="s">
        <v>5844</v>
      </c>
      <c r="J607" s="1" t="s">
        <v>1192</v>
      </c>
      <c r="K607" s="1" t="s">
        <v>74</v>
      </c>
      <c r="L607" s="1" t="s">
        <v>74</v>
      </c>
      <c r="M607" s="1" t="s">
        <v>74</v>
      </c>
      <c r="N607" s="1" t="s">
        <v>74</v>
      </c>
      <c r="O607" s="1" t="s">
        <v>74</v>
      </c>
      <c r="P607" s="1" t="s">
        <v>74</v>
      </c>
      <c r="Q607" s="1" t="s">
        <v>74</v>
      </c>
      <c r="R607" s="1" t="s">
        <v>74</v>
      </c>
      <c r="S607" s="1" t="s">
        <v>74</v>
      </c>
      <c r="T607" s="1" t="s">
        <v>74</v>
      </c>
      <c r="U607" s="1" t="s">
        <v>74</v>
      </c>
      <c r="V607" s="1" t="s">
        <v>5845</v>
      </c>
      <c r="W607" s="1" t="s">
        <v>74</v>
      </c>
      <c r="X607" s="1" t="s">
        <v>74</v>
      </c>
      <c r="Y607" s="1" t="s">
        <v>74</v>
      </c>
      <c r="Z607" s="1" t="s">
        <v>74</v>
      </c>
      <c r="AA607" s="1" t="s">
        <v>74</v>
      </c>
      <c r="AB607" s="1" t="s">
        <v>1194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1195</v>
      </c>
      <c r="AP607" s="1" t="s">
        <v>5846</v>
      </c>
      <c r="AQ607" s="1" t="s">
        <v>74</v>
      </c>
      <c r="AR607" s="1" t="s">
        <v>74</v>
      </c>
      <c r="AS607" s="1" t="s">
        <v>74</v>
      </c>
      <c r="AT607" s="1" t="s">
        <v>647</v>
      </c>
      <c r="AU607" s="1">
        <v>1999.0</v>
      </c>
      <c r="AV607" s="1">
        <v>53.0</v>
      </c>
      <c r="AW607" s="1">
        <v>2.0</v>
      </c>
      <c r="AX607" s="1" t="s">
        <v>74</v>
      </c>
      <c r="AY607" s="1" t="s">
        <v>74</v>
      </c>
      <c r="AZ607" s="1" t="s">
        <v>74</v>
      </c>
      <c r="BA607" s="1" t="s">
        <v>74</v>
      </c>
      <c r="BB607" s="1">
        <v>121.0</v>
      </c>
      <c r="BC607" s="1">
        <v>131.0</v>
      </c>
      <c r="BD607" s="1" t="s">
        <v>74</v>
      </c>
      <c r="BE607" s="1" t="s">
        <v>5847</v>
      </c>
      <c r="BF607" s="2" t="str">
        <f>HYPERLINK("http://dx.doi.org/10.1016/S0304-386X(99)00033-X","http://dx.doi.org/10.1016/S0304-386X(99)00033-X")</f>
        <v>http://dx.doi.org/10.1016/S0304-386X(99)00033-X</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5848</v>
      </c>
      <c r="BT607" s="1" t="str">
        <f>HYPERLINK("https%3A%2F%2Fwww.webofscience.com%2Fwos%2Fwoscc%2Ffull-record%2FWOS:000083258700002","View Full Record in Web of Science")</f>
        <v>View Full Record in Web of Science</v>
      </c>
    </row>
    <row r="608" ht="12.75" customHeight="1">
      <c r="A608" s="1" t="s">
        <v>72</v>
      </c>
      <c r="B608" s="1" t="s">
        <v>5849</v>
      </c>
      <c r="C608" s="1" t="s">
        <v>74</v>
      </c>
      <c r="D608" s="1" t="s">
        <v>74</v>
      </c>
      <c r="E608" s="1" t="s">
        <v>74</v>
      </c>
      <c r="F608" s="1" t="s">
        <v>5849</v>
      </c>
      <c r="G608" s="1" t="s">
        <v>74</v>
      </c>
      <c r="H608" s="1" t="s">
        <v>74</v>
      </c>
      <c r="I608" s="1" t="s">
        <v>5850</v>
      </c>
      <c r="J608" s="1" t="s">
        <v>1376</v>
      </c>
      <c r="K608" s="1" t="s">
        <v>74</v>
      </c>
      <c r="L608" s="1" t="s">
        <v>74</v>
      </c>
      <c r="M608" s="1" t="s">
        <v>74</v>
      </c>
      <c r="N608" s="1" t="s">
        <v>74</v>
      </c>
      <c r="O608" s="1" t="s">
        <v>74</v>
      </c>
      <c r="P608" s="1" t="s">
        <v>74</v>
      </c>
      <c r="Q608" s="1" t="s">
        <v>74</v>
      </c>
      <c r="R608" s="1" t="s">
        <v>74</v>
      </c>
      <c r="S608" s="1" t="s">
        <v>74</v>
      </c>
      <c r="T608" s="1" t="s">
        <v>74</v>
      </c>
      <c r="U608" s="1" t="s">
        <v>74</v>
      </c>
      <c r="V608" s="1" t="s">
        <v>5851</v>
      </c>
      <c r="W608" s="1" t="s">
        <v>74</v>
      </c>
      <c r="X608" s="1" t="s">
        <v>74</v>
      </c>
      <c r="Y608" s="1" t="s">
        <v>74</v>
      </c>
      <c r="Z608" s="1" t="s">
        <v>74</v>
      </c>
      <c r="AA608" s="1" t="s">
        <v>74</v>
      </c>
      <c r="AB608" s="1" t="s">
        <v>74</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1380</v>
      </c>
      <c r="AP608" s="1" t="s">
        <v>74</v>
      </c>
      <c r="AQ608" s="1" t="s">
        <v>74</v>
      </c>
      <c r="AR608" s="1" t="s">
        <v>74</v>
      </c>
      <c r="AS608" s="1" t="s">
        <v>74</v>
      </c>
      <c r="AT608" s="1" t="s">
        <v>5852</v>
      </c>
      <c r="AU608" s="1">
        <v>1997.0</v>
      </c>
      <c r="AV608" s="1">
        <v>101.0</v>
      </c>
      <c r="AW608" s="1">
        <v>37.0</v>
      </c>
      <c r="AX608" s="1" t="s">
        <v>74</v>
      </c>
      <c r="AY608" s="1" t="s">
        <v>74</v>
      </c>
      <c r="AZ608" s="1" t="s">
        <v>74</v>
      </c>
      <c r="BA608" s="1" t="s">
        <v>74</v>
      </c>
      <c r="BB608" s="1">
        <v>6945.0</v>
      </c>
      <c r="BC608" s="1">
        <v>6950.0</v>
      </c>
      <c r="BD608" s="1" t="s">
        <v>74</v>
      </c>
      <c r="BE608" s="1" t="s">
        <v>5853</v>
      </c>
      <c r="BF608" s="2" t="str">
        <f>HYPERLINK("http://dx.doi.org/10.1021/jp970029y","http://dx.doi.org/10.1021/jp970029y")</f>
        <v>http://dx.doi.org/10.1021/jp970029y</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5854</v>
      </c>
      <c r="BT608" s="1" t="str">
        <f>HYPERLINK("https%3A%2F%2Fwww.webofscience.com%2Fwos%2Fwoscc%2Ffull-record%2FWOS:A1997XW31500020","View Full Record in Web of Science")</f>
        <v>View Full Record in Web of Science</v>
      </c>
    </row>
    <row r="609" ht="12.75" customHeight="1">
      <c r="A609" s="1" t="s">
        <v>72</v>
      </c>
      <c r="B609" s="1" t="s">
        <v>3809</v>
      </c>
      <c r="C609" s="1" t="s">
        <v>74</v>
      </c>
      <c r="D609" s="1" t="s">
        <v>74</v>
      </c>
      <c r="E609" s="1" t="s">
        <v>74</v>
      </c>
      <c r="F609" s="1" t="s">
        <v>3809</v>
      </c>
      <c r="G609" s="1" t="s">
        <v>74</v>
      </c>
      <c r="H609" s="1" t="s">
        <v>74</v>
      </c>
      <c r="I609" s="1" t="s">
        <v>5855</v>
      </c>
      <c r="J609" s="1" t="s">
        <v>2190</v>
      </c>
      <c r="K609" s="1" t="s">
        <v>74</v>
      </c>
      <c r="L609" s="1" t="s">
        <v>74</v>
      </c>
      <c r="M609" s="1" t="s">
        <v>74</v>
      </c>
      <c r="N609" s="1" t="s">
        <v>74</v>
      </c>
      <c r="O609" s="1" t="s">
        <v>74</v>
      </c>
      <c r="P609" s="1" t="s">
        <v>74</v>
      </c>
      <c r="Q609" s="1" t="s">
        <v>74</v>
      </c>
      <c r="R609" s="1" t="s">
        <v>74</v>
      </c>
      <c r="S609" s="1" t="s">
        <v>74</v>
      </c>
      <c r="T609" s="1" t="s">
        <v>74</v>
      </c>
      <c r="U609" s="1" t="s">
        <v>74</v>
      </c>
      <c r="V609" s="1" t="s">
        <v>5856</v>
      </c>
      <c r="W609" s="1" t="s">
        <v>74</v>
      </c>
      <c r="X609" s="1" t="s">
        <v>74</v>
      </c>
      <c r="Y609" s="1" t="s">
        <v>74</v>
      </c>
      <c r="Z609" s="1" t="s">
        <v>74</v>
      </c>
      <c r="AA609" s="1" t="s">
        <v>3815</v>
      </c>
      <c r="AB609" s="1" t="s">
        <v>3816</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5857</v>
      </c>
      <c r="AP609" s="1" t="s">
        <v>74</v>
      </c>
      <c r="AQ609" s="1" t="s">
        <v>74</v>
      </c>
      <c r="AR609" s="1" t="s">
        <v>74</v>
      </c>
      <c r="AS609" s="1" t="s">
        <v>74</v>
      </c>
      <c r="AT609" s="1" t="s">
        <v>2625</v>
      </c>
      <c r="AU609" s="1">
        <v>1997.0</v>
      </c>
      <c r="AV609" s="1">
        <v>55.0</v>
      </c>
      <c r="AW609" s="1">
        <v>16.0</v>
      </c>
      <c r="AX609" s="1" t="s">
        <v>74</v>
      </c>
      <c r="AY609" s="1" t="s">
        <v>74</v>
      </c>
      <c r="AZ609" s="1" t="s">
        <v>74</v>
      </c>
      <c r="BA609" s="1" t="s">
        <v>74</v>
      </c>
      <c r="BB609" s="1">
        <v>10688.0</v>
      </c>
      <c r="BC609" s="1">
        <v>10693.0</v>
      </c>
      <c r="BD609" s="1" t="s">
        <v>74</v>
      </c>
      <c r="BE609" s="1" t="s">
        <v>5858</v>
      </c>
      <c r="BF609" s="2" t="str">
        <f>HYPERLINK("http://dx.doi.org/10.1103/PhysRevB.55.10688","http://dx.doi.org/10.1103/PhysRevB.55.10688")</f>
        <v>http://dx.doi.org/10.1103/PhysRevB.55.10688</v>
      </c>
      <c r="BG609" s="1" t="s">
        <v>74</v>
      </c>
      <c r="BH609" s="1" t="s">
        <v>74</v>
      </c>
      <c r="BI609" s="1" t="s">
        <v>74</v>
      </c>
      <c r="BJ609" s="1" t="s">
        <v>74</v>
      </c>
      <c r="BK609" s="1" t="s">
        <v>74</v>
      </c>
      <c r="BL609" s="1" t="s">
        <v>74</v>
      </c>
      <c r="BM609" s="1" t="s">
        <v>74</v>
      </c>
      <c r="BN609" s="1" t="s">
        <v>74</v>
      </c>
      <c r="BO609" s="1" t="s">
        <v>74</v>
      </c>
      <c r="BP609" s="1" t="s">
        <v>74</v>
      </c>
      <c r="BQ609" s="1" t="s">
        <v>74</v>
      </c>
      <c r="BR609" s="1" t="s">
        <v>74</v>
      </c>
      <c r="BS609" s="1" t="s">
        <v>5859</v>
      </c>
      <c r="BT609" s="1" t="str">
        <f>HYPERLINK("https%3A%2F%2Fwww.webofscience.com%2Fwos%2Fwoscc%2Ffull-record%2FWOS:A1997WW80300074","View Full Record in Web of Science")</f>
        <v>View Full Record in Web of Science</v>
      </c>
    </row>
    <row r="610" ht="12.75" customHeight="1">
      <c r="A610" s="1" t="s">
        <v>72</v>
      </c>
      <c r="B610" s="1" t="s">
        <v>5860</v>
      </c>
      <c r="C610" s="1" t="s">
        <v>74</v>
      </c>
      <c r="D610" s="1" t="s">
        <v>74</v>
      </c>
      <c r="E610" s="1" t="s">
        <v>74</v>
      </c>
      <c r="F610" s="1" t="s">
        <v>5860</v>
      </c>
      <c r="G610" s="1" t="s">
        <v>74</v>
      </c>
      <c r="H610" s="1" t="s">
        <v>74</v>
      </c>
      <c r="I610" s="1" t="s">
        <v>5861</v>
      </c>
      <c r="J610" s="1" t="s">
        <v>5862</v>
      </c>
      <c r="K610" s="1" t="s">
        <v>74</v>
      </c>
      <c r="L610" s="1" t="s">
        <v>74</v>
      </c>
      <c r="M610" s="1" t="s">
        <v>74</v>
      </c>
      <c r="N610" s="1" t="s">
        <v>74</v>
      </c>
      <c r="O610" s="1" t="s">
        <v>74</v>
      </c>
      <c r="P610" s="1" t="s">
        <v>74</v>
      </c>
      <c r="Q610" s="1" t="s">
        <v>74</v>
      </c>
      <c r="R610" s="1" t="s">
        <v>74</v>
      </c>
      <c r="S610" s="1" t="s">
        <v>74</v>
      </c>
      <c r="T610" s="1" t="s">
        <v>74</v>
      </c>
      <c r="U610" s="1" t="s">
        <v>74</v>
      </c>
      <c r="V610" s="1" t="s">
        <v>5863</v>
      </c>
      <c r="W610" s="1" t="s">
        <v>74</v>
      </c>
      <c r="X610" s="1" t="s">
        <v>74</v>
      </c>
      <c r="Y610" s="1" t="s">
        <v>74</v>
      </c>
      <c r="Z610" s="1" t="s">
        <v>74</v>
      </c>
      <c r="AA610" s="1" t="s">
        <v>3093</v>
      </c>
      <c r="AB610" s="1" t="s">
        <v>3094</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5864</v>
      </c>
      <c r="AP610" s="1" t="s">
        <v>74</v>
      </c>
      <c r="AQ610" s="1" t="s">
        <v>74</v>
      </c>
      <c r="AR610" s="1" t="s">
        <v>74</v>
      </c>
      <c r="AS610" s="1" t="s">
        <v>74</v>
      </c>
      <c r="AT610" s="1" t="s">
        <v>3249</v>
      </c>
      <c r="AU610" s="1">
        <v>1996.0</v>
      </c>
      <c r="AV610" s="1">
        <v>35.0</v>
      </c>
      <c r="AW610" s="1">
        <v>4.0</v>
      </c>
      <c r="AX610" s="1" t="s">
        <v>74</v>
      </c>
      <c r="AY610" s="1" t="s">
        <v>74</v>
      </c>
      <c r="AZ610" s="1" t="s">
        <v>74</v>
      </c>
      <c r="BA610" s="1" t="s">
        <v>74</v>
      </c>
      <c r="BB610" s="1">
        <v>271.0</v>
      </c>
      <c r="BC610" s="1">
        <v>276.0</v>
      </c>
      <c r="BD610" s="1" t="s">
        <v>74</v>
      </c>
      <c r="BE610" s="1" t="s">
        <v>5865</v>
      </c>
      <c r="BF610" s="2" t="str">
        <f>HYPERLINK("http://dx.doi.org/10.1209/epl/i1996-00565-4","http://dx.doi.org/10.1209/epl/i1996-00565-4")</f>
        <v>http://dx.doi.org/10.1209/epl/i1996-00565-4</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5866</v>
      </c>
      <c r="BT610" s="1" t="str">
        <f>HYPERLINK("https%3A%2F%2Fwww.webofscience.com%2Fwos%2Fwoscc%2Ffull-record%2FWOS:A1996VB55800006","View Full Record in Web of Science")</f>
        <v>View Full Record in Web of Science</v>
      </c>
    </row>
    <row r="611" ht="12.75" customHeight="1">
      <c r="A611" s="1" t="s">
        <v>72</v>
      </c>
      <c r="B611" s="1" t="s">
        <v>2018</v>
      </c>
      <c r="C611" s="1" t="s">
        <v>74</v>
      </c>
      <c r="D611" s="1" t="s">
        <v>74</v>
      </c>
      <c r="E611" s="1" t="s">
        <v>74</v>
      </c>
      <c r="F611" s="1" t="s">
        <v>2018</v>
      </c>
      <c r="G611" s="1" t="s">
        <v>74</v>
      </c>
      <c r="H611" s="1" t="s">
        <v>74</v>
      </c>
      <c r="I611" s="1" t="s">
        <v>5867</v>
      </c>
      <c r="J611" s="1" t="s">
        <v>5868</v>
      </c>
      <c r="K611" s="1" t="s">
        <v>74</v>
      </c>
      <c r="L611" s="1" t="s">
        <v>74</v>
      </c>
      <c r="M611" s="1" t="s">
        <v>74</v>
      </c>
      <c r="N611" s="1" t="s">
        <v>74</v>
      </c>
      <c r="O611" s="1" t="s">
        <v>74</v>
      </c>
      <c r="P611" s="1" t="s">
        <v>74</v>
      </c>
      <c r="Q611" s="1" t="s">
        <v>74</v>
      </c>
      <c r="R611" s="1" t="s">
        <v>74</v>
      </c>
      <c r="S611" s="1" t="s">
        <v>74</v>
      </c>
      <c r="T611" s="1" t="s">
        <v>74</v>
      </c>
      <c r="U611" s="1" t="s">
        <v>74</v>
      </c>
      <c r="V611" s="1" t="s">
        <v>5869</v>
      </c>
      <c r="W611" s="1" t="s">
        <v>74</v>
      </c>
      <c r="X611" s="1" t="s">
        <v>74</v>
      </c>
      <c r="Y611" s="1" t="s">
        <v>74</v>
      </c>
      <c r="Z611" s="1" t="s">
        <v>74</v>
      </c>
      <c r="AA611" s="1" t="s">
        <v>74</v>
      </c>
      <c r="AB611" s="1" t="s">
        <v>1194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5870</v>
      </c>
      <c r="AP611" s="1" t="s">
        <v>74</v>
      </c>
      <c r="AQ611" s="1" t="s">
        <v>74</v>
      </c>
      <c r="AR611" s="1" t="s">
        <v>74</v>
      </c>
      <c r="AS611" s="1" t="s">
        <v>74</v>
      </c>
      <c r="AT611" s="1" t="s">
        <v>2380</v>
      </c>
      <c r="AU611" s="1">
        <v>1996.0</v>
      </c>
      <c r="AV611" s="1">
        <v>35.0</v>
      </c>
      <c r="AW611" s="1">
        <v>2.0</v>
      </c>
      <c r="AX611" s="1" t="s">
        <v>74</v>
      </c>
      <c r="AY611" s="1" t="s">
        <v>74</v>
      </c>
      <c r="AZ611" s="1" t="s">
        <v>74</v>
      </c>
      <c r="BA611" s="1" t="s">
        <v>74</v>
      </c>
      <c r="BB611" s="1">
        <v>133.0</v>
      </c>
      <c r="BC611" s="1">
        <v>141.0</v>
      </c>
      <c r="BD611" s="1" t="s">
        <v>74</v>
      </c>
      <c r="BE611" s="1" t="s">
        <v>5871</v>
      </c>
      <c r="BF611" s="2" t="str">
        <f>HYPERLINK("http://dx.doi.org/10.1016/0008-4433(95)00044-5","http://dx.doi.org/10.1016/0008-4433(95)00044-5")</f>
        <v>http://dx.doi.org/10.1016/0008-4433(95)00044-5</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5872</v>
      </c>
      <c r="BT611" s="1" t="str">
        <f>HYPERLINK("https%3A%2F%2Fwww.webofscience.com%2Fwos%2Fwoscc%2Ffull-record%2FWOS:A1996UF42800003","View Full Record in Web of Science")</f>
        <v>View Full Record in Web of Science</v>
      </c>
    </row>
    <row r="612" ht="12.75" customHeight="1">
      <c r="A612" s="1" t="s">
        <v>72</v>
      </c>
      <c r="B612" s="1" t="s">
        <v>5873</v>
      </c>
      <c r="C612" s="1" t="s">
        <v>74</v>
      </c>
      <c r="D612" s="1" t="s">
        <v>74</v>
      </c>
      <c r="E612" s="1" t="s">
        <v>74</v>
      </c>
      <c r="F612" s="1" t="s">
        <v>5873</v>
      </c>
      <c r="G612" s="1" t="s">
        <v>74</v>
      </c>
      <c r="H612" s="1" t="s">
        <v>74</v>
      </c>
      <c r="I612" s="1" t="s">
        <v>5874</v>
      </c>
      <c r="J612" s="1" t="s">
        <v>5875</v>
      </c>
      <c r="K612" s="1" t="s">
        <v>74</v>
      </c>
      <c r="L612" s="1" t="s">
        <v>74</v>
      </c>
      <c r="M612" s="1" t="s">
        <v>74</v>
      </c>
      <c r="N612" s="1" t="s">
        <v>74</v>
      </c>
      <c r="O612" s="1" t="s">
        <v>74</v>
      </c>
      <c r="P612" s="1" t="s">
        <v>74</v>
      </c>
      <c r="Q612" s="1" t="s">
        <v>74</v>
      </c>
      <c r="R612" s="1" t="s">
        <v>74</v>
      </c>
      <c r="S612" s="1" t="s">
        <v>74</v>
      </c>
      <c r="T612" s="1" t="s">
        <v>74</v>
      </c>
      <c r="U612" s="1" t="s">
        <v>74</v>
      </c>
      <c r="V612" s="1" t="s">
        <v>5876</v>
      </c>
      <c r="W612" s="1" t="s">
        <v>74</v>
      </c>
      <c r="X612" s="1" t="s">
        <v>74</v>
      </c>
      <c r="Y612" s="1" t="s">
        <v>74</v>
      </c>
      <c r="Z612" s="1" t="s">
        <v>74</v>
      </c>
      <c r="AA612" s="1" t="s">
        <v>74</v>
      </c>
      <c r="AB612" s="1" t="s">
        <v>74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5877</v>
      </c>
      <c r="AP612" s="1" t="s">
        <v>5878</v>
      </c>
      <c r="AQ612" s="1" t="s">
        <v>74</v>
      </c>
      <c r="AR612" s="1" t="s">
        <v>74</v>
      </c>
      <c r="AS612" s="1" t="s">
        <v>74</v>
      </c>
      <c r="AT612" s="1" t="s">
        <v>3702</v>
      </c>
      <c r="AU612" s="1">
        <v>1992.0</v>
      </c>
      <c r="AV612" s="1">
        <v>44.0</v>
      </c>
      <c r="AW612" s="1">
        <v>7.0</v>
      </c>
      <c r="AX612" s="1" t="s">
        <v>74</v>
      </c>
      <c r="AY612" s="1" t="s">
        <v>74</v>
      </c>
      <c r="AZ612" s="1" t="s">
        <v>74</v>
      </c>
      <c r="BA612" s="1" t="s">
        <v>74</v>
      </c>
      <c r="BB612" s="1">
        <v>1443.0</v>
      </c>
      <c r="BC612" s="1">
        <v>1452.0</v>
      </c>
      <c r="BD612" s="1" t="s">
        <v>74</v>
      </c>
      <c r="BE612" s="1" t="s">
        <v>5879</v>
      </c>
      <c r="BF612" s="2" t="str">
        <f>HYPERLINK("http://dx.doi.org/10.1016/0006-2952(92)90547-V","http://dx.doi.org/10.1016/0006-2952(92)90547-V")</f>
        <v>http://dx.doi.org/10.1016/0006-2952(92)90547-V</v>
      </c>
      <c r="BG612" s="1" t="s">
        <v>74</v>
      </c>
      <c r="BH612" s="1" t="s">
        <v>74</v>
      </c>
      <c r="BI612" s="1" t="s">
        <v>74</v>
      </c>
      <c r="BJ612" s="1" t="s">
        <v>74</v>
      </c>
      <c r="BK612" s="1" t="s">
        <v>74</v>
      </c>
      <c r="BL612" s="1" t="s">
        <v>74</v>
      </c>
      <c r="BM612" s="1" t="s">
        <v>74</v>
      </c>
      <c r="BN612" s="1">
        <v>1417965.0</v>
      </c>
      <c r="BO612" s="1" t="s">
        <v>74</v>
      </c>
      <c r="BP612" s="1" t="s">
        <v>74</v>
      </c>
      <c r="BQ612" s="1" t="s">
        <v>74</v>
      </c>
      <c r="BR612" s="1" t="s">
        <v>74</v>
      </c>
      <c r="BS612" s="1" t="s">
        <v>5880</v>
      </c>
      <c r="BT612" s="1" t="str">
        <f>HYPERLINK("https%3A%2F%2Fwww.webofscience.com%2Fwos%2Fwoscc%2Ffull-record%2FWOS:A1992KT90400028","View Full Record in Web of Science")</f>
        <v>View Full Record in Web of Science</v>
      </c>
    </row>
    <row r="613" ht="12.75" customHeight="1">
      <c r="A613" s="1" t="s">
        <v>72</v>
      </c>
      <c r="B613" s="1" t="s">
        <v>5881</v>
      </c>
      <c r="C613" s="1" t="s">
        <v>74</v>
      </c>
      <c r="D613" s="1" t="s">
        <v>74</v>
      </c>
      <c r="E613" s="1" t="s">
        <v>74</v>
      </c>
      <c r="F613" s="1" t="s">
        <v>5881</v>
      </c>
      <c r="G613" s="1" t="s">
        <v>74</v>
      </c>
      <c r="H613" s="1" t="s">
        <v>74</v>
      </c>
      <c r="I613" s="1" t="s">
        <v>5882</v>
      </c>
      <c r="J613" s="1" t="s">
        <v>5883</v>
      </c>
      <c r="K613" s="1" t="s">
        <v>74</v>
      </c>
      <c r="L613" s="1" t="s">
        <v>74</v>
      </c>
      <c r="M613" s="1" t="s">
        <v>74</v>
      </c>
      <c r="N613" s="1" t="s">
        <v>74</v>
      </c>
      <c r="O613" s="1" t="s">
        <v>74</v>
      </c>
      <c r="P613" s="1" t="s">
        <v>74</v>
      </c>
      <c r="Q613" s="1" t="s">
        <v>74</v>
      </c>
      <c r="R613" s="1" t="s">
        <v>74</v>
      </c>
      <c r="S613" s="1" t="s">
        <v>74</v>
      </c>
      <c r="T613" s="1" t="s">
        <v>74</v>
      </c>
      <c r="U613" s="1" t="s">
        <v>74</v>
      </c>
      <c r="V613" s="1" t="s">
        <v>74</v>
      </c>
      <c r="W613" s="1" t="s">
        <v>74</v>
      </c>
      <c r="X613" s="1" t="s">
        <v>74</v>
      </c>
      <c r="Y613" s="1" t="s">
        <v>74</v>
      </c>
      <c r="Z613" s="1" t="s">
        <v>74</v>
      </c>
      <c r="AA613" s="1" t="s">
        <v>74</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5884</v>
      </c>
      <c r="AP613" s="1" t="s">
        <v>74</v>
      </c>
      <c r="AQ613" s="1" t="s">
        <v>74</v>
      </c>
      <c r="AR613" s="1" t="s">
        <v>74</v>
      </c>
      <c r="AS613" s="1" t="s">
        <v>74</v>
      </c>
      <c r="AT613" s="1" t="s">
        <v>5885</v>
      </c>
      <c r="AU613" s="1">
        <v>1990.0</v>
      </c>
      <c r="AV613" s="1">
        <v>65.0</v>
      </c>
      <c r="AW613" s="1">
        <v>1.0</v>
      </c>
      <c r="AX613" s="1" t="s">
        <v>74</v>
      </c>
      <c r="AY613" s="1" t="s">
        <v>74</v>
      </c>
      <c r="AZ613" s="1" t="s">
        <v>74</v>
      </c>
      <c r="BA613" s="1" t="s">
        <v>74</v>
      </c>
      <c r="BB613" s="1">
        <v>45.0</v>
      </c>
      <c r="BC613" s="1">
        <v>52.0</v>
      </c>
      <c r="BD613" s="1" t="s">
        <v>74</v>
      </c>
      <c r="BE613" s="1" t="s">
        <v>5886</v>
      </c>
      <c r="BF613" s="2" t="str">
        <f>HYPERLINK("http://dx.doi.org/10.1016/S0166-9834(00)81587-0","http://dx.doi.org/10.1016/S0166-9834(00)81587-0")</f>
        <v>http://dx.doi.org/10.1016/S0166-9834(00)81587-0</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5887</v>
      </c>
      <c r="BT613" s="1" t="str">
        <f>HYPERLINK("https%3A%2F%2Fwww.webofscience.com%2Fwos%2Fwoscc%2Ffull-record%2FWOS:A1990EE81200006","View Full Record in Web of Science")</f>
        <v>View Full Record in Web of Science</v>
      </c>
    </row>
    <row r="614" ht="12.75" customHeight="1">
      <c r="A614" s="1" t="s">
        <v>72</v>
      </c>
      <c r="B614" s="1" t="s">
        <v>5888</v>
      </c>
      <c r="C614" s="1" t="s">
        <v>74</v>
      </c>
      <c r="D614" s="1" t="s">
        <v>74</v>
      </c>
      <c r="E614" s="1" t="s">
        <v>74</v>
      </c>
      <c r="F614" s="1" t="s">
        <v>5888</v>
      </c>
      <c r="G614" s="1" t="s">
        <v>74</v>
      </c>
      <c r="H614" s="1" t="s">
        <v>74</v>
      </c>
      <c r="I614" s="1" t="s">
        <v>5889</v>
      </c>
      <c r="J614" s="1" t="s">
        <v>5890</v>
      </c>
      <c r="K614" s="1" t="s">
        <v>74</v>
      </c>
      <c r="L614" s="1" t="s">
        <v>74</v>
      </c>
      <c r="M614" s="1" t="s">
        <v>74</v>
      </c>
      <c r="N614" s="1" t="s">
        <v>74</v>
      </c>
      <c r="O614" s="1" t="s">
        <v>74</v>
      </c>
      <c r="P614" s="1" t="s">
        <v>74</v>
      </c>
      <c r="Q614" s="1" t="s">
        <v>74</v>
      </c>
      <c r="R614" s="1" t="s">
        <v>74</v>
      </c>
      <c r="S614" s="1" t="s">
        <v>74</v>
      </c>
      <c r="T614" s="1" t="s">
        <v>74</v>
      </c>
      <c r="U614" s="1" t="s">
        <v>74</v>
      </c>
      <c r="V614" s="1" t="s">
        <v>5891</v>
      </c>
      <c r="W614" s="1" t="s">
        <v>74</v>
      </c>
      <c r="X614" s="1" t="s">
        <v>74</v>
      </c>
      <c r="Y614" s="1" t="s">
        <v>74</v>
      </c>
      <c r="Z614" s="1" t="s">
        <v>74</v>
      </c>
      <c r="AA614" s="1" t="s">
        <v>5892</v>
      </c>
      <c r="AB614" s="1" t="s">
        <v>74</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5893</v>
      </c>
      <c r="AP614" s="1" t="s">
        <v>74</v>
      </c>
      <c r="AQ614" s="1" t="s">
        <v>74</v>
      </c>
      <c r="AR614" s="1" t="s">
        <v>74</v>
      </c>
      <c r="AS614" s="1" t="s">
        <v>74</v>
      </c>
      <c r="AT614" s="1" t="s">
        <v>74</v>
      </c>
      <c r="AU614" s="1">
        <v>1990.0</v>
      </c>
      <c r="AV614" s="1">
        <v>54.0</v>
      </c>
      <c r="AW614" s="1">
        <v>1.0</v>
      </c>
      <c r="AX614" s="1" t="s">
        <v>74</v>
      </c>
      <c r="AY614" s="1" t="s">
        <v>74</v>
      </c>
      <c r="AZ614" s="1" t="s">
        <v>74</v>
      </c>
      <c r="BA614" s="1" t="s">
        <v>74</v>
      </c>
      <c r="BB614" s="1">
        <v>44.0</v>
      </c>
      <c r="BC614" s="1">
        <v>49.0</v>
      </c>
      <c r="BD614" s="1" t="s">
        <v>74</v>
      </c>
      <c r="BE614" s="1" t="s">
        <v>5894</v>
      </c>
      <c r="BF614" s="2" t="str">
        <f>HYPERLINK("http://dx.doi.org/10.1159/000288376","http://dx.doi.org/10.1159/000288376")</f>
        <v>http://dx.doi.org/10.1159/000288376</v>
      </c>
      <c r="BG614" s="1" t="s">
        <v>74</v>
      </c>
      <c r="BH614" s="1" t="s">
        <v>74</v>
      </c>
      <c r="BI614" s="1" t="s">
        <v>74</v>
      </c>
      <c r="BJ614" s="1" t="s">
        <v>74</v>
      </c>
      <c r="BK614" s="1" t="s">
        <v>74</v>
      </c>
      <c r="BL614" s="1" t="s">
        <v>74</v>
      </c>
      <c r="BM614" s="1" t="s">
        <v>74</v>
      </c>
      <c r="BN614" s="1">
        <v>2091033.0</v>
      </c>
      <c r="BO614" s="1" t="s">
        <v>74</v>
      </c>
      <c r="BP614" s="1" t="s">
        <v>74</v>
      </c>
      <c r="BQ614" s="1" t="s">
        <v>74</v>
      </c>
      <c r="BR614" s="1" t="s">
        <v>74</v>
      </c>
      <c r="BS614" s="1" t="s">
        <v>5895</v>
      </c>
      <c r="BT614" s="1" t="str">
        <f>HYPERLINK("https%3A%2F%2Fwww.webofscience.com%2Fwos%2Fwoscc%2Ffull-record%2FWOS:A1990EX97700007","View Full Record in Web of Science")</f>
        <v>View Full Record in Web of Science</v>
      </c>
    </row>
    <row r="615" ht="12.75" customHeight="1">
      <c r="A615" s="1" t="s">
        <v>72</v>
      </c>
      <c r="B615" s="1" t="s">
        <v>5896</v>
      </c>
      <c r="C615" s="1" t="s">
        <v>74</v>
      </c>
      <c r="D615" s="1" t="s">
        <v>74</v>
      </c>
      <c r="E615" s="1" t="s">
        <v>74</v>
      </c>
      <c r="F615" s="1" t="s">
        <v>5896</v>
      </c>
      <c r="G615" s="1" t="s">
        <v>74</v>
      </c>
      <c r="H615" s="1" t="s">
        <v>74</v>
      </c>
      <c r="I615" s="1" t="s">
        <v>5897</v>
      </c>
      <c r="J615" s="1" t="s">
        <v>5898</v>
      </c>
      <c r="K615" s="1" t="s">
        <v>74</v>
      </c>
      <c r="L615" s="1" t="s">
        <v>74</v>
      </c>
      <c r="M615" s="1" t="s">
        <v>74</v>
      </c>
      <c r="N615" s="1" t="s">
        <v>74</v>
      </c>
      <c r="O615" s="1" t="s">
        <v>74</v>
      </c>
      <c r="P615" s="1" t="s">
        <v>74</v>
      </c>
      <c r="Q615" s="1" t="s">
        <v>74</v>
      </c>
      <c r="R615" s="1" t="s">
        <v>74</v>
      </c>
      <c r="S615" s="1" t="s">
        <v>74</v>
      </c>
      <c r="T615" s="1" t="s">
        <v>74</v>
      </c>
      <c r="U615" s="1" t="s">
        <v>74</v>
      </c>
      <c r="V615" s="1" t="s">
        <v>74</v>
      </c>
      <c r="W615" s="1" t="s">
        <v>74</v>
      </c>
      <c r="X615" s="1" t="s">
        <v>74</v>
      </c>
      <c r="Y615" s="1" t="s">
        <v>74</v>
      </c>
      <c r="Z615" s="1" t="s">
        <v>74</v>
      </c>
      <c r="AA615" s="1" t="s">
        <v>74</v>
      </c>
      <c r="AB615" s="1" t="s">
        <v>74</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5899</v>
      </c>
      <c r="AP615" s="1" t="s">
        <v>74</v>
      </c>
      <c r="AQ615" s="1" t="s">
        <v>74</v>
      </c>
      <c r="AR615" s="1" t="s">
        <v>74</v>
      </c>
      <c r="AS615" s="1" t="s">
        <v>74</v>
      </c>
      <c r="AT615" s="1" t="s">
        <v>74</v>
      </c>
      <c r="AU615" s="1">
        <v>1980.0</v>
      </c>
      <c r="AV615" s="1">
        <v>9.0</v>
      </c>
      <c r="AW615" s="1">
        <v>10.0</v>
      </c>
      <c r="AX615" s="1" t="s">
        <v>74</v>
      </c>
      <c r="AY615" s="1" t="s">
        <v>74</v>
      </c>
      <c r="AZ615" s="1" t="s">
        <v>74</v>
      </c>
      <c r="BA615" s="1" t="s">
        <v>74</v>
      </c>
      <c r="BB615" s="1">
        <v>1087.0</v>
      </c>
      <c r="BC615" s="1">
        <v>1096.0</v>
      </c>
      <c r="BD615" s="1" t="s">
        <v>74</v>
      </c>
      <c r="BE615" s="1" t="s">
        <v>5900</v>
      </c>
      <c r="BF615" s="2" t="str">
        <f>HYPERLINK("http://dx.doi.org/10.1080/03610928008827943","http://dx.doi.org/10.1080/03610928008827943")</f>
        <v>http://dx.doi.org/10.1080/03610928008827943</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5901</v>
      </c>
      <c r="BT615" s="1" t="str">
        <f>HYPERLINK("https%3A%2F%2Fwww.webofscience.com%2Fwos%2Fwoscc%2Ffull-record%2FWOS:A1980JY04000006","View Full Record in Web of Science")</f>
        <v>View Full Record in Web of Science</v>
      </c>
    </row>
    <row r="616" ht="12.75" customHeight="1">
      <c r="A616" s="1" t="s">
        <v>72</v>
      </c>
      <c r="B616" s="1" t="s">
        <v>5902</v>
      </c>
      <c r="C616" s="1" t="s">
        <v>74</v>
      </c>
      <c r="D616" s="1" t="s">
        <v>74</v>
      </c>
      <c r="E616" s="1" t="s">
        <v>74</v>
      </c>
      <c r="F616" s="1" t="s">
        <v>5903</v>
      </c>
      <c r="G616" s="1" t="s">
        <v>74</v>
      </c>
      <c r="H616" s="1" t="s">
        <v>74</v>
      </c>
      <c r="I616" s="1" t="s">
        <v>5904</v>
      </c>
      <c r="J616" s="1" t="s">
        <v>5905</v>
      </c>
      <c r="K616" s="1" t="s">
        <v>74</v>
      </c>
      <c r="L616" s="1" t="s">
        <v>74</v>
      </c>
      <c r="M616" s="1" t="s">
        <v>74</v>
      </c>
      <c r="N616" s="1" t="s">
        <v>74</v>
      </c>
      <c r="O616" s="1" t="s">
        <v>74</v>
      </c>
      <c r="P616" s="1" t="s">
        <v>74</v>
      </c>
      <c r="Q616" s="1" t="s">
        <v>74</v>
      </c>
      <c r="R616" s="1" t="s">
        <v>74</v>
      </c>
      <c r="S616" s="1" t="s">
        <v>74</v>
      </c>
      <c r="T616" s="1" t="s">
        <v>74</v>
      </c>
      <c r="U616" s="1" t="s">
        <v>74</v>
      </c>
      <c r="V616" s="1" t="s">
        <v>5906</v>
      </c>
      <c r="W616" s="1" t="s">
        <v>74</v>
      </c>
      <c r="X616" s="1" t="s">
        <v>74</v>
      </c>
      <c r="Y616" s="1" t="s">
        <v>74</v>
      </c>
      <c r="Z616" s="1" t="s">
        <v>74</v>
      </c>
      <c r="AA616" s="1" t="s">
        <v>5907</v>
      </c>
      <c r="AB616" s="1" t="s">
        <v>74</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5908</v>
      </c>
      <c r="AP616" s="1" t="s">
        <v>5909</v>
      </c>
      <c r="AQ616" s="1" t="s">
        <v>74</v>
      </c>
      <c r="AR616" s="1" t="s">
        <v>74</v>
      </c>
      <c r="AS616" s="1" t="s">
        <v>74</v>
      </c>
      <c r="AT616" s="1" t="s">
        <v>5910</v>
      </c>
      <c r="AU616" s="1">
        <v>2025.0</v>
      </c>
      <c r="AV616" s="1" t="s">
        <v>74</v>
      </c>
      <c r="AW616" s="1" t="s">
        <v>74</v>
      </c>
      <c r="AX616" s="1" t="s">
        <v>74</v>
      </c>
      <c r="AY616" s="1" t="s">
        <v>74</v>
      </c>
      <c r="AZ616" s="1" t="s">
        <v>74</v>
      </c>
      <c r="BA616" s="1" t="s">
        <v>74</v>
      </c>
      <c r="BB616" s="1" t="s">
        <v>74</v>
      </c>
      <c r="BC616" s="1" t="s">
        <v>74</v>
      </c>
      <c r="BD616" s="1" t="s">
        <v>74</v>
      </c>
      <c r="BE616" s="1" t="s">
        <v>5911</v>
      </c>
      <c r="BF616" s="2" t="str">
        <f>HYPERLINK("http://dx.doi.org/10.1109/TIE.2025.3531484","http://dx.doi.org/10.1109/TIE.2025.3531484")</f>
        <v>http://dx.doi.org/10.1109/TIE.2025.3531484</v>
      </c>
      <c r="BG616" s="1" t="s">
        <v>74</v>
      </c>
      <c r="BH616" s="1" t="s">
        <v>5912</v>
      </c>
      <c r="BI616" s="1" t="s">
        <v>74</v>
      </c>
      <c r="BJ616" s="1" t="s">
        <v>74</v>
      </c>
      <c r="BK616" s="1" t="s">
        <v>74</v>
      </c>
      <c r="BL616" s="1" t="s">
        <v>74</v>
      </c>
      <c r="BM616" s="1" t="s">
        <v>74</v>
      </c>
      <c r="BN616" s="1" t="s">
        <v>74</v>
      </c>
      <c r="BO616" s="1" t="s">
        <v>74</v>
      </c>
      <c r="BP616" s="1" t="s">
        <v>74</v>
      </c>
      <c r="BQ616" s="1" t="s">
        <v>74</v>
      </c>
      <c r="BR616" s="1" t="s">
        <v>74</v>
      </c>
      <c r="BS616" s="1" t="s">
        <v>5913</v>
      </c>
      <c r="BT616" s="1" t="str">
        <f>HYPERLINK("https%3A%2F%2Fwww.webofscience.com%2Fwos%2Fwoscc%2Ffull-record%2FWOS:001470672100001","View Full Record in Web of Science")</f>
        <v>View Full Record in Web of Science</v>
      </c>
    </row>
    <row r="617" ht="12.75" customHeight="1">
      <c r="A617" s="1" t="s">
        <v>72</v>
      </c>
      <c r="B617" s="1" t="s">
        <v>5914</v>
      </c>
      <c r="C617" s="1" t="s">
        <v>74</v>
      </c>
      <c r="D617" s="1" t="s">
        <v>74</v>
      </c>
      <c r="E617" s="1" t="s">
        <v>74</v>
      </c>
      <c r="F617" s="1" t="s">
        <v>5915</v>
      </c>
      <c r="G617" s="1" t="s">
        <v>74</v>
      </c>
      <c r="H617" s="1" t="s">
        <v>74</v>
      </c>
      <c r="I617" s="1" t="s">
        <v>5916</v>
      </c>
      <c r="J617" s="1" t="s">
        <v>5917</v>
      </c>
      <c r="K617" s="1" t="s">
        <v>74</v>
      </c>
      <c r="L617" s="1" t="s">
        <v>74</v>
      </c>
      <c r="M617" s="1" t="s">
        <v>74</v>
      </c>
      <c r="N617" s="1" t="s">
        <v>74</v>
      </c>
      <c r="O617" s="1" t="s">
        <v>74</v>
      </c>
      <c r="P617" s="1" t="s">
        <v>74</v>
      </c>
      <c r="Q617" s="1" t="s">
        <v>74</v>
      </c>
      <c r="R617" s="1" t="s">
        <v>74</v>
      </c>
      <c r="S617" s="1" t="s">
        <v>74</v>
      </c>
      <c r="T617" s="1" t="s">
        <v>74</v>
      </c>
      <c r="U617" s="1" t="s">
        <v>74</v>
      </c>
      <c r="V617" s="1" t="s">
        <v>5918</v>
      </c>
      <c r="W617" s="1" t="s">
        <v>74</v>
      </c>
      <c r="X617" s="1" t="s">
        <v>74</v>
      </c>
      <c r="Y617" s="1" t="s">
        <v>74</v>
      </c>
      <c r="Z617" s="1" t="s">
        <v>74</v>
      </c>
      <c r="AA617" s="1" t="s">
        <v>5919</v>
      </c>
      <c r="AB617" s="1" t="s">
        <v>5920</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5921</v>
      </c>
      <c r="AP617" s="1" t="s">
        <v>5922</v>
      </c>
      <c r="AQ617" s="1" t="s">
        <v>74</v>
      </c>
      <c r="AR617" s="1" t="s">
        <v>74</v>
      </c>
      <c r="AS617" s="1" t="s">
        <v>74</v>
      </c>
      <c r="AT617" s="1" t="s">
        <v>496</v>
      </c>
      <c r="AU617" s="1">
        <v>2025.0</v>
      </c>
      <c r="AV617" s="1">
        <v>140.0</v>
      </c>
      <c r="AW617" s="1" t="s">
        <v>74</v>
      </c>
      <c r="AX617" s="1">
        <v>1.0</v>
      </c>
      <c r="AY617" s="1" t="s">
        <v>74</v>
      </c>
      <c r="AZ617" s="1" t="s">
        <v>74</v>
      </c>
      <c r="BA617" s="1" t="s">
        <v>74</v>
      </c>
      <c r="BB617" s="1" t="s">
        <v>74</v>
      </c>
      <c r="BC617" s="1" t="s">
        <v>74</v>
      </c>
      <c r="BD617" s="1">
        <v>108368.0</v>
      </c>
      <c r="BE617" s="1" t="s">
        <v>5923</v>
      </c>
      <c r="BF617" s="2" t="str">
        <f>HYPERLINK("http://dx.doi.org/10.1016/j.cnsns.2024.108368","http://dx.doi.org/10.1016/j.cnsns.2024.108368")</f>
        <v>http://dx.doi.org/10.1016/j.cnsns.2024.108368</v>
      </c>
      <c r="BG617" s="1" t="s">
        <v>74</v>
      </c>
      <c r="BH617" s="1" t="s">
        <v>5924</v>
      </c>
      <c r="BI617" s="1" t="s">
        <v>74</v>
      </c>
      <c r="BJ617" s="1" t="s">
        <v>74</v>
      </c>
      <c r="BK617" s="1" t="s">
        <v>74</v>
      </c>
      <c r="BL617" s="1" t="s">
        <v>74</v>
      </c>
      <c r="BM617" s="1" t="s">
        <v>74</v>
      </c>
      <c r="BN617" s="1" t="s">
        <v>74</v>
      </c>
      <c r="BO617" s="1" t="s">
        <v>74</v>
      </c>
      <c r="BP617" s="1" t="s">
        <v>74</v>
      </c>
      <c r="BQ617" s="1" t="s">
        <v>74</v>
      </c>
      <c r="BR617" s="1" t="s">
        <v>74</v>
      </c>
      <c r="BS617" s="1" t="s">
        <v>5925</v>
      </c>
      <c r="BT617" s="1" t="str">
        <f>HYPERLINK("https%3A%2F%2Fwww.webofscience.com%2Fwos%2Fwoscc%2Ffull-record%2FWOS:001327873500001","View Full Record in Web of Science")</f>
        <v>View Full Record in Web of Science</v>
      </c>
    </row>
    <row r="618" ht="12.75" customHeight="1">
      <c r="A618" s="1" t="s">
        <v>72</v>
      </c>
      <c r="B618" s="1" t="s">
        <v>5926</v>
      </c>
      <c r="C618" s="1" t="s">
        <v>74</v>
      </c>
      <c r="D618" s="1" t="s">
        <v>74</v>
      </c>
      <c r="E618" s="1" t="s">
        <v>74</v>
      </c>
      <c r="F618" s="1" t="s">
        <v>5927</v>
      </c>
      <c r="G618" s="1" t="s">
        <v>74</v>
      </c>
      <c r="H618" s="1" t="s">
        <v>74</v>
      </c>
      <c r="I618" s="1" t="s">
        <v>5928</v>
      </c>
      <c r="J618" s="1" t="s">
        <v>5929</v>
      </c>
      <c r="K618" s="1" t="s">
        <v>74</v>
      </c>
      <c r="L618" s="1" t="s">
        <v>74</v>
      </c>
      <c r="M618" s="1" t="s">
        <v>74</v>
      </c>
      <c r="N618" s="1" t="s">
        <v>74</v>
      </c>
      <c r="O618" s="1" t="s">
        <v>74</v>
      </c>
      <c r="P618" s="1" t="s">
        <v>74</v>
      </c>
      <c r="Q618" s="1" t="s">
        <v>74</v>
      </c>
      <c r="R618" s="1" t="s">
        <v>74</v>
      </c>
      <c r="S618" s="1" t="s">
        <v>74</v>
      </c>
      <c r="T618" s="1" t="s">
        <v>74</v>
      </c>
      <c r="U618" s="1" t="s">
        <v>74</v>
      </c>
      <c r="V618" s="1" t="s">
        <v>5930</v>
      </c>
      <c r="W618" s="1" t="s">
        <v>74</v>
      </c>
      <c r="X618" s="1" t="s">
        <v>74</v>
      </c>
      <c r="Y618" s="1" t="s">
        <v>74</v>
      </c>
      <c r="Z618" s="1" t="s">
        <v>74</v>
      </c>
      <c r="AA618" s="1" t="s">
        <v>5931</v>
      </c>
      <c r="AB618" s="1" t="s">
        <v>5932</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5933</v>
      </c>
      <c r="AP618" s="1" t="s">
        <v>5934</v>
      </c>
      <c r="AQ618" s="1" t="s">
        <v>74</v>
      </c>
      <c r="AR618" s="1" t="s">
        <v>74</v>
      </c>
      <c r="AS618" s="1" t="s">
        <v>74</v>
      </c>
      <c r="AT618" s="1" t="s">
        <v>554</v>
      </c>
      <c r="AU618" s="1">
        <v>2023.0</v>
      </c>
      <c r="AV618" s="1">
        <v>30.0</v>
      </c>
      <c r="AW618" s="1">
        <v>30.0</v>
      </c>
      <c r="AX618" s="1" t="s">
        <v>74</v>
      </c>
      <c r="AY618" s="1" t="s">
        <v>74</v>
      </c>
      <c r="AZ618" s="1" t="s">
        <v>74</v>
      </c>
      <c r="BA618" s="1" t="s">
        <v>74</v>
      </c>
      <c r="BB618" s="1">
        <v>76253.0</v>
      </c>
      <c r="BC618" s="1">
        <v>76262.0</v>
      </c>
      <c r="BD618" s="1" t="s">
        <v>74</v>
      </c>
      <c r="BE618" s="1" t="s">
        <v>5935</v>
      </c>
      <c r="BF618" s="2" t="str">
        <f>HYPERLINK("http://dx.doi.org/10.1007/s11356-023-27969-0","http://dx.doi.org/10.1007/s11356-023-27969-0")</f>
        <v>http://dx.doi.org/10.1007/s11356-023-27969-0</v>
      </c>
      <c r="BG618" s="1" t="s">
        <v>74</v>
      </c>
      <c r="BH618" s="1" t="s">
        <v>5620</v>
      </c>
      <c r="BI618" s="1" t="s">
        <v>74</v>
      </c>
      <c r="BJ618" s="1" t="s">
        <v>74</v>
      </c>
      <c r="BK618" s="1" t="s">
        <v>74</v>
      </c>
      <c r="BL618" s="1" t="s">
        <v>74</v>
      </c>
      <c r="BM618" s="1" t="s">
        <v>74</v>
      </c>
      <c r="BN618" s="1">
        <v>3.7310602E7</v>
      </c>
      <c r="BO618" s="1" t="s">
        <v>74</v>
      </c>
      <c r="BP618" s="1" t="s">
        <v>74</v>
      </c>
      <c r="BQ618" s="1" t="s">
        <v>74</v>
      </c>
      <c r="BR618" s="1" t="s">
        <v>74</v>
      </c>
      <c r="BS618" s="1" t="s">
        <v>5936</v>
      </c>
      <c r="BT618" s="1" t="str">
        <f>HYPERLINK("https%3A%2F%2Fwww.webofscience.com%2Fwos%2Fwoscc%2Ffull-record%2FWOS:001008837900003","View Full Record in Web of Science")</f>
        <v>View Full Record in Web of Science</v>
      </c>
    </row>
    <row r="619" ht="12.75" customHeight="1">
      <c r="A619" s="1" t="s">
        <v>72</v>
      </c>
      <c r="B619" s="1" t="s">
        <v>5937</v>
      </c>
      <c r="C619" s="1" t="s">
        <v>74</v>
      </c>
      <c r="D619" s="1" t="s">
        <v>74</v>
      </c>
      <c r="E619" s="1" t="s">
        <v>74</v>
      </c>
      <c r="F619" s="1" t="s">
        <v>5938</v>
      </c>
      <c r="G619" s="1" t="s">
        <v>74</v>
      </c>
      <c r="H619" s="1" t="s">
        <v>74</v>
      </c>
      <c r="I619" s="1" t="s">
        <v>5939</v>
      </c>
      <c r="J619" s="1" t="s">
        <v>5940</v>
      </c>
      <c r="K619" s="1" t="s">
        <v>74</v>
      </c>
      <c r="L619" s="1" t="s">
        <v>74</v>
      </c>
      <c r="M619" s="1" t="s">
        <v>74</v>
      </c>
      <c r="N619" s="1" t="s">
        <v>74</v>
      </c>
      <c r="O619" s="1" t="s">
        <v>74</v>
      </c>
      <c r="P619" s="1" t="s">
        <v>74</v>
      </c>
      <c r="Q619" s="1" t="s">
        <v>74</v>
      </c>
      <c r="R619" s="1" t="s">
        <v>74</v>
      </c>
      <c r="S619" s="1" t="s">
        <v>74</v>
      </c>
      <c r="T619" s="1" t="s">
        <v>74</v>
      </c>
      <c r="U619" s="1" t="s">
        <v>74</v>
      </c>
      <c r="V619" s="1" t="s">
        <v>5941</v>
      </c>
      <c r="W619" s="1" t="s">
        <v>74</v>
      </c>
      <c r="X619" s="1" t="s">
        <v>74</v>
      </c>
      <c r="Y619" s="1" t="s">
        <v>74</v>
      </c>
      <c r="Z619" s="1" t="s">
        <v>74</v>
      </c>
      <c r="AA619" s="1" t="s">
        <v>5942</v>
      </c>
      <c r="AB619" s="1" t="s">
        <v>5943</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5944</v>
      </c>
      <c r="AP619" s="1" t="s">
        <v>5945</v>
      </c>
      <c r="AQ619" s="1" t="s">
        <v>74</v>
      </c>
      <c r="AR619" s="1" t="s">
        <v>74</v>
      </c>
      <c r="AS619" s="1" t="s">
        <v>74</v>
      </c>
      <c r="AT619" s="1" t="s">
        <v>232</v>
      </c>
      <c r="AU619" s="1">
        <v>2022.0</v>
      </c>
      <c r="AV619" s="1">
        <v>175.0</v>
      </c>
      <c r="AW619" s="1">
        <v>5.0</v>
      </c>
      <c r="AX619" s="1" t="s">
        <v>74</v>
      </c>
      <c r="AY619" s="1" t="s">
        <v>74</v>
      </c>
      <c r="AZ619" s="1" t="s">
        <v>74</v>
      </c>
      <c r="BA619" s="1" t="s">
        <v>74</v>
      </c>
      <c r="BB619" s="1">
        <v>539.0</v>
      </c>
      <c r="BC619" s="1">
        <v>548.0</v>
      </c>
      <c r="BD619" s="1" t="s">
        <v>74</v>
      </c>
      <c r="BE619" s="1" t="s">
        <v>5946</v>
      </c>
      <c r="BF619" s="2" t="str">
        <f>HYPERLINK("http://dx.doi.org/10.1680/jgeen.20.00190","http://dx.doi.org/10.1680/jgeen.20.00190")</f>
        <v>http://dx.doi.org/10.1680/jgeen.20.00190</v>
      </c>
      <c r="BG619" s="1" t="s">
        <v>74</v>
      </c>
      <c r="BH619" s="1" t="s">
        <v>5947</v>
      </c>
      <c r="BI619" s="1" t="s">
        <v>74</v>
      </c>
      <c r="BJ619" s="1" t="s">
        <v>74</v>
      </c>
      <c r="BK619" s="1" t="s">
        <v>74</v>
      </c>
      <c r="BL619" s="1" t="s">
        <v>74</v>
      </c>
      <c r="BM619" s="1" t="s">
        <v>74</v>
      </c>
      <c r="BN619" s="1" t="s">
        <v>74</v>
      </c>
      <c r="BO619" s="1" t="s">
        <v>74</v>
      </c>
      <c r="BP619" s="1" t="s">
        <v>74</v>
      </c>
      <c r="BQ619" s="1" t="s">
        <v>74</v>
      </c>
      <c r="BR619" s="1" t="s">
        <v>74</v>
      </c>
      <c r="BS619" s="1" t="s">
        <v>5948</v>
      </c>
      <c r="BT619" s="1" t="str">
        <f>HYPERLINK("https%3A%2F%2Fwww.webofscience.com%2Fwos%2Fwoscc%2Ffull-record%2FWOS:000791265500001","View Full Record in Web of Science")</f>
        <v>View Full Record in Web of Science</v>
      </c>
    </row>
    <row r="620" ht="12.75" customHeight="1">
      <c r="A620" s="1" t="s">
        <v>72</v>
      </c>
      <c r="B620" s="1" t="s">
        <v>5949</v>
      </c>
      <c r="C620" s="1" t="s">
        <v>74</v>
      </c>
      <c r="D620" s="1" t="s">
        <v>74</v>
      </c>
      <c r="E620" s="1" t="s">
        <v>74</v>
      </c>
      <c r="F620" s="1" t="s">
        <v>5950</v>
      </c>
      <c r="G620" s="1" t="s">
        <v>74</v>
      </c>
      <c r="H620" s="1" t="s">
        <v>74</v>
      </c>
      <c r="I620" s="1" t="s">
        <v>5951</v>
      </c>
      <c r="J620" s="1" t="s">
        <v>5952</v>
      </c>
      <c r="K620" s="1" t="s">
        <v>74</v>
      </c>
      <c r="L620" s="1" t="s">
        <v>74</v>
      </c>
      <c r="M620" s="1" t="s">
        <v>74</v>
      </c>
      <c r="N620" s="1" t="s">
        <v>74</v>
      </c>
      <c r="O620" s="1" t="s">
        <v>74</v>
      </c>
      <c r="P620" s="1" t="s">
        <v>74</v>
      </c>
      <c r="Q620" s="1" t="s">
        <v>74</v>
      </c>
      <c r="R620" s="1" t="s">
        <v>74</v>
      </c>
      <c r="S620" s="1" t="s">
        <v>74</v>
      </c>
      <c r="T620" s="1" t="s">
        <v>74</v>
      </c>
      <c r="U620" s="1" t="s">
        <v>74</v>
      </c>
      <c r="V620" s="1" t="s">
        <v>5953</v>
      </c>
      <c r="W620" s="1" t="s">
        <v>74</v>
      </c>
      <c r="X620" s="1" t="s">
        <v>74</v>
      </c>
      <c r="Y620" s="1" t="s">
        <v>74</v>
      </c>
      <c r="Z620" s="1" t="s">
        <v>74</v>
      </c>
      <c r="AA620" s="1" t="s">
        <v>5954</v>
      </c>
      <c r="AB620" s="1" t="s">
        <v>74</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5955</v>
      </c>
      <c r="AP620" s="1" t="s">
        <v>74</v>
      </c>
      <c r="AQ620" s="1" t="s">
        <v>74</v>
      </c>
      <c r="AR620" s="1" t="s">
        <v>74</v>
      </c>
      <c r="AS620" s="1" t="s">
        <v>74</v>
      </c>
      <c r="AT620" s="1" t="s">
        <v>74</v>
      </c>
      <c r="AU620" s="1">
        <v>2022.0</v>
      </c>
      <c r="AV620" s="1" t="s">
        <v>74</v>
      </c>
      <c r="AW620" s="1">
        <v>19.0</v>
      </c>
      <c r="AX620" s="1" t="s">
        <v>74</v>
      </c>
      <c r="AY620" s="1" t="s">
        <v>74</v>
      </c>
      <c r="AZ620" s="1" t="s">
        <v>74</v>
      </c>
      <c r="BA620" s="1" t="s">
        <v>74</v>
      </c>
      <c r="BB620" s="1" t="s">
        <v>74</v>
      </c>
      <c r="BC620" s="1" t="s">
        <v>74</v>
      </c>
      <c r="BD620" s="1">
        <v>10955.0</v>
      </c>
      <c r="BE620" s="1" t="s">
        <v>5956</v>
      </c>
      <c r="BF620" s="2" t="str">
        <f>HYPERLINK("http://dx.doi.org/10.4000/resf.10955","http://dx.doi.org/10.4000/resf.10955")</f>
        <v>http://dx.doi.org/10.4000/resf.10955</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5957</v>
      </c>
      <c r="BT620" s="1" t="str">
        <f>HYPERLINK("https%3A%2F%2Fwww.webofscience.com%2Fwos%2Fwoscc%2Ffull-record%2FWOS:000818953700009","View Full Record in Web of Science")</f>
        <v>View Full Record in Web of Science</v>
      </c>
    </row>
    <row r="621" ht="12.75" customHeight="1">
      <c r="A621" s="1" t="s">
        <v>72</v>
      </c>
      <c r="B621" s="1" t="s">
        <v>5958</v>
      </c>
      <c r="C621" s="1" t="s">
        <v>74</v>
      </c>
      <c r="D621" s="1" t="s">
        <v>74</v>
      </c>
      <c r="E621" s="1" t="s">
        <v>74</v>
      </c>
      <c r="F621" s="1" t="s">
        <v>5959</v>
      </c>
      <c r="G621" s="1" t="s">
        <v>74</v>
      </c>
      <c r="H621" s="1" t="s">
        <v>74</v>
      </c>
      <c r="I621" s="1" t="s">
        <v>5960</v>
      </c>
      <c r="J621" s="1" t="s">
        <v>5961</v>
      </c>
      <c r="K621" s="1" t="s">
        <v>74</v>
      </c>
      <c r="L621" s="1" t="s">
        <v>74</v>
      </c>
      <c r="M621" s="1" t="s">
        <v>74</v>
      </c>
      <c r="N621" s="1" t="s">
        <v>74</v>
      </c>
      <c r="O621" s="1" t="s">
        <v>74</v>
      </c>
      <c r="P621" s="1" t="s">
        <v>74</v>
      </c>
      <c r="Q621" s="1" t="s">
        <v>74</v>
      </c>
      <c r="R621" s="1" t="s">
        <v>74</v>
      </c>
      <c r="S621" s="1" t="s">
        <v>74</v>
      </c>
      <c r="T621" s="1" t="s">
        <v>74</v>
      </c>
      <c r="U621" s="1" t="s">
        <v>74</v>
      </c>
      <c r="V621" s="1" t="s">
        <v>5962</v>
      </c>
      <c r="W621" s="1" t="s">
        <v>74</v>
      </c>
      <c r="X621" s="1" t="s">
        <v>74</v>
      </c>
      <c r="Y621" s="1" t="s">
        <v>74</v>
      </c>
      <c r="Z621" s="1" t="s">
        <v>74</v>
      </c>
      <c r="AA621" s="1" t="s">
        <v>74</v>
      </c>
      <c r="AB621" s="1" t="s">
        <v>74</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5963</v>
      </c>
      <c r="AP621" s="1" t="s">
        <v>5964</v>
      </c>
      <c r="AQ621" s="1" t="s">
        <v>74</v>
      </c>
      <c r="AR621" s="1" t="s">
        <v>74</v>
      </c>
      <c r="AS621" s="1" t="s">
        <v>74</v>
      </c>
      <c r="AT621" s="1" t="s">
        <v>187</v>
      </c>
      <c r="AU621" s="1">
        <v>2021.0</v>
      </c>
      <c r="AV621" s="1">
        <v>11.0</v>
      </c>
      <c r="AW621" s="1">
        <v>1.0</v>
      </c>
      <c r="AX621" s="1" t="s">
        <v>74</v>
      </c>
      <c r="AY621" s="1" t="s">
        <v>74</v>
      </c>
      <c r="AZ621" s="1" t="s">
        <v>74</v>
      </c>
      <c r="BA621" s="1" t="s">
        <v>74</v>
      </c>
      <c r="BB621" s="1">
        <v>71.0</v>
      </c>
      <c r="BC621" s="1">
        <v>102.0</v>
      </c>
      <c r="BD621" s="1" t="s">
        <v>74</v>
      </c>
      <c r="BE621" s="1" t="s">
        <v>5965</v>
      </c>
      <c r="BF621" s="2" t="str">
        <f>HYPERLINK("http://dx.doi.org/10.1007/s13389-021-00257-8","http://dx.doi.org/10.1007/s13389-021-00257-8")</f>
        <v>http://dx.doi.org/10.1007/s13389-021-00257-8</v>
      </c>
      <c r="BG621" s="1" t="s">
        <v>74</v>
      </c>
      <c r="BH621" s="1" t="s">
        <v>5966</v>
      </c>
      <c r="BI621" s="1" t="s">
        <v>74</v>
      </c>
      <c r="BJ621" s="1" t="s">
        <v>74</v>
      </c>
      <c r="BK621" s="1" t="s">
        <v>74</v>
      </c>
      <c r="BL621" s="1" t="s">
        <v>74</v>
      </c>
      <c r="BM621" s="1" t="s">
        <v>74</v>
      </c>
      <c r="BN621" s="1" t="s">
        <v>74</v>
      </c>
      <c r="BO621" s="1" t="s">
        <v>74</v>
      </c>
      <c r="BP621" s="1" t="s">
        <v>74</v>
      </c>
      <c r="BQ621" s="1" t="s">
        <v>74</v>
      </c>
      <c r="BR621" s="1" t="s">
        <v>74</v>
      </c>
      <c r="BS621" s="1" t="s">
        <v>5967</v>
      </c>
      <c r="BT621" s="1" t="str">
        <f>HYPERLINK("https%3A%2F%2Fwww.webofscience.com%2Fwos%2Fwoscc%2Ffull-record%2FWOS:000629522400001","View Full Record in Web of Science")</f>
        <v>View Full Record in Web of Science</v>
      </c>
    </row>
    <row r="622" ht="12.75" customHeight="1">
      <c r="A622" s="1" t="s">
        <v>72</v>
      </c>
      <c r="B622" s="1" t="s">
        <v>5968</v>
      </c>
      <c r="C622" s="1" t="s">
        <v>74</v>
      </c>
      <c r="D622" s="1" t="s">
        <v>74</v>
      </c>
      <c r="E622" s="1" t="s">
        <v>74</v>
      </c>
      <c r="F622" s="1" t="s">
        <v>5969</v>
      </c>
      <c r="G622" s="1" t="s">
        <v>74</v>
      </c>
      <c r="H622" s="1" t="s">
        <v>74</v>
      </c>
      <c r="I622" s="1" t="s">
        <v>5970</v>
      </c>
      <c r="J622" s="1" t="s">
        <v>5971</v>
      </c>
      <c r="K622" s="1" t="s">
        <v>74</v>
      </c>
      <c r="L622" s="1" t="s">
        <v>74</v>
      </c>
      <c r="M622" s="1" t="s">
        <v>74</v>
      </c>
      <c r="N622" s="1" t="s">
        <v>74</v>
      </c>
      <c r="O622" s="1" t="s">
        <v>74</v>
      </c>
      <c r="P622" s="1" t="s">
        <v>74</v>
      </c>
      <c r="Q622" s="1" t="s">
        <v>74</v>
      </c>
      <c r="R622" s="1" t="s">
        <v>74</v>
      </c>
      <c r="S622" s="1" t="s">
        <v>74</v>
      </c>
      <c r="T622" s="1" t="s">
        <v>74</v>
      </c>
      <c r="U622" s="1" t="s">
        <v>74</v>
      </c>
      <c r="V622" s="1" t="s">
        <v>5972</v>
      </c>
      <c r="W622" s="1" t="s">
        <v>74</v>
      </c>
      <c r="X622" s="1" t="s">
        <v>74</v>
      </c>
      <c r="Y622" s="1" t="s">
        <v>74</v>
      </c>
      <c r="Z622" s="1" t="s">
        <v>74</v>
      </c>
      <c r="AA622" s="1" t="s">
        <v>5973</v>
      </c>
      <c r="AB622" s="1" t="s">
        <v>5974</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5975</v>
      </c>
      <c r="AP622" s="1" t="s">
        <v>5976</v>
      </c>
      <c r="AQ622" s="1" t="s">
        <v>74</v>
      </c>
      <c r="AR622" s="1" t="s">
        <v>74</v>
      </c>
      <c r="AS622" s="1" t="s">
        <v>74</v>
      </c>
      <c r="AT622" s="1" t="s">
        <v>95</v>
      </c>
      <c r="AU622" s="1">
        <v>2020.0</v>
      </c>
      <c r="AV622" s="1">
        <v>18.0</v>
      </c>
      <c r="AW622" s="1">
        <v>6.0</v>
      </c>
      <c r="AX622" s="1" t="s">
        <v>74</v>
      </c>
      <c r="AY622" s="1" t="s">
        <v>74</v>
      </c>
      <c r="AZ622" s="1" t="s">
        <v>74</v>
      </c>
      <c r="BA622" s="1" t="s">
        <v>74</v>
      </c>
      <c r="BB622" s="1" t="s">
        <v>74</v>
      </c>
      <c r="BC622" s="1" t="s">
        <v>74</v>
      </c>
      <c r="BD622" s="1">
        <v>2050040.0</v>
      </c>
      <c r="BE622" s="1" t="s">
        <v>5977</v>
      </c>
      <c r="BF622" s="2" t="str">
        <f>HYPERLINK("http://dx.doi.org/10.1142/S0219720020500407","http://dx.doi.org/10.1142/S0219720020500407")</f>
        <v>http://dx.doi.org/10.1142/S0219720020500407</v>
      </c>
      <c r="BG622" s="1" t="s">
        <v>74</v>
      </c>
      <c r="BH622" s="1" t="s">
        <v>74</v>
      </c>
      <c r="BI622" s="1" t="s">
        <v>74</v>
      </c>
      <c r="BJ622" s="1" t="s">
        <v>74</v>
      </c>
      <c r="BK622" s="1" t="s">
        <v>74</v>
      </c>
      <c r="BL622" s="1" t="s">
        <v>74</v>
      </c>
      <c r="BM622" s="1" t="s">
        <v>74</v>
      </c>
      <c r="BN622" s="1">
        <v>3.3155874E7</v>
      </c>
      <c r="BO622" s="1" t="s">
        <v>74</v>
      </c>
      <c r="BP622" s="1" t="s">
        <v>74</v>
      </c>
      <c r="BQ622" s="1" t="s">
        <v>74</v>
      </c>
      <c r="BR622" s="1" t="s">
        <v>74</v>
      </c>
      <c r="BS622" s="1" t="s">
        <v>5978</v>
      </c>
      <c r="BT622" s="1" t="str">
        <f>HYPERLINK("https%3A%2F%2Fwww.webofscience.com%2Fwos%2Fwoscc%2Ffull-record%2FWOS:000599824900008","View Full Record in Web of Science")</f>
        <v>View Full Record in Web of Science</v>
      </c>
    </row>
    <row r="623" ht="12.75" customHeight="1">
      <c r="A623" s="1" t="s">
        <v>72</v>
      </c>
      <c r="B623" s="1" t="s">
        <v>5979</v>
      </c>
      <c r="C623" s="1" t="s">
        <v>74</v>
      </c>
      <c r="D623" s="1" t="s">
        <v>74</v>
      </c>
      <c r="E623" s="1" t="s">
        <v>74</v>
      </c>
      <c r="F623" s="1" t="s">
        <v>5980</v>
      </c>
      <c r="G623" s="1" t="s">
        <v>74</v>
      </c>
      <c r="H623" s="1" t="s">
        <v>74</v>
      </c>
      <c r="I623" s="1" t="s">
        <v>5981</v>
      </c>
      <c r="J623" s="1" t="s">
        <v>5982</v>
      </c>
      <c r="K623" s="1" t="s">
        <v>74</v>
      </c>
      <c r="L623" s="1" t="s">
        <v>74</v>
      </c>
      <c r="M623" s="1" t="s">
        <v>74</v>
      </c>
      <c r="N623" s="1" t="s">
        <v>74</v>
      </c>
      <c r="O623" s="1" t="s">
        <v>74</v>
      </c>
      <c r="P623" s="1" t="s">
        <v>74</v>
      </c>
      <c r="Q623" s="1" t="s">
        <v>74</v>
      </c>
      <c r="R623" s="1" t="s">
        <v>74</v>
      </c>
      <c r="S623" s="1" t="s">
        <v>74</v>
      </c>
      <c r="T623" s="1" t="s">
        <v>74</v>
      </c>
      <c r="U623" s="1" t="s">
        <v>74</v>
      </c>
      <c r="V623" s="1" t="s">
        <v>5983</v>
      </c>
      <c r="W623" s="1" t="s">
        <v>74</v>
      </c>
      <c r="X623" s="1" t="s">
        <v>74</v>
      </c>
      <c r="Y623" s="1" t="s">
        <v>74</v>
      </c>
      <c r="Z623" s="1" t="s">
        <v>74</v>
      </c>
      <c r="AA623" s="1" t="s">
        <v>5984</v>
      </c>
      <c r="AB623" s="1" t="s">
        <v>5985</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74</v>
      </c>
      <c r="AP623" s="1" t="s">
        <v>5986</v>
      </c>
      <c r="AQ623" s="1" t="s">
        <v>74</v>
      </c>
      <c r="AR623" s="1" t="s">
        <v>74</v>
      </c>
      <c r="AS623" s="1" t="s">
        <v>74</v>
      </c>
      <c r="AT623" s="1" t="s">
        <v>5987</v>
      </c>
      <c r="AU623" s="1">
        <v>2020.0</v>
      </c>
      <c r="AV623" s="1">
        <v>11.0</v>
      </c>
      <c r="AW623" s="1" t="s">
        <v>74</v>
      </c>
      <c r="AX623" s="1" t="s">
        <v>74</v>
      </c>
      <c r="AY623" s="1" t="s">
        <v>74</v>
      </c>
      <c r="AZ623" s="1" t="s">
        <v>74</v>
      </c>
      <c r="BA623" s="1" t="s">
        <v>74</v>
      </c>
      <c r="BB623" s="1" t="s">
        <v>74</v>
      </c>
      <c r="BC623" s="1" t="s">
        <v>74</v>
      </c>
      <c r="BD623" s="1">
        <v>588467.0</v>
      </c>
      <c r="BE623" s="1" t="s">
        <v>5988</v>
      </c>
      <c r="BF623" s="2" t="str">
        <f>HYPERLINK("http://dx.doi.org/10.3389/fphar.2020.588467","http://dx.doi.org/10.3389/fphar.2020.588467")</f>
        <v>http://dx.doi.org/10.3389/fphar.2020.588467</v>
      </c>
      <c r="BG623" s="1" t="s">
        <v>74</v>
      </c>
      <c r="BH623" s="1" t="s">
        <v>74</v>
      </c>
      <c r="BI623" s="1" t="s">
        <v>74</v>
      </c>
      <c r="BJ623" s="1" t="s">
        <v>74</v>
      </c>
      <c r="BK623" s="1" t="s">
        <v>74</v>
      </c>
      <c r="BL623" s="1" t="s">
        <v>74</v>
      </c>
      <c r="BM623" s="1" t="s">
        <v>74</v>
      </c>
      <c r="BN623" s="1">
        <v>3.3658931E7</v>
      </c>
      <c r="BO623" s="1" t="s">
        <v>74</v>
      </c>
      <c r="BP623" s="1" t="s">
        <v>74</v>
      </c>
      <c r="BQ623" s="1" t="s">
        <v>74</v>
      </c>
      <c r="BR623" s="1" t="s">
        <v>74</v>
      </c>
      <c r="BS623" s="1" t="s">
        <v>5989</v>
      </c>
      <c r="BT623" s="1" t="str">
        <f>HYPERLINK("https%3A%2F%2Fwww.webofscience.com%2Fwos%2Fwoscc%2Ffull-record%2FWOS:000594709800001","View Full Record in Web of Science")</f>
        <v>View Full Record in Web of Science</v>
      </c>
    </row>
    <row r="624" ht="12.75" customHeight="1">
      <c r="A624" s="1" t="s">
        <v>346</v>
      </c>
      <c r="B624" s="1" t="s">
        <v>5990</v>
      </c>
      <c r="C624" s="1" t="s">
        <v>74</v>
      </c>
      <c r="D624" s="1" t="s">
        <v>74</v>
      </c>
      <c r="E624" s="1" t="s">
        <v>3917</v>
      </c>
      <c r="F624" s="1" t="s">
        <v>5991</v>
      </c>
      <c r="G624" s="1" t="s">
        <v>74</v>
      </c>
      <c r="H624" s="1" t="s">
        <v>74</v>
      </c>
      <c r="I624" s="1" t="s">
        <v>5992</v>
      </c>
      <c r="J624" s="1" t="s">
        <v>3920</v>
      </c>
      <c r="K624" s="1" t="s">
        <v>74</v>
      </c>
      <c r="L624" s="1" t="s">
        <v>74</v>
      </c>
      <c r="M624" s="1" t="s">
        <v>74</v>
      </c>
      <c r="N624" s="1" t="s">
        <v>74</v>
      </c>
      <c r="O624" s="1" t="s">
        <v>3921</v>
      </c>
      <c r="P624" s="1" t="s">
        <v>3922</v>
      </c>
      <c r="Q624" s="1" t="s">
        <v>3923</v>
      </c>
      <c r="R624" s="1" t="s">
        <v>3917</v>
      </c>
      <c r="S624" s="1" t="s">
        <v>74</v>
      </c>
      <c r="T624" s="1" t="s">
        <v>74</v>
      </c>
      <c r="U624" s="1" t="s">
        <v>74</v>
      </c>
      <c r="V624" s="1" t="s">
        <v>5993</v>
      </c>
      <c r="W624" s="1" t="s">
        <v>74</v>
      </c>
      <c r="X624" s="1" t="s">
        <v>74</v>
      </c>
      <c r="Y624" s="1" t="s">
        <v>74</v>
      </c>
      <c r="Z624" s="1" t="s">
        <v>74</v>
      </c>
      <c r="AA624" s="1" t="s">
        <v>74</v>
      </c>
      <c r="AB624" s="1" t="s">
        <v>74</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74</v>
      </c>
      <c r="AP624" s="1" t="s">
        <v>74</v>
      </c>
      <c r="AQ624" s="1" t="s">
        <v>3925</v>
      </c>
      <c r="AR624" s="1" t="s">
        <v>74</v>
      </c>
      <c r="AS624" s="1" t="s">
        <v>74</v>
      </c>
      <c r="AT624" s="1" t="s">
        <v>74</v>
      </c>
      <c r="AU624" s="1">
        <v>2020.0</v>
      </c>
      <c r="AV624" s="1" t="s">
        <v>74</v>
      </c>
      <c r="AW624" s="1" t="s">
        <v>74</v>
      </c>
      <c r="AX624" s="1" t="s">
        <v>74</v>
      </c>
      <c r="AY624" s="1" t="s">
        <v>74</v>
      </c>
      <c r="AZ624" s="1" t="s">
        <v>74</v>
      </c>
      <c r="BA624" s="1" t="s">
        <v>74</v>
      </c>
      <c r="BB624" s="1" t="s">
        <v>74</v>
      </c>
      <c r="BC624" s="1" t="s">
        <v>74</v>
      </c>
      <c r="BD624" s="1" t="s">
        <v>5994</v>
      </c>
      <c r="BE624" s="1" t="s">
        <v>74</v>
      </c>
      <c r="BF624" s="1" t="s">
        <v>74</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5995</v>
      </c>
      <c r="BT624" s="1" t="str">
        <f>HYPERLINK("https%3A%2F%2Fwww.webofscience.com%2Fwos%2Fwoscc%2Ffull-record%2FWOS:001254322800026","View Full Record in Web of Science")</f>
        <v>View Full Record in Web of Science</v>
      </c>
    </row>
    <row r="625" ht="12.75" customHeight="1">
      <c r="A625" s="1" t="s">
        <v>72</v>
      </c>
      <c r="B625" s="1" t="s">
        <v>5996</v>
      </c>
      <c r="C625" s="1" t="s">
        <v>74</v>
      </c>
      <c r="D625" s="1" t="s">
        <v>74</v>
      </c>
      <c r="E625" s="1" t="s">
        <v>74</v>
      </c>
      <c r="F625" s="1" t="s">
        <v>5997</v>
      </c>
      <c r="G625" s="1" t="s">
        <v>74</v>
      </c>
      <c r="H625" s="1" t="s">
        <v>74</v>
      </c>
      <c r="I625" s="1" t="s">
        <v>5998</v>
      </c>
      <c r="J625" s="1" t="s">
        <v>206</v>
      </c>
      <c r="K625" s="1" t="s">
        <v>74</v>
      </c>
      <c r="L625" s="1" t="s">
        <v>74</v>
      </c>
      <c r="M625" s="1" t="s">
        <v>74</v>
      </c>
      <c r="N625" s="1" t="s">
        <v>74</v>
      </c>
      <c r="O625" s="1" t="s">
        <v>74</v>
      </c>
      <c r="P625" s="1" t="s">
        <v>74</v>
      </c>
      <c r="Q625" s="1" t="s">
        <v>74</v>
      </c>
      <c r="R625" s="1" t="s">
        <v>74</v>
      </c>
      <c r="S625" s="1" t="s">
        <v>74</v>
      </c>
      <c r="T625" s="1" t="s">
        <v>74</v>
      </c>
      <c r="U625" s="1" t="s">
        <v>74</v>
      </c>
      <c r="V625" s="1" t="s">
        <v>5999</v>
      </c>
      <c r="W625" s="1" t="s">
        <v>74</v>
      </c>
      <c r="X625" s="1" t="s">
        <v>74</v>
      </c>
      <c r="Y625" s="1" t="s">
        <v>74</v>
      </c>
      <c r="Z625" s="1" t="s">
        <v>74</v>
      </c>
      <c r="AA625" s="1" t="s">
        <v>6000</v>
      </c>
      <c r="AB625" s="1" t="s">
        <v>6001</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210</v>
      </c>
      <c r="AP625" s="1" t="s">
        <v>211</v>
      </c>
      <c r="AQ625" s="1" t="s">
        <v>74</v>
      </c>
      <c r="AR625" s="1" t="s">
        <v>74</v>
      </c>
      <c r="AS625" s="1" t="s">
        <v>74</v>
      </c>
      <c r="AT625" s="1" t="s">
        <v>2420</v>
      </c>
      <c r="AU625" s="1">
        <v>2019.0</v>
      </c>
      <c r="AV625" s="1">
        <v>490.0</v>
      </c>
      <c r="AW625" s="1" t="s">
        <v>74</v>
      </c>
      <c r="AX625" s="1" t="s">
        <v>74</v>
      </c>
      <c r="AY625" s="1" t="s">
        <v>74</v>
      </c>
      <c r="AZ625" s="1" t="s">
        <v>74</v>
      </c>
      <c r="BA625" s="1" t="s">
        <v>74</v>
      </c>
      <c r="BB625" s="1" t="s">
        <v>74</v>
      </c>
      <c r="BC625" s="1" t="s">
        <v>74</v>
      </c>
      <c r="BD625" s="1">
        <v>165522.0</v>
      </c>
      <c r="BE625" s="1" t="s">
        <v>6002</v>
      </c>
      <c r="BF625" s="2" t="str">
        <f>HYPERLINK("http://dx.doi.org/10.1016/j.jmmm.2019.165522","http://dx.doi.org/10.1016/j.jmmm.2019.165522")</f>
        <v>http://dx.doi.org/10.1016/j.jmmm.2019.165522</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6003</v>
      </c>
      <c r="BT625" s="1" t="str">
        <f>HYPERLINK("https%3A%2F%2Fwww.webofscience.com%2Fwos%2Fwoscc%2Ffull-record%2FWOS:000475764000031","View Full Record in Web of Science")</f>
        <v>View Full Record in Web of Science</v>
      </c>
    </row>
    <row r="626" ht="12.75" customHeight="1">
      <c r="A626" s="1" t="s">
        <v>346</v>
      </c>
      <c r="B626" s="1" t="s">
        <v>6004</v>
      </c>
      <c r="C626" s="1" t="s">
        <v>74</v>
      </c>
      <c r="D626" s="1" t="s">
        <v>74</v>
      </c>
      <c r="E626" s="1" t="s">
        <v>74</v>
      </c>
      <c r="F626" s="1" t="s">
        <v>6005</v>
      </c>
      <c r="G626" s="1" t="s">
        <v>74</v>
      </c>
      <c r="H626" s="1" t="s">
        <v>74</v>
      </c>
      <c r="I626" s="1" t="s">
        <v>6006</v>
      </c>
      <c r="J626" s="1" t="s">
        <v>6007</v>
      </c>
      <c r="K626" s="1" t="s">
        <v>74</v>
      </c>
      <c r="L626" s="1" t="s">
        <v>74</v>
      </c>
      <c r="M626" s="1" t="s">
        <v>74</v>
      </c>
      <c r="N626" s="1" t="s">
        <v>74</v>
      </c>
      <c r="O626" s="1" t="s">
        <v>6008</v>
      </c>
      <c r="P626" s="1" t="s">
        <v>6009</v>
      </c>
      <c r="Q626" s="1" t="s">
        <v>6010</v>
      </c>
      <c r="R626" s="1" t="s">
        <v>74</v>
      </c>
      <c r="S626" s="1" t="s">
        <v>74</v>
      </c>
      <c r="T626" s="1" t="s">
        <v>74</v>
      </c>
      <c r="U626" s="1" t="s">
        <v>74</v>
      </c>
      <c r="V626" s="1" t="s">
        <v>6011</v>
      </c>
      <c r="W626" s="1" t="s">
        <v>74</v>
      </c>
      <c r="X626" s="1" t="s">
        <v>74</v>
      </c>
      <c r="Y626" s="1" t="s">
        <v>74</v>
      </c>
      <c r="Z626" s="1" t="s">
        <v>74</v>
      </c>
      <c r="AA626" s="1" t="s">
        <v>6012</v>
      </c>
      <c r="AB626" s="1" t="s">
        <v>2991</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6013</v>
      </c>
      <c r="AP626" s="1" t="s">
        <v>6014</v>
      </c>
      <c r="AQ626" s="1" t="s">
        <v>74</v>
      </c>
      <c r="AR626" s="1" t="s">
        <v>74</v>
      </c>
      <c r="AS626" s="1" t="s">
        <v>74</v>
      </c>
      <c r="AT626" s="1" t="s">
        <v>6015</v>
      </c>
      <c r="AU626" s="1">
        <v>2019.0</v>
      </c>
      <c r="AV626" s="1">
        <v>240.0</v>
      </c>
      <c r="AW626" s="1" t="s">
        <v>74</v>
      </c>
      <c r="AX626" s="1" t="s">
        <v>74</v>
      </c>
      <c r="AY626" s="1" t="s">
        <v>74</v>
      </c>
      <c r="AZ626" s="1" t="s">
        <v>74</v>
      </c>
      <c r="BA626" s="1" t="s">
        <v>74</v>
      </c>
      <c r="BB626" s="1" t="s">
        <v>74</v>
      </c>
      <c r="BC626" s="1" t="s">
        <v>74</v>
      </c>
      <c r="BD626" s="1" t="s">
        <v>74</v>
      </c>
      <c r="BE626" s="1" t="s">
        <v>6016</v>
      </c>
      <c r="BF626" s="2" t="str">
        <f>HYPERLINK("http://dx.doi.org/10.1007/s10751-019-1557-z","http://dx.doi.org/10.1007/s10751-019-1557-z")</f>
        <v>http://dx.doi.org/10.1007/s10751-019-1557-z</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6017</v>
      </c>
      <c r="BT626" s="1" t="str">
        <f>HYPERLINK("https%3A%2F%2Fwww.webofscience.com%2Fwos%2Fwoscc%2Ffull-record%2FWOS:000460004300002","View Full Record in Web of Science")</f>
        <v>View Full Record in Web of Science</v>
      </c>
    </row>
    <row r="627" ht="12.75" customHeight="1">
      <c r="A627" s="1" t="s">
        <v>346</v>
      </c>
      <c r="B627" s="1" t="s">
        <v>6018</v>
      </c>
      <c r="C627" s="1" t="s">
        <v>74</v>
      </c>
      <c r="D627" s="1" t="s">
        <v>6019</v>
      </c>
      <c r="E627" s="1" t="s">
        <v>74</v>
      </c>
      <c r="F627" s="1" t="s">
        <v>6020</v>
      </c>
      <c r="G627" s="1" t="s">
        <v>74</v>
      </c>
      <c r="H627" s="1" t="s">
        <v>74</v>
      </c>
      <c r="I627" s="1" t="s">
        <v>6021</v>
      </c>
      <c r="J627" s="1" t="s">
        <v>6022</v>
      </c>
      <c r="K627" s="1" t="s">
        <v>563</v>
      </c>
      <c r="L627" s="1" t="s">
        <v>74</v>
      </c>
      <c r="M627" s="1" t="s">
        <v>74</v>
      </c>
      <c r="N627" s="1" t="s">
        <v>74</v>
      </c>
      <c r="O627" s="1" t="s">
        <v>6023</v>
      </c>
      <c r="P627" s="1" t="s">
        <v>6024</v>
      </c>
      <c r="Q627" s="1" t="s">
        <v>6025</v>
      </c>
      <c r="R627" s="1" t="s">
        <v>6026</v>
      </c>
      <c r="S627" s="1" t="s">
        <v>74</v>
      </c>
      <c r="T627" s="1" t="s">
        <v>74</v>
      </c>
      <c r="U627" s="1" t="s">
        <v>74</v>
      </c>
      <c r="V627" s="1" t="s">
        <v>6027</v>
      </c>
      <c r="W627" s="1" t="s">
        <v>74</v>
      </c>
      <c r="X627" s="1" t="s">
        <v>74</v>
      </c>
      <c r="Y627" s="1" t="s">
        <v>74</v>
      </c>
      <c r="Z627" s="1" t="s">
        <v>74</v>
      </c>
      <c r="AA627" s="1" t="s">
        <v>6028</v>
      </c>
      <c r="AB627" s="1" t="s">
        <v>6029</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570</v>
      </c>
      <c r="AP627" s="1" t="s">
        <v>571</v>
      </c>
      <c r="AQ627" s="1" t="s">
        <v>6030</v>
      </c>
      <c r="AR627" s="1" t="s">
        <v>74</v>
      </c>
      <c r="AS627" s="1" t="s">
        <v>74</v>
      </c>
      <c r="AT627" s="1" t="s">
        <v>74</v>
      </c>
      <c r="AU627" s="1">
        <v>2019.0</v>
      </c>
      <c r="AV627" s="1">
        <v>824.0</v>
      </c>
      <c r="AW627" s="1" t="s">
        <v>74</v>
      </c>
      <c r="AX627" s="1" t="s">
        <v>74</v>
      </c>
      <c r="AY627" s="1" t="s">
        <v>74</v>
      </c>
      <c r="AZ627" s="1" t="s">
        <v>74</v>
      </c>
      <c r="BA627" s="1" t="s">
        <v>74</v>
      </c>
      <c r="BB627" s="1">
        <v>629.0</v>
      </c>
      <c r="BC627" s="1">
        <v>648.0</v>
      </c>
      <c r="BD627" s="1" t="s">
        <v>74</v>
      </c>
      <c r="BE627" s="1" t="s">
        <v>6031</v>
      </c>
      <c r="BF627" s="2" t="str">
        <f>HYPERLINK("http://dx.doi.org/10.1007/978-3-319-96071-5_67","http://dx.doi.org/10.1007/978-3-319-96071-5_67")</f>
        <v>http://dx.doi.org/10.1007/978-3-319-96071-5_67</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6032</v>
      </c>
      <c r="BT627" s="1" t="str">
        <f>HYPERLINK("https%3A%2F%2Fwww.webofscience.com%2Fwos%2Fwoscc%2Ffull-record%2FWOS:000473061800056","View Full Record in Web of Science")</f>
        <v>View Full Record in Web of Science</v>
      </c>
    </row>
    <row r="628" ht="12.75" customHeight="1">
      <c r="A628" s="1" t="s">
        <v>72</v>
      </c>
      <c r="B628" s="1" t="s">
        <v>6033</v>
      </c>
      <c r="C628" s="1" t="s">
        <v>74</v>
      </c>
      <c r="D628" s="1" t="s">
        <v>74</v>
      </c>
      <c r="E628" s="1" t="s">
        <v>74</v>
      </c>
      <c r="F628" s="1" t="s">
        <v>6034</v>
      </c>
      <c r="G628" s="1" t="s">
        <v>74</v>
      </c>
      <c r="H628" s="1" t="s">
        <v>74</v>
      </c>
      <c r="I628" s="1" t="s">
        <v>6035</v>
      </c>
      <c r="J628" s="1" t="s">
        <v>6036</v>
      </c>
      <c r="K628" s="1" t="s">
        <v>74</v>
      </c>
      <c r="L628" s="1" t="s">
        <v>74</v>
      </c>
      <c r="M628" s="1" t="s">
        <v>74</v>
      </c>
      <c r="N628" s="1" t="s">
        <v>74</v>
      </c>
      <c r="O628" s="1" t="s">
        <v>74</v>
      </c>
      <c r="P628" s="1" t="s">
        <v>74</v>
      </c>
      <c r="Q628" s="1" t="s">
        <v>74</v>
      </c>
      <c r="R628" s="1" t="s">
        <v>74</v>
      </c>
      <c r="S628" s="1" t="s">
        <v>74</v>
      </c>
      <c r="T628" s="1" t="s">
        <v>74</v>
      </c>
      <c r="U628" s="1" t="s">
        <v>74</v>
      </c>
      <c r="V628" s="1" t="s">
        <v>6037</v>
      </c>
      <c r="W628" s="1" t="s">
        <v>74</v>
      </c>
      <c r="X628" s="1" t="s">
        <v>74</v>
      </c>
      <c r="Y628" s="1" t="s">
        <v>74</v>
      </c>
      <c r="Z628" s="1" t="s">
        <v>74</v>
      </c>
      <c r="AA628" s="1" t="s">
        <v>74</v>
      </c>
      <c r="AB628" s="1" t="s">
        <v>6038</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6039</v>
      </c>
      <c r="AP628" s="1" t="s">
        <v>6040</v>
      </c>
      <c r="AQ628" s="1" t="s">
        <v>74</v>
      </c>
      <c r="AR628" s="1" t="s">
        <v>74</v>
      </c>
      <c r="AS628" s="1" t="s">
        <v>74</v>
      </c>
      <c r="AT628" s="1" t="s">
        <v>232</v>
      </c>
      <c r="AU628" s="1">
        <v>2018.0</v>
      </c>
      <c r="AV628" s="1">
        <v>103.0</v>
      </c>
      <c r="AW628" s="1" t="s">
        <v>74</v>
      </c>
      <c r="AX628" s="1" t="s">
        <v>74</v>
      </c>
      <c r="AY628" s="1" t="s">
        <v>74</v>
      </c>
      <c r="AZ628" s="1" t="s">
        <v>297</v>
      </c>
      <c r="BA628" s="1" t="s">
        <v>74</v>
      </c>
      <c r="BB628" s="1">
        <v>84.0</v>
      </c>
      <c r="BC628" s="1">
        <v>93.0</v>
      </c>
      <c r="BD628" s="1" t="s">
        <v>74</v>
      </c>
      <c r="BE628" s="1" t="s">
        <v>6041</v>
      </c>
      <c r="BF628" s="2" t="str">
        <f>HYPERLINK("http://dx.doi.org/10.1016/j.futures.2018.03.014","http://dx.doi.org/10.1016/j.futures.2018.03.014")</f>
        <v>http://dx.doi.org/10.1016/j.futures.2018.03.014</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6042</v>
      </c>
      <c r="BT628" s="1" t="str">
        <f>HYPERLINK("https%3A%2F%2Fwww.webofscience.com%2Fwos%2Fwoscc%2Ffull-record%2FWOS:000447481900009","View Full Record in Web of Science")</f>
        <v>View Full Record in Web of Science</v>
      </c>
    </row>
    <row r="629" ht="12.75" customHeight="1">
      <c r="A629" s="1" t="s">
        <v>72</v>
      </c>
      <c r="B629" s="1" t="s">
        <v>323</v>
      </c>
      <c r="C629" s="1" t="s">
        <v>74</v>
      </c>
      <c r="D629" s="1" t="s">
        <v>74</v>
      </c>
      <c r="E629" s="1" t="s">
        <v>74</v>
      </c>
      <c r="F629" s="1" t="s">
        <v>6043</v>
      </c>
      <c r="G629" s="1" t="s">
        <v>74</v>
      </c>
      <c r="H629" s="1" t="s">
        <v>74</v>
      </c>
      <c r="I629" s="1" t="s">
        <v>6044</v>
      </c>
      <c r="J629" s="1" t="s">
        <v>326</v>
      </c>
      <c r="K629" s="1" t="s">
        <v>74</v>
      </c>
      <c r="L629" s="1" t="s">
        <v>74</v>
      </c>
      <c r="M629" s="1" t="s">
        <v>74</v>
      </c>
      <c r="N629" s="1" t="s">
        <v>74</v>
      </c>
      <c r="O629" s="1" t="s">
        <v>74</v>
      </c>
      <c r="P629" s="1" t="s">
        <v>74</v>
      </c>
      <c r="Q629" s="1" t="s">
        <v>74</v>
      </c>
      <c r="R629" s="1" t="s">
        <v>74</v>
      </c>
      <c r="S629" s="1" t="s">
        <v>74</v>
      </c>
      <c r="T629" s="1" t="s">
        <v>74</v>
      </c>
      <c r="U629" s="1" t="s">
        <v>74</v>
      </c>
      <c r="V629" s="1" t="s">
        <v>74</v>
      </c>
      <c r="W629" s="1" t="s">
        <v>74</v>
      </c>
      <c r="X629" s="1" t="s">
        <v>74</v>
      </c>
      <c r="Y629" s="1" t="s">
        <v>74</v>
      </c>
      <c r="Z629" s="1" t="s">
        <v>74</v>
      </c>
      <c r="AA629" s="1" t="s">
        <v>6045</v>
      </c>
      <c r="AB629" s="1" t="s">
        <v>6046</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330</v>
      </c>
      <c r="AP629" s="1" t="s">
        <v>331</v>
      </c>
      <c r="AQ629" s="1" t="s">
        <v>74</v>
      </c>
      <c r="AR629" s="1" t="s">
        <v>74</v>
      </c>
      <c r="AS629" s="1" t="s">
        <v>74</v>
      </c>
      <c r="AT629" s="1" t="s">
        <v>6047</v>
      </c>
      <c r="AU629" s="1">
        <v>2018.0</v>
      </c>
      <c r="AV629" s="1">
        <v>260.0</v>
      </c>
      <c r="AW629" s="1" t="s">
        <v>74</v>
      </c>
      <c r="AX629" s="1" t="s">
        <v>74</v>
      </c>
      <c r="AY629" s="1" t="s">
        <v>74</v>
      </c>
      <c r="AZ629" s="1" t="s">
        <v>74</v>
      </c>
      <c r="BA629" s="1" t="s">
        <v>74</v>
      </c>
      <c r="BB629" s="1">
        <v>994.0</v>
      </c>
      <c r="BC629" s="1">
        <v>994.0</v>
      </c>
      <c r="BD629" s="1" t="s">
        <v>74</v>
      </c>
      <c r="BE629" s="1" t="s">
        <v>6048</v>
      </c>
      <c r="BF629" s="2" t="str">
        <f>HYPERLINK("http://dx.doi.org/10.1016/j.electacta.2017.12.045","http://dx.doi.org/10.1016/j.electacta.2017.12.045")</f>
        <v>http://dx.doi.org/10.1016/j.electacta.2017.12.045</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6049</v>
      </c>
      <c r="BT629" s="1" t="str">
        <f>HYPERLINK("https%3A%2F%2Fwww.webofscience.com%2Fwos%2Fwoscc%2Ffull-record%2FWOS:000419831600112","View Full Record in Web of Science")</f>
        <v>View Full Record in Web of Science</v>
      </c>
    </row>
    <row r="630" ht="12.75" customHeight="1">
      <c r="A630" s="1" t="s">
        <v>346</v>
      </c>
      <c r="B630" s="1" t="s">
        <v>6050</v>
      </c>
      <c r="C630" s="1" t="s">
        <v>74</v>
      </c>
      <c r="D630" s="1" t="s">
        <v>74</v>
      </c>
      <c r="E630" s="1" t="s">
        <v>3917</v>
      </c>
      <c r="F630" s="1" t="s">
        <v>6051</v>
      </c>
      <c r="G630" s="1" t="s">
        <v>74</v>
      </c>
      <c r="H630" s="1" t="s">
        <v>74</v>
      </c>
      <c r="I630" s="1" t="s">
        <v>6052</v>
      </c>
      <c r="J630" s="1" t="s">
        <v>6053</v>
      </c>
      <c r="K630" s="1" t="s">
        <v>74</v>
      </c>
      <c r="L630" s="1" t="s">
        <v>74</v>
      </c>
      <c r="M630" s="1" t="s">
        <v>74</v>
      </c>
      <c r="N630" s="1" t="s">
        <v>74</v>
      </c>
      <c r="O630" s="1" t="s">
        <v>6054</v>
      </c>
      <c r="P630" s="1" t="s">
        <v>6055</v>
      </c>
      <c r="Q630" s="1" t="s">
        <v>6056</v>
      </c>
      <c r="R630" s="1" t="s">
        <v>3917</v>
      </c>
      <c r="S630" s="1" t="s">
        <v>74</v>
      </c>
      <c r="T630" s="1" t="s">
        <v>74</v>
      </c>
      <c r="U630" s="1" t="s">
        <v>74</v>
      </c>
      <c r="V630" s="1" t="s">
        <v>6057</v>
      </c>
      <c r="W630" s="1" t="s">
        <v>74</v>
      </c>
      <c r="X630" s="1" t="s">
        <v>74</v>
      </c>
      <c r="Y630" s="1" t="s">
        <v>74</v>
      </c>
      <c r="Z630" s="1" t="s">
        <v>74</v>
      </c>
      <c r="AA630" s="1" t="s">
        <v>74</v>
      </c>
      <c r="AB630" s="1" t="s">
        <v>74</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74</v>
      </c>
      <c r="AP630" s="1" t="s">
        <v>74</v>
      </c>
      <c r="AQ630" s="1" t="s">
        <v>6058</v>
      </c>
      <c r="AR630" s="1" t="s">
        <v>74</v>
      </c>
      <c r="AS630" s="1" t="s">
        <v>74</v>
      </c>
      <c r="AT630" s="1" t="s">
        <v>74</v>
      </c>
      <c r="AU630" s="1">
        <v>2018.0</v>
      </c>
      <c r="AV630" s="1" t="s">
        <v>74</v>
      </c>
      <c r="AW630" s="1" t="s">
        <v>74</v>
      </c>
      <c r="AX630" s="1" t="s">
        <v>74</v>
      </c>
      <c r="AY630" s="1" t="s">
        <v>74</v>
      </c>
      <c r="AZ630" s="1" t="s">
        <v>74</v>
      </c>
      <c r="BA630" s="1" t="s">
        <v>74</v>
      </c>
      <c r="BB630" s="1" t="s">
        <v>74</v>
      </c>
      <c r="BC630" s="1" t="s">
        <v>74</v>
      </c>
      <c r="BD630" s="1" t="s">
        <v>6059</v>
      </c>
      <c r="BE630" s="1" t="s">
        <v>74</v>
      </c>
      <c r="BF630" s="1" t="s">
        <v>74</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6060</v>
      </c>
      <c r="BT630" s="1" t="str">
        <f>HYPERLINK("https%3A%2F%2Fwww.webofscience.com%2Fwos%2Fwoscc%2Ffull-record%2FWOS:000428485600036","View Full Record in Web of Science")</f>
        <v>View Full Record in Web of Science</v>
      </c>
    </row>
    <row r="631" ht="12.75" customHeight="1">
      <c r="A631" s="1" t="s">
        <v>380</v>
      </c>
      <c r="B631" s="1" t="s">
        <v>6061</v>
      </c>
      <c r="C631" s="1" t="s">
        <v>74</v>
      </c>
      <c r="D631" s="1" t="s">
        <v>6062</v>
      </c>
      <c r="E631" s="1" t="s">
        <v>74</v>
      </c>
      <c r="F631" s="1" t="s">
        <v>6063</v>
      </c>
      <c r="G631" s="1" t="s">
        <v>74</v>
      </c>
      <c r="H631" s="1" t="s">
        <v>74</v>
      </c>
      <c r="I631" s="1" t="s">
        <v>6064</v>
      </c>
      <c r="J631" s="1" t="s">
        <v>6065</v>
      </c>
      <c r="K631" s="1" t="s">
        <v>6066</v>
      </c>
      <c r="L631" s="1" t="s">
        <v>74</v>
      </c>
      <c r="M631" s="1" t="s">
        <v>74</v>
      </c>
      <c r="N631" s="1" t="s">
        <v>74</v>
      </c>
      <c r="O631" s="1" t="s">
        <v>74</v>
      </c>
      <c r="P631" s="1" t="s">
        <v>74</v>
      </c>
      <c r="Q631" s="1" t="s">
        <v>74</v>
      </c>
      <c r="R631" s="1" t="s">
        <v>74</v>
      </c>
      <c r="S631" s="1" t="s">
        <v>74</v>
      </c>
      <c r="T631" s="1" t="s">
        <v>74</v>
      </c>
      <c r="U631" s="1" t="s">
        <v>74</v>
      </c>
      <c r="V631" s="1" t="s">
        <v>6067</v>
      </c>
      <c r="W631" s="1" t="s">
        <v>74</v>
      </c>
      <c r="X631" s="1" t="s">
        <v>74</v>
      </c>
      <c r="Y631" s="1" t="s">
        <v>74</v>
      </c>
      <c r="Z631" s="1" t="s">
        <v>74</v>
      </c>
      <c r="AA631" s="1" t="s">
        <v>6068</v>
      </c>
      <c r="AB631" s="1" t="s">
        <v>6069</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74</v>
      </c>
      <c r="AP631" s="1" t="s">
        <v>74</v>
      </c>
      <c r="AQ631" s="1" t="s">
        <v>6070</v>
      </c>
      <c r="AR631" s="1" t="s">
        <v>74</v>
      </c>
      <c r="AS631" s="1" t="s">
        <v>74</v>
      </c>
      <c r="AT631" s="1" t="s">
        <v>74</v>
      </c>
      <c r="AU631" s="1">
        <v>2018.0</v>
      </c>
      <c r="AV631" s="1" t="s">
        <v>74</v>
      </c>
      <c r="AW631" s="1" t="s">
        <v>74</v>
      </c>
      <c r="AX631" s="1" t="s">
        <v>74</v>
      </c>
      <c r="AY631" s="1" t="s">
        <v>74</v>
      </c>
      <c r="AZ631" s="1" t="s">
        <v>74</v>
      </c>
      <c r="BA631" s="1" t="s">
        <v>74</v>
      </c>
      <c r="BB631" s="1">
        <v>333.0</v>
      </c>
      <c r="BC631" s="1">
        <v>364.0</v>
      </c>
      <c r="BD631" s="1" t="s">
        <v>74</v>
      </c>
      <c r="BE631" s="1" t="s">
        <v>74</v>
      </c>
      <c r="BF631" s="1" t="s">
        <v>74</v>
      </c>
      <c r="BG631" s="1" t="s">
        <v>6071</v>
      </c>
      <c r="BH631" s="1" t="s">
        <v>74</v>
      </c>
      <c r="BI631" s="1" t="s">
        <v>74</v>
      </c>
      <c r="BJ631" s="1" t="s">
        <v>74</v>
      </c>
      <c r="BK631" s="1" t="s">
        <v>74</v>
      </c>
      <c r="BL631" s="1" t="s">
        <v>74</v>
      </c>
      <c r="BM631" s="1" t="s">
        <v>74</v>
      </c>
      <c r="BN631" s="1" t="s">
        <v>74</v>
      </c>
      <c r="BO631" s="1" t="s">
        <v>74</v>
      </c>
      <c r="BP631" s="1" t="s">
        <v>74</v>
      </c>
      <c r="BQ631" s="1" t="s">
        <v>74</v>
      </c>
      <c r="BR631" s="1" t="s">
        <v>74</v>
      </c>
      <c r="BS631" s="1" t="s">
        <v>6072</v>
      </c>
      <c r="BT631" s="1" t="str">
        <f>HYPERLINK("https%3A%2F%2Fwww.webofscience.com%2Fwos%2Fwoscc%2Ffull-record%2FWOS:000668693300014","View Full Record in Web of Science")</f>
        <v>View Full Record in Web of Science</v>
      </c>
    </row>
    <row r="632" ht="12.75" customHeight="1">
      <c r="A632" s="1" t="s">
        <v>346</v>
      </c>
      <c r="B632" s="1" t="s">
        <v>6073</v>
      </c>
      <c r="C632" s="1" t="s">
        <v>74</v>
      </c>
      <c r="D632" s="1" t="s">
        <v>74</v>
      </c>
      <c r="E632" s="1" t="s">
        <v>348</v>
      </c>
      <c r="F632" s="1" t="s">
        <v>6074</v>
      </c>
      <c r="G632" s="1" t="s">
        <v>74</v>
      </c>
      <c r="H632" s="1" t="s">
        <v>74</v>
      </c>
      <c r="I632" s="1" t="s">
        <v>6075</v>
      </c>
      <c r="J632" s="1" t="s">
        <v>6076</v>
      </c>
      <c r="K632" s="1" t="s">
        <v>1481</v>
      </c>
      <c r="L632" s="1" t="s">
        <v>74</v>
      </c>
      <c r="M632" s="1" t="s">
        <v>74</v>
      </c>
      <c r="N632" s="1" t="s">
        <v>74</v>
      </c>
      <c r="O632" s="1" t="s">
        <v>6077</v>
      </c>
      <c r="P632" s="1" t="s">
        <v>6078</v>
      </c>
      <c r="Q632" s="1" t="s">
        <v>6079</v>
      </c>
      <c r="R632" s="1" t="s">
        <v>1484</v>
      </c>
      <c r="S632" s="1" t="s">
        <v>74</v>
      </c>
      <c r="T632" s="1" t="s">
        <v>74</v>
      </c>
      <c r="U632" s="1" t="s">
        <v>74</v>
      </c>
      <c r="V632" s="1" t="s">
        <v>6080</v>
      </c>
      <c r="W632" s="1" t="s">
        <v>74</v>
      </c>
      <c r="X632" s="1" t="s">
        <v>74</v>
      </c>
      <c r="Y632" s="1" t="s">
        <v>74</v>
      </c>
      <c r="Z632" s="1" t="s">
        <v>74</v>
      </c>
      <c r="AA632" s="1" t="s">
        <v>6081</v>
      </c>
      <c r="AB632" s="1" t="s">
        <v>6082</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74</v>
      </c>
      <c r="AP632" s="1" t="s">
        <v>74</v>
      </c>
      <c r="AQ632" s="1" t="s">
        <v>6083</v>
      </c>
      <c r="AR632" s="1" t="s">
        <v>74</v>
      </c>
      <c r="AS632" s="1" t="s">
        <v>74</v>
      </c>
      <c r="AT632" s="1" t="s">
        <v>74</v>
      </c>
      <c r="AU632" s="1">
        <v>2018.0</v>
      </c>
      <c r="AV632" s="1" t="s">
        <v>74</v>
      </c>
      <c r="AW632" s="1" t="s">
        <v>74</v>
      </c>
      <c r="AX632" s="1" t="s">
        <v>74</v>
      </c>
      <c r="AY632" s="1" t="s">
        <v>74</v>
      </c>
      <c r="AZ632" s="1" t="s">
        <v>74</v>
      </c>
      <c r="BA632" s="1" t="s">
        <v>74</v>
      </c>
      <c r="BB632" s="1">
        <v>733.0</v>
      </c>
      <c r="BC632" s="1">
        <v>740.0</v>
      </c>
      <c r="BD632" s="1" t="s">
        <v>74</v>
      </c>
      <c r="BE632" s="1" t="s">
        <v>6084</v>
      </c>
      <c r="BF632" s="2" t="str">
        <f>HYPERLINK("http://dx.doi.org/10.1109/CEC.2018.8477689","http://dx.doi.org/10.1109/CEC.2018.8477689")</f>
        <v>http://dx.doi.org/10.1109/CEC.2018.8477689</v>
      </c>
      <c r="BG632" s="1" t="s">
        <v>74</v>
      </c>
      <c r="BH632" s="1" t="s">
        <v>74</v>
      </c>
      <c r="BI632" s="1" t="s">
        <v>74</v>
      </c>
      <c r="BJ632" s="1" t="s">
        <v>74</v>
      </c>
      <c r="BK632" s="1" t="s">
        <v>74</v>
      </c>
      <c r="BL632" s="1" t="s">
        <v>74</v>
      </c>
      <c r="BM632" s="1" t="s">
        <v>74</v>
      </c>
      <c r="BN632" s="1" t="s">
        <v>74</v>
      </c>
      <c r="BO632" s="1" t="s">
        <v>74</v>
      </c>
      <c r="BP632" s="1" t="s">
        <v>74</v>
      </c>
      <c r="BQ632" s="1" t="s">
        <v>74</v>
      </c>
      <c r="BR632" s="1" t="s">
        <v>74</v>
      </c>
      <c r="BS632" s="1" t="s">
        <v>6085</v>
      </c>
      <c r="BT632" s="1" t="str">
        <f>HYPERLINK("https%3A%2F%2Fwww.webofscience.com%2Fwos%2Fwoscc%2Ffull-record%2FWOS:000451175500095","View Full Record in Web of Science")</f>
        <v>View Full Record in Web of Science</v>
      </c>
    </row>
    <row r="633" ht="12.75" customHeight="1">
      <c r="A633" s="1" t="s">
        <v>72</v>
      </c>
      <c r="B633" s="1" t="s">
        <v>6086</v>
      </c>
      <c r="C633" s="1" t="s">
        <v>74</v>
      </c>
      <c r="D633" s="1" t="s">
        <v>74</v>
      </c>
      <c r="E633" s="1" t="s">
        <v>74</v>
      </c>
      <c r="F633" s="1" t="s">
        <v>6087</v>
      </c>
      <c r="G633" s="1" t="s">
        <v>74</v>
      </c>
      <c r="H633" s="1" t="s">
        <v>74</v>
      </c>
      <c r="I633" s="1" t="s">
        <v>6088</v>
      </c>
      <c r="J633" s="1" t="s">
        <v>206</v>
      </c>
      <c r="K633" s="1" t="s">
        <v>74</v>
      </c>
      <c r="L633" s="1" t="s">
        <v>74</v>
      </c>
      <c r="M633" s="1" t="s">
        <v>74</v>
      </c>
      <c r="N633" s="1" t="s">
        <v>74</v>
      </c>
      <c r="O633" s="1" t="s">
        <v>74</v>
      </c>
      <c r="P633" s="1" t="s">
        <v>74</v>
      </c>
      <c r="Q633" s="1" t="s">
        <v>74</v>
      </c>
      <c r="R633" s="1" t="s">
        <v>74</v>
      </c>
      <c r="S633" s="1" t="s">
        <v>74</v>
      </c>
      <c r="T633" s="1" t="s">
        <v>74</v>
      </c>
      <c r="U633" s="1" t="s">
        <v>74</v>
      </c>
      <c r="V633" s="1" t="s">
        <v>6089</v>
      </c>
      <c r="W633" s="1" t="s">
        <v>74</v>
      </c>
      <c r="X633" s="1" t="s">
        <v>74</v>
      </c>
      <c r="Y633" s="1" t="s">
        <v>74</v>
      </c>
      <c r="Z633" s="1" t="s">
        <v>74</v>
      </c>
      <c r="AA633" s="1" t="s">
        <v>6090</v>
      </c>
      <c r="AB633" s="1" t="s">
        <v>6091</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210</v>
      </c>
      <c r="AP633" s="1" t="s">
        <v>211</v>
      </c>
      <c r="AQ633" s="1" t="s">
        <v>74</v>
      </c>
      <c r="AR633" s="1" t="s">
        <v>74</v>
      </c>
      <c r="AS633" s="1" t="s">
        <v>74</v>
      </c>
      <c r="AT633" s="1" t="s">
        <v>5373</v>
      </c>
      <c r="AU633" s="1">
        <v>2017.0</v>
      </c>
      <c r="AV633" s="1">
        <v>444.0</v>
      </c>
      <c r="AW633" s="1" t="s">
        <v>74</v>
      </c>
      <c r="AX633" s="1" t="s">
        <v>74</v>
      </c>
      <c r="AY633" s="1" t="s">
        <v>74</v>
      </c>
      <c r="AZ633" s="1" t="s">
        <v>74</v>
      </c>
      <c r="BA633" s="1" t="s">
        <v>74</v>
      </c>
      <c r="BB633" s="1">
        <v>297.0</v>
      </c>
      <c r="BC633" s="1">
        <v>306.0</v>
      </c>
      <c r="BD633" s="1" t="s">
        <v>74</v>
      </c>
      <c r="BE633" s="1" t="s">
        <v>6092</v>
      </c>
      <c r="BF633" s="2" t="str">
        <f>HYPERLINK("http://dx.doi.org/10.1016/j.jmmm.2017.08.008","http://dx.doi.org/10.1016/j.jmmm.2017.08.008")</f>
        <v>http://dx.doi.org/10.1016/j.jmmm.2017.08.008</v>
      </c>
      <c r="BG633" s="1" t="s">
        <v>74</v>
      </c>
      <c r="BH633" s="1" t="s">
        <v>74</v>
      </c>
      <c r="BI633" s="1" t="s">
        <v>74</v>
      </c>
      <c r="BJ633" s="1" t="s">
        <v>74</v>
      </c>
      <c r="BK633" s="1" t="s">
        <v>74</v>
      </c>
      <c r="BL633" s="1" t="s">
        <v>74</v>
      </c>
      <c r="BM633" s="1" t="s">
        <v>74</v>
      </c>
      <c r="BN633" s="1" t="s">
        <v>74</v>
      </c>
      <c r="BO633" s="1" t="s">
        <v>74</v>
      </c>
      <c r="BP633" s="1" t="s">
        <v>74</v>
      </c>
      <c r="BQ633" s="1" t="s">
        <v>74</v>
      </c>
      <c r="BR633" s="1" t="s">
        <v>74</v>
      </c>
      <c r="BS633" s="1" t="s">
        <v>6093</v>
      </c>
      <c r="BT633" s="1" t="str">
        <f>HYPERLINK("https%3A%2F%2Fwww.webofscience.com%2Fwos%2Fwoscc%2Ffull-record%2FWOS:000413147400046","View Full Record in Web of Science")</f>
        <v>View Full Record in Web of Science</v>
      </c>
    </row>
    <row r="634" ht="12.75" customHeight="1">
      <c r="A634" s="1" t="s">
        <v>72</v>
      </c>
      <c r="B634" s="1" t="s">
        <v>661</v>
      </c>
      <c r="C634" s="1" t="s">
        <v>74</v>
      </c>
      <c r="D634" s="1" t="s">
        <v>74</v>
      </c>
      <c r="E634" s="1" t="s">
        <v>74</v>
      </c>
      <c r="F634" s="1" t="s">
        <v>662</v>
      </c>
      <c r="G634" s="1" t="s">
        <v>74</v>
      </c>
      <c r="H634" s="1" t="s">
        <v>74</v>
      </c>
      <c r="I634" s="1" t="s">
        <v>6094</v>
      </c>
      <c r="J634" s="1" t="s">
        <v>4326</v>
      </c>
      <c r="K634" s="1" t="s">
        <v>74</v>
      </c>
      <c r="L634" s="1" t="s">
        <v>74</v>
      </c>
      <c r="M634" s="1" t="s">
        <v>74</v>
      </c>
      <c r="N634" s="1" t="s">
        <v>74</v>
      </c>
      <c r="O634" s="1" t="s">
        <v>74</v>
      </c>
      <c r="P634" s="1" t="s">
        <v>74</v>
      </c>
      <c r="Q634" s="1" t="s">
        <v>74</v>
      </c>
      <c r="R634" s="1" t="s">
        <v>74</v>
      </c>
      <c r="S634" s="1" t="s">
        <v>74</v>
      </c>
      <c r="T634" s="1" t="s">
        <v>74</v>
      </c>
      <c r="U634" s="1" t="s">
        <v>74</v>
      </c>
      <c r="V634" s="1" t="s">
        <v>6095</v>
      </c>
      <c r="W634" s="1" t="s">
        <v>74</v>
      </c>
      <c r="X634" s="1" t="s">
        <v>74</v>
      </c>
      <c r="Y634" s="1" t="s">
        <v>74</v>
      </c>
      <c r="Z634" s="1" t="s">
        <v>74</v>
      </c>
      <c r="AA634" s="1" t="s">
        <v>666</v>
      </c>
      <c r="AB634" s="1" t="s">
        <v>74</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4328</v>
      </c>
      <c r="AP634" s="1" t="s">
        <v>4329</v>
      </c>
      <c r="AQ634" s="1" t="s">
        <v>74</v>
      </c>
      <c r="AR634" s="1" t="s">
        <v>74</v>
      </c>
      <c r="AS634" s="1" t="s">
        <v>74</v>
      </c>
      <c r="AT634" s="1" t="s">
        <v>669</v>
      </c>
      <c r="AU634" s="1">
        <v>2017.0</v>
      </c>
      <c r="AV634" s="1">
        <v>118.0</v>
      </c>
      <c r="AW634" s="1">
        <v>22.0</v>
      </c>
      <c r="AX634" s="1" t="s">
        <v>74</v>
      </c>
      <c r="AY634" s="1" t="s">
        <v>74</v>
      </c>
      <c r="AZ634" s="1" t="s">
        <v>74</v>
      </c>
      <c r="BA634" s="1" t="s">
        <v>74</v>
      </c>
      <c r="BB634" s="1" t="s">
        <v>74</v>
      </c>
      <c r="BC634" s="1" t="s">
        <v>74</v>
      </c>
      <c r="BD634" s="1">
        <v>223601.0</v>
      </c>
      <c r="BE634" s="1" t="s">
        <v>6096</v>
      </c>
      <c r="BF634" s="2" t="str">
        <f>HYPERLINK("http://dx.doi.org/10.1103/PhysRevLett.118.223601","http://dx.doi.org/10.1103/PhysRevLett.118.223601")</f>
        <v>http://dx.doi.org/10.1103/PhysRevLett.118.223601</v>
      </c>
      <c r="BG634" s="1" t="s">
        <v>74</v>
      </c>
      <c r="BH634" s="1" t="s">
        <v>74</v>
      </c>
      <c r="BI634" s="1" t="s">
        <v>74</v>
      </c>
      <c r="BJ634" s="1" t="s">
        <v>74</v>
      </c>
      <c r="BK634" s="1" t="s">
        <v>74</v>
      </c>
      <c r="BL634" s="1" t="s">
        <v>74</v>
      </c>
      <c r="BM634" s="1" t="s">
        <v>74</v>
      </c>
      <c r="BN634" s="1">
        <v>2.8621976E7</v>
      </c>
      <c r="BO634" s="1" t="s">
        <v>74</v>
      </c>
      <c r="BP634" s="1" t="s">
        <v>74</v>
      </c>
      <c r="BQ634" s="1" t="s">
        <v>74</v>
      </c>
      <c r="BR634" s="1" t="s">
        <v>74</v>
      </c>
      <c r="BS634" s="1" t="s">
        <v>6097</v>
      </c>
      <c r="BT634" s="1" t="str">
        <f>HYPERLINK("https%3A%2F%2Fwww.webofscience.com%2Fwos%2Fwoscc%2Ffull-record%2FWOS:000403603900003","View Full Record in Web of Science")</f>
        <v>View Full Record in Web of Science</v>
      </c>
    </row>
    <row r="635" ht="12.75" customHeight="1">
      <c r="A635" s="1" t="s">
        <v>346</v>
      </c>
      <c r="B635" s="1" t="s">
        <v>6098</v>
      </c>
      <c r="C635" s="1" t="s">
        <v>74</v>
      </c>
      <c r="D635" s="1" t="s">
        <v>74</v>
      </c>
      <c r="E635" s="1" t="s">
        <v>348</v>
      </c>
      <c r="F635" s="1" t="s">
        <v>6099</v>
      </c>
      <c r="G635" s="1" t="s">
        <v>74</v>
      </c>
      <c r="H635" s="1" t="s">
        <v>74</v>
      </c>
      <c r="I635" s="1" t="s">
        <v>6100</v>
      </c>
      <c r="J635" s="1" t="s">
        <v>6101</v>
      </c>
      <c r="K635" s="1" t="s">
        <v>6102</v>
      </c>
      <c r="L635" s="1" t="s">
        <v>74</v>
      </c>
      <c r="M635" s="1" t="s">
        <v>74</v>
      </c>
      <c r="N635" s="1" t="s">
        <v>74</v>
      </c>
      <c r="O635" s="1" t="s">
        <v>6103</v>
      </c>
      <c r="P635" s="1" t="s">
        <v>6104</v>
      </c>
      <c r="Q635" s="1" t="s">
        <v>6105</v>
      </c>
      <c r="R635" s="1" t="s">
        <v>74</v>
      </c>
      <c r="S635" s="1" t="s">
        <v>74</v>
      </c>
      <c r="T635" s="1" t="s">
        <v>74</v>
      </c>
      <c r="U635" s="1" t="s">
        <v>74</v>
      </c>
      <c r="V635" s="1" t="s">
        <v>6106</v>
      </c>
      <c r="W635" s="1" t="s">
        <v>74</v>
      </c>
      <c r="X635" s="1" t="s">
        <v>74</v>
      </c>
      <c r="Y635" s="1" t="s">
        <v>74</v>
      </c>
      <c r="Z635" s="1" t="s">
        <v>74</v>
      </c>
      <c r="AA635" s="1" t="s">
        <v>6107</v>
      </c>
      <c r="AB635" s="1" t="s">
        <v>3450</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6108</v>
      </c>
      <c r="AP635" s="1" t="s">
        <v>74</v>
      </c>
      <c r="AQ635" s="1" t="s">
        <v>6109</v>
      </c>
      <c r="AR635" s="1" t="s">
        <v>74</v>
      </c>
      <c r="AS635" s="1" t="s">
        <v>74</v>
      </c>
      <c r="AT635" s="1" t="s">
        <v>74</v>
      </c>
      <c r="AU635" s="1">
        <v>2017.0</v>
      </c>
      <c r="AV635" s="1" t="s">
        <v>74</v>
      </c>
      <c r="AW635" s="1" t="s">
        <v>74</v>
      </c>
      <c r="AX635" s="1" t="s">
        <v>74</v>
      </c>
      <c r="AY635" s="1" t="s">
        <v>74</v>
      </c>
      <c r="AZ635" s="1" t="s">
        <v>74</v>
      </c>
      <c r="BA635" s="1" t="s">
        <v>74</v>
      </c>
      <c r="BB635" s="1">
        <v>1731.0</v>
      </c>
      <c r="BC635" s="1">
        <v>1736.0</v>
      </c>
      <c r="BD635" s="1" t="s">
        <v>74</v>
      </c>
      <c r="BE635" s="1" t="s">
        <v>74</v>
      </c>
      <c r="BF635" s="1" t="s">
        <v>74</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6110</v>
      </c>
      <c r="BT635" s="1" t="str">
        <f>HYPERLINK("https%3A%2F%2Fwww.webofscience.com%2Fwos%2Fwoscc%2Ffull-record%2FWOS:000426957300303","View Full Record in Web of Science")</f>
        <v>View Full Record in Web of Science</v>
      </c>
    </row>
    <row r="636" ht="12.75" customHeight="1">
      <c r="A636" s="1" t="s">
        <v>72</v>
      </c>
      <c r="B636" s="1" t="s">
        <v>6111</v>
      </c>
      <c r="C636" s="1" t="s">
        <v>74</v>
      </c>
      <c r="D636" s="1" t="s">
        <v>74</v>
      </c>
      <c r="E636" s="1" t="s">
        <v>74</v>
      </c>
      <c r="F636" s="1" t="s">
        <v>6112</v>
      </c>
      <c r="G636" s="1" t="s">
        <v>74</v>
      </c>
      <c r="H636" s="1" t="s">
        <v>74</v>
      </c>
      <c r="I636" s="1" t="s">
        <v>6113</v>
      </c>
      <c r="J636" s="1" t="s">
        <v>6114</v>
      </c>
      <c r="K636" s="1" t="s">
        <v>74</v>
      </c>
      <c r="L636" s="1" t="s">
        <v>74</v>
      </c>
      <c r="M636" s="1" t="s">
        <v>74</v>
      </c>
      <c r="N636" s="1" t="s">
        <v>74</v>
      </c>
      <c r="O636" s="1" t="s">
        <v>74</v>
      </c>
      <c r="P636" s="1" t="s">
        <v>74</v>
      </c>
      <c r="Q636" s="1" t="s">
        <v>74</v>
      </c>
      <c r="R636" s="1" t="s">
        <v>74</v>
      </c>
      <c r="S636" s="1" t="s">
        <v>74</v>
      </c>
      <c r="T636" s="1" t="s">
        <v>74</v>
      </c>
      <c r="U636" s="1" t="s">
        <v>74</v>
      </c>
      <c r="V636" s="1" t="s">
        <v>6115</v>
      </c>
      <c r="W636" s="1" t="s">
        <v>74</v>
      </c>
      <c r="X636" s="1" t="s">
        <v>74</v>
      </c>
      <c r="Y636" s="1" t="s">
        <v>74</v>
      </c>
      <c r="Z636" s="1" t="s">
        <v>74</v>
      </c>
      <c r="AA636" s="1" t="s">
        <v>6116</v>
      </c>
      <c r="AB636" s="1" t="s">
        <v>6117</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6118</v>
      </c>
      <c r="AP636" s="1" t="s">
        <v>6119</v>
      </c>
      <c r="AQ636" s="1" t="s">
        <v>74</v>
      </c>
      <c r="AR636" s="1" t="s">
        <v>74</v>
      </c>
      <c r="AS636" s="1" t="s">
        <v>74</v>
      </c>
      <c r="AT636" s="1" t="s">
        <v>74</v>
      </c>
      <c r="AU636" s="1">
        <v>2017.0</v>
      </c>
      <c r="AV636" s="1">
        <v>11.0</v>
      </c>
      <c r="AW636" s="1">
        <v>6.0</v>
      </c>
      <c r="AX636" s="1" t="s">
        <v>74</v>
      </c>
      <c r="AY636" s="1" t="s">
        <v>74</v>
      </c>
      <c r="AZ636" s="1" t="s">
        <v>74</v>
      </c>
      <c r="BA636" s="1" t="s">
        <v>74</v>
      </c>
      <c r="BB636" s="1">
        <v>624.0</v>
      </c>
      <c r="BC636" s="1">
        <v>635.0</v>
      </c>
      <c r="BD636" s="1" t="s">
        <v>74</v>
      </c>
      <c r="BE636" s="1" t="s">
        <v>6120</v>
      </c>
      <c r="BF636" s="2" t="str">
        <f>HYPERLINK("http://dx.doi.org/10.1080/19336950.2017.1375072","http://dx.doi.org/10.1080/19336950.2017.1375072")</f>
        <v>http://dx.doi.org/10.1080/19336950.2017.1375072</v>
      </c>
      <c r="BG636" s="1" t="s">
        <v>74</v>
      </c>
      <c r="BH636" s="1" t="s">
        <v>74</v>
      </c>
      <c r="BI636" s="1" t="s">
        <v>74</v>
      </c>
      <c r="BJ636" s="1" t="s">
        <v>74</v>
      </c>
      <c r="BK636" s="1" t="s">
        <v>74</v>
      </c>
      <c r="BL636" s="1" t="s">
        <v>74</v>
      </c>
      <c r="BM636" s="1" t="s">
        <v>74</v>
      </c>
      <c r="BN636" s="1">
        <v>2.8876976E7</v>
      </c>
      <c r="BO636" s="1" t="s">
        <v>74</v>
      </c>
      <c r="BP636" s="1" t="s">
        <v>74</v>
      </c>
      <c r="BQ636" s="1" t="s">
        <v>74</v>
      </c>
      <c r="BR636" s="1" t="s">
        <v>74</v>
      </c>
      <c r="BS636" s="1" t="s">
        <v>6121</v>
      </c>
      <c r="BT636" s="1" t="str">
        <f>HYPERLINK("https%3A%2F%2Fwww.webofscience.com%2Fwos%2Fwoscc%2Ffull-record%2FWOS:000423507900015","View Full Record in Web of Science")</f>
        <v>View Full Record in Web of Science</v>
      </c>
    </row>
    <row r="637" ht="12.75" customHeight="1">
      <c r="A637" s="1" t="s">
        <v>380</v>
      </c>
      <c r="B637" s="1" t="s">
        <v>6122</v>
      </c>
      <c r="C637" s="1" t="s">
        <v>74</v>
      </c>
      <c r="D637" s="1" t="s">
        <v>6123</v>
      </c>
      <c r="E637" s="1" t="s">
        <v>74</v>
      </c>
      <c r="F637" s="1" t="s">
        <v>6124</v>
      </c>
      <c r="G637" s="1" t="s">
        <v>74</v>
      </c>
      <c r="H637" s="1" t="s">
        <v>74</v>
      </c>
      <c r="I637" s="1" t="s">
        <v>6125</v>
      </c>
      <c r="J637" s="1" t="s">
        <v>6126</v>
      </c>
      <c r="K637" s="1" t="s">
        <v>74</v>
      </c>
      <c r="L637" s="1" t="s">
        <v>74</v>
      </c>
      <c r="M637" s="1" t="s">
        <v>74</v>
      </c>
      <c r="N637" s="1" t="s">
        <v>74</v>
      </c>
      <c r="O637" s="1" t="s">
        <v>74</v>
      </c>
      <c r="P637" s="1" t="s">
        <v>74</v>
      </c>
      <c r="Q637" s="1" t="s">
        <v>74</v>
      </c>
      <c r="R637" s="1" t="s">
        <v>74</v>
      </c>
      <c r="S637" s="1" t="s">
        <v>74</v>
      </c>
      <c r="T637" s="1" t="s">
        <v>74</v>
      </c>
      <c r="U637" s="1" t="s">
        <v>74</v>
      </c>
      <c r="V637" s="1" t="s">
        <v>6127</v>
      </c>
      <c r="W637" s="1" t="s">
        <v>74</v>
      </c>
      <c r="X637" s="1" t="s">
        <v>74</v>
      </c>
      <c r="Y637" s="1" t="s">
        <v>74</v>
      </c>
      <c r="Z637" s="1" t="s">
        <v>74</v>
      </c>
      <c r="AA637" s="1" t="s">
        <v>6128</v>
      </c>
      <c r="AB637" s="1" t="s">
        <v>74</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74</v>
      </c>
      <c r="AP637" s="1" t="s">
        <v>74</v>
      </c>
      <c r="AQ637" s="1" t="s">
        <v>6129</v>
      </c>
      <c r="AR637" s="1" t="s">
        <v>74</v>
      </c>
      <c r="AS637" s="1" t="s">
        <v>74</v>
      </c>
      <c r="AT637" s="1" t="s">
        <v>74</v>
      </c>
      <c r="AU637" s="1">
        <v>2016.0</v>
      </c>
      <c r="AV637" s="1" t="s">
        <v>74</v>
      </c>
      <c r="AW637" s="1" t="s">
        <v>74</v>
      </c>
      <c r="AX637" s="1" t="s">
        <v>74</v>
      </c>
      <c r="AY637" s="1" t="s">
        <v>74</v>
      </c>
      <c r="AZ637" s="1" t="s">
        <v>74</v>
      </c>
      <c r="BA637" s="1" t="s">
        <v>74</v>
      </c>
      <c r="BB637" s="1">
        <v>63.0</v>
      </c>
      <c r="BC637" s="1">
        <v>76.0</v>
      </c>
      <c r="BD637" s="1" t="s">
        <v>74</v>
      </c>
      <c r="BE637" s="1" t="s">
        <v>74</v>
      </c>
      <c r="BF637" s="1" t="s">
        <v>74</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6130</v>
      </c>
      <c r="BT637" s="1" t="str">
        <f>HYPERLINK("https%3A%2F%2Fwww.webofscience.com%2Fwos%2Fwoscc%2Ffull-record%2FWOS:000388045100004","View Full Record in Web of Science")</f>
        <v>View Full Record in Web of Science</v>
      </c>
    </row>
    <row r="638" ht="12.75" customHeight="1">
      <c r="A638" s="1" t="s">
        <v>72</v>
      </c>
      <c r="B638" s="1" t="s">
        <v>6131</v>
      </c>
      <c r="C638" s="1" t="s">
        <v>74</v>
      </c>
      <c r="D638" s="1" t="s">
        <v>74</v>
      </c>
      <c r="E638" s="1" t="s">
        <v>74</v>
      </c>
      <c r="F638" s="1" t="s">
        <v>6132</v>
      </c>
      <c r="G638" s="1" t="s">
        <v>74</v>
      </c>
      <c r="H638" s="1" t="s">
        <v>74</v>
      </c>
      <c r="I638" s="1" t="s">
        <v>6133</v>
      </c>
      <c r="J638" s="1" t="s">
        <v>2870</v>
      </c>
      <c r="K638" s="1" t="s">
        <v>74</v>
      </c>
      <c r="L638" s="1" t="s">
        <v>74</v>
      </c>
      <c r="M638" s="1" t="s">
        <v>74</v>
      </c>
      <c r="N638" s="1" t="s">
        <v>74</v>
      </c>
      <c r="O638" s="1" t="s">
        <v>74</v>
      </c>
      <c r="P638" s="1" t="s">
        <v>74</v>
      </c>
      <c r="Q638" s="1" t="s">
        <v>74</v>
      </c>
      <c r="R638" s="1" t="s">
        <v>74</v>
      </c>
      <c r="S638" s="1" t="s">
        <v>74</v>
      </c>
      <c r="T638" s="1" t="s">
        <v>74</v>
      </c>
      <c r="U638" s="1" t="s">
        <v>74</v>
      </c>
      <c r="V638" s="1" t="s">
        <v>6134</v>
      </c>
      <c r="W638" s="1" t="s">
        <v>74</v>
      </c>
      <c r="X638" s="1" t="s">
        <v>74</v>
      </c>
      <c r="Y638" s="1" t="s">
        <v>74</v>
      </c>
      <c r="Z638" s="1" t="s">
        <v>74</v>
      </c>
      <c r="AA638" s="1" t="s">
        <v>6135</v>
      </c>
      <c r="AB638" s="1" t="s">
        <v>6136</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2874</v>
      </c>
      <c r="AP638" s="1" t="s">
        <v>74</v>
      </c>
      <c r="AQ638" s="1" t="s">
        <v>74</v>
      </c>
      <c r="AR638" s="1" t="s">
        <v>74</v>
      </c>
      <c r="AS638" s="1" t="s">
        <v>74</v>
      </c>
      <c r="AT638" s="1" t="s">
        <v>107</v>
      </c>
      <c r="AU638" s="1">
        <v>2012.0</v>
      </c>
      <c r="AV638" s="1">
        <v>46.0</v>
      </c>
      <c r="AW638" s="1">
        <v>2.0</v>
      </c>
      <c r="AX638" s="1" t="s">
        <v>74</v>
      </c>
      <c r="AY638" s="1" t="s">
        <v>74</v>
      </c>
      <c r="AZ638" s="1" t="s">
        <v>74</v>
      </c>
      <c r="BA638" s="1" t="s">
        <v>74</v>
      </c>
      <c r="BB638" s="1">
        <v>375.0</v>
      </c>
      <c r="BC638" s="1">
        <v>381.0</v>
      </c>
      <c r="BD638" s="1" t="s">
        <v>74</v>
      </c>
      <c r="BE638" s="1" t="s">
        <v>6137</v>
      </c>
      <c r="BF638" s="2" t="str">
        <f>HYPERLINK("http://dx.doi.org/10.1016/j.lwt.2011.12.017","http://dx.doi.org/10.1016/j.lwt.2011.12.017")</f>
        <v>http://dx.doi.org/10.1016/j.lwt.2011.12.017</v>
      </c>
      <c r="BG638" s="1" t="s">
        <v>74</v>
      </c>
      <c r="BH638" s="1" t="s">
        <v>74</v>
      </c>
      <c r="BI638" s="1" t="s">
        <v>74</v>
      </c>
      <c r="BJ638" s="1" t="s">
        <v>74</v>
      </c>
      <c r="BK638" s="1" t="s">
        <v>74</v>
      </c>
      <c r="BL638" s="1" t="s">
        <v>74</v>
      </c>
      <c r="BM638" s="1" t="s">
        <v>74</v>
      </c>
      <c r="BN638" s="1" t="s">
        <v>74</v>
      </c>
      <c r="BO638" s="1" t="s">
        <v>74</v>
      </c>
      <c r="BP638" s="1" t="s">
        <v>74</v>
      </c>
      <c r="BQ638" s="1" t="s">
        <v>74</v>
      </c>
      <c r="BR638" s="1" t="s">
        <v>74</v>
      </c>
      <c r="BS638" s="1" t="s">
        <v>6138</v>
      </c>
      <c r="BT638" s="1" t="str">
        <f>HYPERLINK("https%3A%2F%2Fwww.webofscience.com%2Fwos%2Fwoscc%2Ffull-record%2FWOS:000300602600001","View Full Record in Web of Science")</f>
        <v>View Full Record in Web of Science</v>
      </c>
    </row>
    <row r="639" ht="12.75" customHeight="1">
      <c r="A639" s="1" t="s">
        <v>72</v>
      </c>
      <c r="B639" s="1" t="s">
        <v>6139</v>
      </c>
      <c r="C639" s="1" t="s">
        <v>74</v>
      </c>
      <c r="D639" s="1" t="s">
        <v>74</v>
      </c>
      <c r="E639" s="1" t="s">
        <v>74</v>
      </c>
      <c r="F639" s="1" t="s">
        <v>6140</v>
      </c>
      <c r="G639" s="1" t="s">
        <v>74</v>
      </c>
      <c r="H639" s="1" t="s">
        <v>74</v>
      </c>
      <c r="I639" s="1" t="s">
        <v>6141</v>
      </c>
      <c r="J639" s="1" t="s">
        <v>6142</v>
      </c>
      <c r="K639" s="1" t="s">
        <v>74</v>
      </c>
      <c r="L639" s="1" t="s">
        <v>74</v>
      </c>
      <c r="M639" s="1" t="s">
        <v>74</v>
      </c>
      <c r="N639" s="1" t="s">
        <v>74</v>
      </c>
      <c r="O639" s="1" t="s">
        <v>74</v>
      </c>
      <c r="P639" s="1" t="s">
        <v>74</v>
      </c>
      <c r="Q639" s="1" t="s">
        <v>74</v>
      </c>
      <c r="R639" s="1" t="s">
        <v>74</v>
      </c>
      <c r="S639" s="1" t="s">
        <v>74</v>
      </c>
      <c r="T639" s="1" t="s">
        <v>74</v>
      </c>
      <c r="U639" s="1" t="s">
        <v>74</v>
      </c>
      <c r="V639" s="1" t="s">
        <v>6143</v>
      </c>
      <c r="W639" s="1" t="s">
        <v>74</v>
      </c>
      <c r="X639" s="1" t="s">
        <v>74</v>
      </c>
      <c r="Y639" s="1" t="s">
        <v>74</v>
      </c>
      <c r="Z639" s="1" t="s">
        <v>74</v>
      </c>
      <c r="AA639" s="1" t="s">
        <v>1986</v>
      </c>
      <c r="AB639" s="1" t="s">
        <v>3337</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6144</v>
      </c>
      <c r="AP639" s="1" t="s">
        <v>6145</v>
      </c>
      <c r="AQ639" s="1" t="s">
        <v>74</v>
      </c>
      <c r="AR639" s="1" t="s">
        <v>74</v>
      </c>
      <c r="AS639" s="1" t="s">
        <v>74</v>
      </c>
      <c r="AT639" s="1" t="s">
        <v>74</v>
      </c>
      <c r="AU639" s="1">
        <v>2012.0</v>
      </c>
      <c r="AV639" s="1">
        <v>14.0</v>
      </c>
      <c r="AW639" s="1">
        <v>4.0</v>
      </c>
      <c r="AX639" s="1" t="s">
        <v>74</v>
      </c>
      <c r="AY639" s="1" t="s">
        <v>74</v>
      </c>
      <c r="AZ639" s="1" t="s">
        <v>74</v>
      </c>
      <c r="BA639" s="1" t="s">
        <v>74</v>
      </c>
      <c r="BB639" s="1" t="s">
        <v>74</v>
      </c>
      <c r="BC639" s="1" t="s">
        <v>74</v>
      </c>
      <c r="BD639" s="1" t="s">
        <v>6146</v>
      </c>
      <c r="BE639" s="1" t="s">
        <v>6147</v>
      </c>
      <c r="BF639" s="2" t="str">
        <f>HYPERLINK("http://dx.doi.org/10.1186/ar4030","http://dx.doi.org/10.1186/ar4030")</f>
        <v>http://dx.doi.org/10.1186/ar4030</v>
      </c>
      <c r="BG639" s="1" t="s">
        <v>74</v>
      </c>
      <c r="BH639" s="1" t="s">
        <v>74</v>
      </c>
      <c r="BI639" s="1" t="s">
        <v>74</v>
      </c>
      <c r="BJ639" s="1" t="s">
        <v>74</v>
      </c>
      <c r="BK639" s="1" t="s">
        <v>74</v>
      </c>
      <c r="BL639" s="1" t="s">
        <v>74</v>
      </c>
      <c r="BM639" s="1" t="s">
        <v>74</v>
      </c>
      <c r="BN639" s="1">
        <v>2.2920607E7</v>
      </c>
      <c r="BO639" s="1" t="s">
        <v>74</v>
      </c>
      <c r="BP639" s="1" t="s">
        <v>74</v>
      </c>
      <c r="BQ639" s="1" t="s">
        <v>74</v>
      </c>
      <c r="BR639" s="1" t="s">
        <v>74</v>
      </c>
      <c r="BS639" s="1" t="s">
        <v>6148</v>
      </c>
      <c r="BT639" s="1" t="str">
        <f>HYPERLINK("https%3A%2F%2Fwww.webofscience.com%2Fwos%2Fwoscc%2Ffull-record%2FWOS:000314974600040","View Full Record in Web of Science")</f>
        <v>View Full Record in Web of Science</v>
      </c>
    </row>
    <row r="640" ht="12.75" customHeight="1">
      <c r="A640" s="1" t="s">
        <v>72</v>
      </c>
      <c r="B640" s="1" t="s">
        <v>6149</v>
      </c>
      <c r="C640" s="1" t="s">
        <v>74</v>
      </c>
      <c r="D640" s="1" t="s">
        <v>74</v>
      </c>
      <c r="E640" s="1" t="s">
        <v>74</v>
      </c>
      <c r="F640" s="1" t="s">
        <v>6150</v>
      </c>
      <c r="G640" s="1" t="s">
        <v>74</v>
      </c>
      <c r="H640" s="1" t="s">
        <v>74</v>
      </c>
      <c r="I640" s="1" t="s">
        <v>6151</v>
      </c>
      <c r="J640" s="1" t="s">
        <v>6152</v>
      </c>
      <c r="K640" s="1" t="s">
        <v>74</v>
      </c>
      <c r="L640" s="1" t="s">
        <v>74</v>
      </c>
      <c r="M640" s="1" t="s">
        <v>74</v>
      </c>
      <c r="N640" s="1" t="s">
        <v>74</v>
      </c>
      <c r="O640" s="1" t="s">
        <v>74</v>
      </c>
      <c r="P640" s="1" t="s">
        <v>74</v>
      </c>
      <c r="Q640" s="1" t="s">
        <v>74</v>
      </c>
      <c r="R640" s="1" t="s">
        <v>74</v>
      </c>
      <c r="S640" s="1" t="s">
        <v>74</v>
      </c>
      <c r="T640" s="1" t="s">
        <v>74</v>
      </c>
      <c r="U640" s="1" t="s">
        <v>74</v>
      </c>
      <c r="V640" s="1" t="s">
        <v>74</v>
      </c>
      <c r="W640" s="1" t="s">
        <v>74</v>
      </c>
      <c r="X640" s="1" t="s">
        <v>74</v>
      </c>
      <c r="Y640" s="1" t="s">
        <v>74</v>
      </c>
      <c r="Z640" s="1" t="s">
        <v>74</v>
      </c>
      <c r="AA640" s="1" t="s">
        <v>6153</v>
      </c>
      <c r="AB640" s="1" t="s">
        <v>6154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6155</v>
      </c>
      <c r="AP640" s="1" t="s">
        <v>74</v>
      </c>
      <c r="AQ640" s="1" t="s">
        <v>74</v>
      </c>
      <c r="AR640" s="1" t="s">
        <v>74</v>
      </c>
      <c r="AS640" s="1" t="s">
        <v>74</v>
      </c>
      <c r="AT640" s="1" t="s">
        <v>6156</v>
      </c>
      <c r="AU640" s="1">
        <v>2010.0</v>
      </c>
      <c r="AV640" s="1">
        <v>123.0</v>
      </c>
      <c r="AW640" s="1">
        <v>12.0</v>
      </c>
      <c r="AX640" s="1" t="s">
        <v>74</v>
      </c>
      <c r="AY640" s="1" t="s">
        <v>74</v>
      </c>
      <c r="AZ640" s="1" t="s">
        <v>74</v>
      </c>
      <c r="BA640" s="1" t="s">
        <v>74</v>
      </c>
      <c r="BB640" s="1">
        <v>1610.0</v>
      </c>
      <c r="BC640" s="1">
        <v>1611.0</v>
      </c>
      <c r="BD640" s="1" t="s">
        <v>74</v>
      </c>
      <c r="BE640" s="1" t="s">
        <v>6157</v>
      </c>
      <c r="BF640" s="2" t="str">
        <f>HYPERLINK("http://dx.doi.org/10.3760/cma.j.issn.0366-6999.2010.12.024","http://dx.doi.org/10.3760/cma.j.issn.0366-6999.2010.12.024")</f>
        <v>http://dx.doi.org/10.3760/cma.j.issn.0366-6999.2010.12.024</v>
      </c>
      <c r="BG640" s="1" t="s">
        <v>74</v>
      </c>
      <c r="BH640" s="1" t="s">
        <v>74</v>
      </c>
      <c r="BI640" s="1" t="s">
        <v>74</v>
      </c>
      <c r="BJ640" s="1" t="s">
        <v>74</v>
      </c>
      <c r="BK640" s="1" t="s">
        <v>74</v>
      </c>
      <c r="BL640" s="1" t="s">
        <v>74</v>
      </c>
      <c r="BM640" s="1" t="s">
        <v>74</v>
      </c>
      <c r="BN640" s="1">
        <v>2.0819521E7</v>
      </c>
      <c r="BO640" s="1" t="s">
        <v>74</v>
      </c>
      <c r="BP640" s="1" t="s">
        <v>74</v>
      </c>
      <c r="BQ640" s="1" t="s">
        <v>74</v>
      </c>
      <c r="BR640" s="1" t="s">
        <v>74</v>
      </c>
      <c r="BS640" s="1" t="s">
        <v>6158</v>
      </c>
      <c r="BT640" s="1" t="str">
        <f>HYPERLINK("https%3A%2F%2Fwww.webofscience.com%2Fwos%2Fwoscc%2Ffull-record%2FWOS:000279754100024","View Full Record in Web of Science")</f>
        <v>View Full Record in Web of Science</v>
      </c>
    </row>
    <row r="641" ht="12.75" customHeight="1">
      <c r="A641" s="1" t="s">
        <v>72</v>
      </c>
      <c r="B641" s="1" t="s">
        <v>6159</v>
      </c>
      <c r="C641" s="1" t="s">
        <v>74</v>
      </c>
      <c r="D641" s="1" t="s">
        <v>74</v>
      </c>
      <c r="E641" s="1" t="s">
        <v>74</v>
      </c>
      <c r="F641" s="1" t="s">
        <v>6160</v>
      </c>
      <c r="G641" s="1" t="s">
        <v>74</v>
      </c>
      <c r="H641" s="1" t="s">
        <v>74</v>
      </c>
      <c r="I641" s="1" t="s">
        <v>6161</v>
      </c>
      <c r="J641" s="1" t="s">
        <v>6162</v>
      </c>
      <c r="K641" s="1" t="s">
        <v>74</v>
      </c>
      <c r="L641" s="1" t="s">
        <v>74</v>
      </c>
      <c r="M641" s="1" t="s">
        <v>74</v>
      </c>
      <c r="N641" s="1" t="s">
        <v>74</v>
      </c>
      <c r="O641" s="1" t="s">
        <v>74</v>
      </c>
      <c r="P641" s="1" t="s">
        <v>74</v>
      </c>
      <c r="Q641" s="1" t="s">
        <v>74</v>
      </c>
      <c r="R641" s="1" t="s">
        <v>74</v>
      </c>
      <c r="S641" s="1" t="s">
        <v>74</v>
      </c>
      <c r="T641" s="1" t="s">
        <v>74</v>
      </c>
      <c r="U641" s="1" t="s">
        <v>74</v>
      </c>
      <c r="V641" s="1" t="s">
        <v>6163</v>
      </c>
      <c r="W641" s="1" t="s">
        <v>74</v>
      </c>
      <c r="X641" s="1" t="s">
        <v>74</v>
      </c>
      <c r="Y641" s="1" t="s">
        <v>74</v>
      </c>
      <c r="Z641" s="1" t="s">
        <v>74</v>
      </c>
      <c r="AA641" s="1" t="s">
        <v>6164</v>
      </c>
      <c r="AB641" s="1" t="s">
        <v>6165</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6166</v>
      </c>
      <c r="AP641" s="1" t="s">
        <v>6167</v>
      </c>
      <c r="AQ641" s="1" t="s">
        <v>74</v>
      </c>
      <c r="AR641" s="1" t="s">
        <v>74</v>
      </c>
      <c r="AS641" s="1" t="s">
        <v>74</v>
      </c>
      <c r="AT641" s="1" t="s">
        <v>6168</v>
      </c>
      <c r="AU641" s="1">
        <v>2008.0</v>
      </c>
      <c r="AV641" s="1">
        <v>21.0</v>
      </c>
      <c r="AW641" s="1">
        <v>5.0</v>
      </c>
      <c r="AX641" s="1" t="s">
        <v>74</v>
      </c>
      <c r="AY641" s="1" t="s">
        <v>74</v>
      </c>
      <c r="AZ641" s="1" t="s">
        <v>74</v>
      </c>
      <c r="BA641" s="1" t="s">
        <v>74</v>
      </c>
      <c r="BB641" s="1">
        <v>297.0</v>
      </c>
      <c r="BC641" s="1">
        <v>308.0</v>
      </c>
      <c r="BD641" s="1" t="s">
        <v>74</v>
      </c>
      <c r="BE641" s="1" t="s">
        <v>6169</v>
      </c>
      <c r="BF641" s="2" t="str">
        <f>HYPERLINK("http://dx.doi.org/10.1002/pts.807","http://dx.doi.org/10.1002/pts.807")</f>
        <v>http://dx.doi.org/10.1002/pts.807</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6170</v>
      </c>
      <c r="BT641" s="1" t="str">
        <f>HYPERLINK("https%3A%2F%2Fwww.webofscience.com%2Fwos%2Fwoscc%2Ffull-record%2FWOS:000258989700006","View Full Record in Web of Science")</f>
        <v>View Full Record in Web of Science</v>
      </c>
    </row>
    <row r="642" ht="12.75" customHeight="1">
      <c r="A642" s="1" t="s">
        <v>72</v>
      </c>
      <c r="B642" s="1" t="s">
        <v>6171</v>
      </c>
      <c r="C642" s="1" t="s">
        <v>74</v>
      </c>
      <c r="D642" s="1" t="s">
        <v>74</v>
      </c>
      <c r="E642" s="1" t="s">
        <v>74</v>
      </c>
      <c r="F642" s="1" t="s">
        <v>6172</v>
      </c>
      <c r="G642" s="1" t="s">
        <v>74</v>
      </c>
      <c r="H642" s="1" t="s">
        <v>74</v>
      </c>
      <c r="I642" s="1" t="s">
        <v>6173</v>
      </c>
      <c r="J642" s="1" t="s">
        <v>6174</v>
      </c>
      <c r="K642" s="1" t="s">
        <v>74</v>
      </c>
      <c r="L642" s="1" t="s">
        <v>74</v>
      </c>
      <c r="M642" s="1" t="s">
        <v>74</v>
      </c>
      <c r="N642" s="1" t="s">
        <v>74</v>
      </c>
      <c r="O642" s="1" t="s">
        <v>74</v>
      </c>
      <c r="P642" s="1" t="s">
        <v>74</v>
      </c>
      <c r="Q642" s="1" t="s">
        <v>74</v>
      </c>
      <c r="R642" s="1" t="s">
        <v>74</v>
      </c>
      <c r="S642" s="1" t="s">
        <v>74</v>
      </c>
      <c r="T642" s="1" t="s">
        <v>74</v>
      </c>
      <c r="U642" s="1" t="s">
        <v>74</v>
      </c>
      <c r="V642" s="1" t="s">
        <v>6175</v>
      </c>
      <c r="W642" s="1" t="s">
        <v>74</v>
      </c>
      <c r="X642" s="1" t="s">
        <v>74</v>
      </c>
      <c r="Y642" s="1" t="s">
        <v>74</v>
      </c>
      <c r="Z642" s="1" t="s">
        <v>74</v>
      </c>
      <c r="AA642" s="1" t="s">
        <v>5204</v>
      </c>
      <c r="AB642" s="1" t="s">
        <v>5205</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6176</v>
      </c>
      <c r="AP642" s="1" t="s">
        <v>6177</v>
      </c>
      <c r="AQ642" s="1" t="s">
        <v>74</v>
      </c>
      <c r="AR642" s="1" t="s">
        <v>74</v>
      </c>
      <c r="AS642" s="1" t="s">
        <v>74</v>
      </c>
      <c r="AT642" s="1" t="s">
        <v>164</v>
      </c>
      <c r="AU642" s="1">
        <v>2008.0</v>
      </c>
      <c r="AV642" s="1">
        <v>72.0</v>
      </c>
      <c r="AW642" s="1">
        <v>7.0</v>
      </c>
      <c r="AX642" s="1" t="s">
        <v>74</v>
      </c>
      <c r="AY642" s="1" t="s">
        <v>74</v>
      </c>
      <c r="AZ642" s="1" t="s">
        <v>74</v>
      </c>
      <c r="BA642" s="1" t="s">
        <v>74</v>
      </c>
      <c r="BB642" s="1">
        <v>1164.0</v>
      </c>
      <c r="BC642" s="1">
        <v>1173.0</v>
      </c>
      <c r="BD642" s="1" t="s">
        <v>74</v>
      </c>
      <c r="BE642" s="1" t="s">
        <v>6178</v>
      </c>
      <c r="BF642" s="2" t="str">
        <f>HYPERLINK("http://dx.doi.org/10.1016/j.jaridenv.2007.12.012","http://dx.doi.org/10.1016/j.jaridenv.2007.12.012")</f>
        <v>http://dx.doi.org/10.1016/j.jaridenv.2007.12.012</v>
      </c>
      <c r="BG642" s="1" t="s">
        <v>74</v>
      </c>
      <c r="BH642" s="1" t="s">
        <v>74</v>
      </c>
      <c r="BI642" s="1" t="s">
        <v>74</v>
      </c>
      <c r="BJ642" s="1" t="s">
        <v>74</v>
      </c>
      <c r="BK642" s="1" t="s">
        <v>74</v>
      </c>
      <c r="BL642" s="1" t="s">
        <v>74</v>
      </c>
      <c r="BM642" s="1" t="s">
        <v>74</v>
      </c>
      <c r="BN642" s="1" t="s">
        <v>74</v>
      </c>
      <c r="BO642" s="1" t="s">
        <v>74</v>
      </c>
      <c r="BP642" s="1" t="s">
        <v>74</v>
      </c>
      <c r="BQ642" s="1" t="s">
        <v>74</v>
      </c>
      <c r="BR642" s="1" t="s">
        <v>74</v>
      </c>
      <c r="BS642" s="1" t="s">
        <v>6179</v>
      </c>
      <c r="BT642" s="1" t="str">
        <f>HYPERLINK("https%3A%2F%2Fwww.webofscience.com%2Fwos%2Fwoscc%2Ffull-record%2FWOS:000257043800003","View Full Record in Web of Science")</f>
        <v>View Full Record in Web of Science</v>
      </c>
    </row>
    <row r="643" ht="12.75" customHeight="1">
      <c r="A643" s="1" t="s">
        <v>72</v>
      </c>
      <c r="B643" s="1" t="s">
        <v>6180</v>
      </c>
      <c r="C643" s="1" t="s">
        <v>74</v>
      </c>
      <c r="D643" s="1" t="s">
        <v>74</v>
      </c>
      <c r="E643" s="1" t="s">
        <v>74</v>
      </c>
      <c r="F643" s="1" t="s">
        <v>6181</v>
      </c>
      <c r="G643" s="1" t="s">
        <v>74</v>
      </c>
      <c r="H643" s="1" t="s">
        <v>74</v>
      </c>
      <c r="I643" s="1" t="s">
        <v>6182</v>
      </c>
      <c r="J643" s="1" t="s">
        <v>6183</v>
      </c>
      <c r="K643" s="1" t="s">
        <v>74</v>
      </c>
      <c r="L643" s="1" t="s">
        <v>74</v>
      </c>
      <c r="M643" s="1" t="s">
        <v>74</v>
      </c>
      <c r="N643" s="1" t="s">
        <v>74</v>
      </c>
      <c r="O643" s="1" t="s">
        <v>74</v>
      </c>
      <c r="P643" s="1" t="s">
        <v>74</v>
      </c>
      <c r="Q643" s="1" t="s">
        <v>74</v>
      </c>
      <c r="R643" s="1" t="s">
        <v>74</v>
      </c>
      <c r="S643" s="1" t="s">
        <v>74</v>
      </c>
      <c r="T643" s="1" t="s">
        <v>74</v>
      </c>
      <c r="U643" s="1" t="s">
        <v>74</v>
      </c>
      <c r="V643" s="1" t="s">
        <v>6184</v>
      </c>
      <c r="W643" s="1" t="s">
        <v>74</v>
      </c>
      <c r="X643" s="1" t="s">
        <v>74</v>
      </c>
      <c r="Y643" s="1" t="s">
        <v>74</v>
      </c>
      <c r="Z643" s="1" t="s">
        <v>74</v>
      </c>
      <c r="AA643" s="1" t="s">
        <v>6185</v>
      </c>
      <c r="AB643" s="1" t="s">
        <v>6186</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6187</v>
      </c>
      <c r="AP643" s="1" t="s">
        <v>6188</v>
      </c>
      <c r="AQ643" s="1" t="s">
        <v>74</v>
      </c>
      <c r="AR643" s="1" t="s">
        <v>74</v>
      </c>
      <c r="AS643" s="1" t="s">
        <v>74</v>
      </c>
      <c r="AT643" s="1" t="s">
        <v>496</v>
      </c>
      <c r="AU643" s="1">
        <v>2008.0</v>
      </c>
      <c r="AV643" s="1">
        <v>19.0</v>
      </c>
      <c r="AW643" s="1">
        <v>1.0</v>
      </c>
      <c r="AX643" s="1" t="s">
        <v>74</v>
      </c>
      <c r="AY643" s="1" t="s">
        <v>74</v>
      </c>
      <c r="AZ643" s="1" t="s">
        <v>74</v>
      </c>
      <c r="BA643" s="1" t="s">
        <v>74</v>
      </c>
      <c r="BB643" s="1">
        <v>31.0</v>
      </c>
      <c r="BC643" s="1">
        <v>35.0</v>
      </c>
      <c r="BD643" s="1" t="s">
        <v>74</v>
      </c>
      <c r="BE643" s="1" t="s">
        <v>6189</v>
      </c>
      <c r="BF643" s="2" t="str">
        <f>HYPERLINK("http://dx.doi.org/10.1016/j.foodcont.2006.11.009","http://dx.doi.org/10.1016/j.foodcont.2006.11.009")</f>
        <v>http://dx.doi.org/10.1016/j.foodcont.2006.11.009</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6190</v>
      </c>
      <c r="BT643" s="1" t="str">
        <f>HYPERLINK("https%3A%2F%2Fwww.webofscience.com%2Fwos%2Fwoscc%2Ffull-record%2FWOS:000249937800006","View Full Record in Web of Science")</f>
        <v>View Full Record in Web of Science</v>
      </c>
    </row>
    <row r="644" ht="12.75" customHeight="1">
      <c r="A644" s="1" t="s">
        <v>72</v>
      </c>
      <c r="B644" s="1" t="s">
        <v>6191</v>
      </c>
      <c r="C644" s="1" t="s">
        <v>74</v>
      </c>
      <c r="D644" s="1" t="s">
        <v>74</v>
      </c>
      <c r="E644" s="1" t="s">
        <v>74</v>
      </c>
      <c r="F644" s="1" t="s">
        <v>6191</v>
      </c>
      <c r="G644" s="1" t="s">
        <v>74</v>
      </c>
      <c r="H644" s="1" t="s">
        <v>74</v>
      </c>
      <c r="I644" s="1" t="s">
        <v>6192</v>
      </c>
      <c r="J644" s="1" t="s">
        <v>6193</v>
      </c>
      <c r="K644" s="1" t="s">
        <v>74</v>
      </c>
      <c r="L644" s="1" t="s">
        <v>74</v>
      </c>
      <c r="M644" s="1" t="s">
        <v>74</v>
      </c>
      <c r="N644" s="1" t="s">
        <v>74</v>
      </c>
      <c r="O644" s="1" t="s">
        <v>74</v>
      </c>
      <c r="P644" s="1" t="s">
        <v>74</v>
      </c>
      <c r="Q644" s="1" t="s">
        <v>74</v>
      </c>
      <c r="R644" s="1" t="s">
        <v>74</v>
      </c>
      <c r="S644" s="1" t="s">
        <v>74</v>
      </c>
      <c r="T644" s="1" t="s">
        <v>74</v>
      </c>
      <c r="U644" s="1" t="s">
        <v>74</v>
      </c>
      <c r="V644" s="1" t="s">
        <v>6194</v>
      </c>
      <c r="W644" s="1" t="s">
        <v>74</v>
      </c>
      <c r="X644" s="1" t="s">
        <v>74</v>
      </c>
      <c r="Y644" s="1" t="s">
        <v>74</v>
      </c>
      <c r="Z644" s="1" t="s">
        <v>74</v>
      </c>
      <c r="AA644" s="1" t="s">
        <v>6195</v>
      </c>
      <c r="AB644" s="1" t="s">
        <v>6196</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6197</v>
      </c>
      <c r="AP644" s="1" t="s">
        <v>6198</v>
      </c>
      <c r="AQ644" s="1" t="s">
        <v>74</v>
      </c>
      <c r="AR644" s="1" t="s">
        <v>74</v>
      </c>
      <c r="AS644" s="1" t="s">
        <v>74</v>
      </c>
      <c r="AT644" s="1" t="s">
        <v>554</v>
      </c>
      <c r="AU644" s="1">
        <v>2005.0</v>
      </c>
      <c r="AV644" s="1">
        <v>135.0</v>
      </c>
      <c r="AW644" s="1">
        <v>6.0</v>
      </c>
      <c r="AX644" s="1" t="s">
        <v>74</v>
      </c>
      <c r="AY644" s="1" t="s">
        <v>74</v>
      </c>
      <c r="AZ644" s="1" t="s">
        <v>74</v>
      </c>
      <c r="BA644" s="1" t="s">
        <v>74</v>
      </c>
      <c r="BB644" s="1">
        <v>1480.0</v>
      </c>
      <c r="BC644" s="1">
        <v>1485.0</v>
      </c>
      <c r="BD644" s="1" t="s">
        <v>74</v>
      </c>
      <c r="BE644" s="1" t="s">
        <v>6199</v>
      </c>
      <c r="BF644" s="2" t="str">
        <f>HYPERLINK("http://dx.doi.org/10.1093/jn/135.6.1480","http://dx.doi.org/10.1093/jn/135.6.1480")</f>
        <v>http://dx.doi.org/10.1093/jn/135.6.1480</v>
      </c>
      <c r="BG644" s="1" t="s">
        <v>74</v>
      </c>
      <c r="BH644" s="1" t="s">
        <v>74</v>
      </c>
      <c r="BI644" s="1" t="s">
        <v>74</v>
      </c>
      <c r="BJ644" s="1" t="s">
        <v>74</v>
      </c>
      <c r="BK644" s="1" t="s">
        <v>74</v>
      </c>
      <c r="BL644" s="1" t="s">
        <v>74</v>
      </c>
      <c r="BM644" s="1" t="s">
        <v>74</v>
      </c>
      <c r="BN644" s="1">
        <v>1.5930456E7</v>
      </c>
      <c r="BO644" s="1" t="s">
        <v>74</v>
      </c>
      <c r="BP644" s="1" t="s">
        <v>74</v>
      </c>
      <c r="BQ644" s="1" t="s">
        <v>74</v>
      </c>
      <c r="BR644" s="1" t="s">
        <v>74</v>
      </c>
      <c r="BS644" s="1" t="s">
        <v>6200</v>
      </c>
      <c r="BT644" s="1" t="str">
        <f>HYPERLINK("https%3A%2F%2Fwww.webofscience.com%2Fwos%2Fwoscc%2Ffull-record%2FWOS:000229620600023","View Full Record in Web of Science")</f>
        <v>View Full Record in Web of Science</v>
      </c>
    </row>
    <row r="645" ht="12.75" customHeight="1">
      <c r="A645" s="1" t="s">
        <v>72</v>
      </c>
      <c r="B645" s="1" t="s">
        <v>6201</v>
      </c>
      <c r="C645" s="1" t="s">
        <v>74</v>
      </c>
      <c r="D645" s="1" t="s">
        <v>74</v>
      </c>
      <c r="E645" s="1" t="s">
        <v>74</v>
      </c>
      <c r="F645" s="1" t="s">
        <v>6201</v>
      </c>
      <c r="G645" s="1" t="s">
        <v>74</v>
      </c>
      <c r="H645" s="1" t="s">
        <v>74</v>
      </c>
      <c r="I645" s="1" t="s">
        <v>6202</v>
      </c>
      <c r="J645" s="1" t="s">
        <v>6203</v>
      </c>
      <c r="K645" s="1" t="s">
        <v>74</v>
      </c>
      <c r="L645" s="1" t="s">
        <v>74</v>
      </c>
      <c r="M645" s="1" t="s">
        <v>74</v>
      </c>
      <c r="N645" s="1" t="s">
        <v>74</v>
      </c>
      <c r="O645" s="1" t="s">
        <v>74</v>
      </c>
      <c r="P645" s="1" t="s">
        <v>74</v>
      </c>
      <c r="Q645" s="1" t="s">
        <v>74</v>
      </c>
      <c r="R645" s="1" t="s">
        <v>74</v>
      </c>
      <c r="S645" s="1" t="s">
        <v>74</v>
      </c>
      <c r="T645" s="1" t="s">
        <v>74</v>
      </c>
      <c r="U645" s="1" t="s">
        <v>74</v>
      </c>
      <c r="V645" s="1" t="s">
        <v>6204</v>
      </c>
      <c r="W645" s="1" t="s">
        <v>74</v>
      </c>
      <c r="X645" s="1" t="s">
        <v>74</v>
      </c>
      <c r="Y645" s="1" t="s">
        <v>74</v>
      </c>
      <c r="Z645" s="1" t="s">
        <v>74</v>
      </c>
      <c r="AA645" s="1" t="s">
        <v>74</v>
      </c>
      <c r="AB645" s="1" t="s">
        <v>74</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6205</v>
      </c>
      <c r="AP645" s="1" t="s">
        <v>6206</v>
      </c>
      <c r="AQ645" s="1" t="s">
        <v>74</v>
      </c>
      <c r="AR645" s="1" t="s">
        <v>74</v>
      </c>
      <c r="AS645" s="1" t="s">
        <v>74</v>
      </c>
      <c r="AT645" s="1" t="s">
        <v>6207</v>
      </c>
      <c r="AU645" s="1">
        <v>2004.0</v>
      </c>
      <c r="AV645" s="1">
        <v>76.0</v>
      </c>
      <c r="AW645" s="1">
        <v>9.0</v>
      </c>
      <c r="AX645" s="1" t="s">
        <v>74</v>
      </c>
      <c r="AY645" s="1" t="s">
        <v>74</v>
      </c>
      <c r="AZ645" s="1" t="s">
        <v>74</v>
      </c>
      <c r="BA645" s="1" t="s">
        <v>74</v>
      </c>
      <c r="BB645" s="1">
        <v>2664.0</v>
      </c>
      <c r="BC645" s="1">
        <v>2668.0</v>
      </c>
      <c r="BD645" s="1" t="s">
        <v>74</v>
      </c>
      <c r="BE645" s="1" t="s">
        <v>6208</v>
      </c>
      <c r="BF645" s="2" t="str">
        <f>HYPERLINK("http://dx.doi.org/10.1021/ac049885d","http://dx.doi.org/10.1021/ac049885d")</f>
        <v>http://dx.doi.org/10.1021/ac049885d</v>
      </c>
      <c r="BG645" s="1" t="s">
        <v>74</v>
      </c>
      <c r="BH645" s="1" t="s">
        <v>74</v>
      </c>
      <c r="BI645" s="1" t="s">
        <v>74</v>
      </c>
      <c r="BJ645" s="1" t="s">
        <v>74</v>
      </c>
      <c r="BK645" s="1" t="s">
        <v>74</v>
      </c>
      <c r="BL645" s="1" t="s">
        <v>74</v>
      </c>
      <c r="BM645" s="1" t="s">
        <v>74</v>
      </c>
      <c r="BN645" s="1">
        <v>1.5117213E7</v>
      </c>
      <c r="BO645" s="1" t="s">
        <v>74</v>
      </c>
      <c r="BP645" s="1" t="s">
        <v>74</v>
      </c>
      <c r="BQ645" s="1" t="s">
        <v>74</v>
      </c>
      <c r="BR645" s="1" t="s">
        <v>74</v>
      </c>
      <c r="BS645" s="1" t="s">
        <v>6209</v>
      </c>
      <c r="BT645" s="1" t="str">
        <f>HYPERLINK("https%3A%2F%2Fwww.webofscience.com%2Fwos%2Fwoscc%2Ffull-record%2FWOS:000221205900043","View Full Record in Web of Science")</f>
        <v>View Full Record in Web of Science</v>
      </c>
    </row>
    <row r="646" ht="12.75" customHeight="1">
      <c r="A646" s="1" t="s">
        <v>72</v>
      </c>
      <c r="B646" s="1" t="s">
        <v>6210</v>
      </c>
      <c r="C646" s="1" t="s">
        <v>74</v>
      </c>
      <c r="D646" s="1" t="s">
        <v>74</v>
      </c>
      <c r="E646" s="1" t="s">
        <v>74</v>
      </c>
      <c r="F646" s="1" t="s">
        <v>6210</v>
      </c>
      <c r="G646" s="1" t="s">
        <v>74</v>
      </c>
      <c r="H646" s="1" t="s">
        <v>74</v>
      </c>
      <c r="I646" s="1" t="s">
        <v>6211</v>
      </c>
      <c r="J646" s="1" t="s">
        <v>412</v>
      </c>
      <c r="K646" s="1" t="s">
        <v>74</v>
      </c>
      <c r="L646" s="1" t="s">
        <v>74</v>
      </c>
      <c r="M646" s="1" t="s">
        <v>74</v>
      </c>
      <c r="N646" s="1" t="s">
        <v>74</v>
      </c>
      <c r="O646" s="1" t="s">
        <v>74</v>
      </c>
      <c r="P646" s="1" t="s">
        <v>74</v>
      </c>
      <c r="Q646" s="1" t="s">
        <v>74</v>
      </c>
      <c r="R646" s="1" t="s">
        <v>74</v>
      </c>
      <c r="S646" s="1" t="s">
        <v>74</v>
      </c>
      <c r="T646" s="1" t="s">
        <v>74</v>
      </c>
      <c r="U646" s="1" t="s">
        <v>74</v>
      </c>
      <c r="V646" s="1" t="s">
        <v>6212</v>
      </c>
      <c r="W646" s="1" t="s">
        <v>74</v>
      </c>
      <c r="X646" s="1" t="s">
        <v>74</v>
      </c>
      <c r="Y646" s="1" t="s">
        <v>74</v>
      </c>
      <c r="Z646" s="1" t="s">
        <v>74</v>
      </c>
      <c r="AA646" s="1" t="s">
        <v>6213</v>
      </c>
      <c r="AB646" s="1" t="s">
        <v>4089</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415</v>
      </c>
      <c r="AP646" s="1" t="s">
        <v>74</v>
      </c>
      <c r="AQ646" s="1" t="s">
        <v>74</v>
      </c>
      <c r="AR646" s="1" t="s">
        <v>74</v>
      </c>
      <c r="AS646" s="1" t="s">
        <v>74</v>
      </c>
      <c r="AT646" s="1" t="s">
        <v>74</v>
      </c>
      <c r="AU646" s="1">
        <v>2003.0</v>
      </c>
      <c r="AV646" s="1" t="s">
        <v>74</v>
      </c>
      <c r="AW646" s="1" t="s">
        <v>74</v>
      </c>
      <c r="AX646" s="1" t="s">
        <v>74</v>
      </c>
      <c r="AY646" s="1" t="s">
        <v>475</v>
      </c>
      <c r="AZ646" s="1" t="s">
        <v>74</v>
      </c>
      <c r="BA646" s="1" t="s">
        <v>74</v>
      </c>
      <c r="BB646" s="1">
        <v>243.0</v>
      </c>
      <c r="BC646" s="1">
        <v>249.0</v>
      </c>
      <c r="BD646" s="1" t="s">
        <v>74</v>
      </c>
      <c r="BE646" s="1" t="s">
        <v>74</v>
      </c>
      <c r="BF646" s="1" t="s">
        <v>74</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6214</v>
      </c>
      <c r="BT646" s="1" t="str">
        <f>HYPERLINK("https%3A%2F%2Fwww.webofscience.com%2Fwos%2Fwoscc%2Ffull-record%2FWOS:000182514400038","View Full Record in Web of Science")</f>
        <v>View Full Record in Web of Science</v>
      </c>
    </row>
    <row r="647" ht="12.75" customHeight="1">
      <c r="A647" s="1" t="s">
        <v>72</v>
      </c>
      <c r="B647" s="1" t="s">
        <v>6215</v>
      </c>
      <c r="C647" s="1" t="s">
        <v>74</v>
      </c>
      <c r="D647" s="1" t="s">
        <v>74</v>
      </c>
      <c r="E647" s="1" t="s">
        <v>74</v>
      </c>
      <c r="F647" s="1" t="s">
        <v>6215</v>
      </c>
      <c r="G647" s="1" t="s">
        <v>74</v>
      </c>
      <c r="H647" s="1" t="s">
        <v>74</v>
      </c>
      <c r="I647" s="1" t="s">
        <v>6216</v>
      </c>
      <c r="J647" s="1" t="s">
        <v>6217</v>
      </c>
      <c r="K647" s="1" t="s">
        <v>74</v>
      </c>
      <c r="L647" s="1" t="s">
        <v>74</v>
      </c>
      <c r="M647" s="1" t="s">
        <v>74</v>
      </c>
      <c r="N647" s="1" t="s">
        <v>74</v>
      </c>
      <c r="O647" s="1" t="s">
        <v>74</v>
      </c>
      <c r="P647" s="1" t="s">
        <v>74</v>
      </c>
      <c r="Q647" s="1" t="s">
        <v>74</v>
      </c>
      <c r="R647" s="1" t="s">
        <v>74</v>
      </c>
      <c r="S647" s="1" t="s">
        <v>74</v>
      </c>
      <c r="T647" s="1" t="s">
        <v>74</v>
      </c>
      <c r="U647" s="1" t="s">
        <v>74</v>
      </c>
      <c r="V647" s="1" t="s">
        <v>6218</v>
      </c>
      <c r="W647" s="1" t="s">
        <v>74</v>
      </c>
      <c r="X647" s="1" t="s">
        <v>74</v>
      </c>
      <c r="Y647" s="1" t="s">
        <v>74</v>
      </c>
      <c r="Z647" s="1" t="s">
        <v>74</v>
      </c>
      <c r="AA647" s="1" t="s">
        <v>6219</v>
      </c>
      <c r="AB647" s="1" t="s">
        <v>74</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6220</v>
      </c>
      <c r="AP647" s="1" t="s">
        <v>74</v>
      </c>
      <c r="AQ647" s="1" t="s">
        <v>74</v>
      </c>
      <c r="AR647" s="1" t="s">
        <v>74</v>
      </c>
      <c r="AS647" s="1" t="s">
        <v>74</v>
      </c>
      <c r="AT647" s="1" t="s">
        <v>95</v>
      </c>
      <c r="AU647" s="1">
        <v>2001.0</v>
      </c>
      <c r="AV647" s="1">
        <v>89.0</v>
      </c>
      <c r="AW647" s="1">
        <v>6.0</v>
      </c>
      <c r="AX647" s="1" t="s">
        <v>74</v>
      </c>
      <c r="AY647" s="1" t="s">
        <v>74</v>
      </c>
      <c r="AZ647" s="1" t="s">
        <v>74</v>
      </c>
      <c r="BA647" s="1" t="s">
        <v>74</v>
      </c>
      <c r="BB647" s="1">
        <v>312.0</v>
      </c>
      <c r="BC647" s="1">
        <v>314.0</v>
      </c>
      <c r="BD647" s="1" t="s">
        <v>74</v>
      </c>
      <c r="BE647" s="1" t="s">
        <v>6221</v>
      </c>
      <c r="BF647" s="2" t="str">
        <f>HYPERLINK("http://dx.doi.org/10.1034/j.1600-0773.2001.d01-166.x","http://dx.doi.org/10.1034/j.1600-0773.2001.d01-166.x")</f>
        <v>http://dx.doi.org/10.1034/j.1600-0773.2001.d01-166.x</v>
      </c>
      <c r="BG647" s="1" t="s">
        <v>74</v>
      </c>
      <c r="BH647" s="1" t="s">
        <v>74</v>
      </c>
      <c r="BI647" s="1" t="s">
        <v>74</v>
      </c>
      <c r="BJ647" s="1" t="s">
        <v>74</v>
      </c>
      <c r="BK647" s="1" t="s">
        <v>74</v>
      </c>
      <c r="BL647" s="1" t="s">
        <v>74</v>
      </c>
      <c r="BM647" s="1" t="s">
        <v>74</v>
      </c>
      <c r="BN647" s="1">
        <v>1.1903957E7</v>
      </c>
      <c r="BO647" s="1" t="s">
        <v>74</v>
      </c>
      <c r="BP647" s="1" t="s">
        <v>74</v>
      </c>
      <c r="BQ647" s="1" t="s">
        <v>74</v>
      </c>
      <c r="BR647" s="1" t="s">
        <v>74</v>
      </c>
      <c r="BS647" s="1" t="s">
        <v>6222</v>
      </c>
      <c r="BT647" s="1" t="str">
        <f>HYPERLINK("https%3A%2F%2Fwww.webofscience.com%2Fwos%2Fwoscc%2Ffull-record%2FWOS:000172952300006","View Full Record in Web of Science")</f>
        <v>View Full Record in Web of Science</v>
      </c>
    </row>
    <row r="648" ht="12.75" customHeight="1">
      <c r="A648" s="1" t="s">
        <v>72</v>
      </c>
      <c r="B648" s="1" t="s">
        <v>6223</v>
      </c>
      <c r="C648" s="1" t="s">
        <v>74</v>
      </c>
      <c r="D648" s="1" t="s">
        <v>74</v>
      </c>
      <c r="E648" s="1" t="s">
        <v>74</v>
      </c>
      <c r="F648" s="1" t="s">
        <v>6223</v>
      </c>
      <c r="G648" s="1" t="s">
        <v>74</v>
      </c>
      <c r="H648" s="1" t="s">
        <v>74</v>
      </c>
      <c r="I648" s="1" t="s">
        <v>6224</v>
      </c>
      <c r="J648" s="1" t="s">
        <v>473</v>
      </c>
      <c r="K648" s="1" t="s">
        <v>74</v>
      </c>
      <c r="L648" s="1" t="s">
        <v>74</v>
      </c>
      <c r="M648" s="1" t="s">
        <v>74</v>
      </c>
      <c r="N648" s="1" t="s">
        <v>74</v>
      </c>
      <c r="O648" s="1" t="s">
        <v>74</v>
      </c>
      <c r="P648" s="1" t="s">
        <v>74</v>
      </c>
      <c r="Q648" s="1" t="s">
        <v>74</v>
      </c>
      <c r="R648" s="1" t="s">
        <v>74</v>
      </c>
      <c r="S648" s="1" t="s">
        <v>74</v>
      </c>
      <c r="T648" s="1" t="s">
        <v>74</v>
      </c>
      <c r="U648" s="1" t="s">
        <v>74</v>
      </c>
      <c r="V648" s="1" t="s">
        <v>74</v>
      </c>
      <c r="W648" s="1" t="s">
        <v>74</v>
      </c>
      <c r="X648" s="1" t="s">
        <v>74</v>
      </c>
      <c r="Y648" s="1" t="s">
        <v>74</v>
      </c>
      <c r="Z648" s="1" t="s">
        <v>74</v>
      </c>
      <c r="AA648" s="1" t="s">
        <v>74</v>
      </c>
      <c r="AB648" s="1" t="s">
        <v>74</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474</v>
      </c>
      <c r="AP648" s="1" t="s">
        <v>74</v>
      </c>
      <c r="AQ648" s="1" t="s">
        <v>74</v>
      </c>
      <c r="AR648" s="1" t="s">
        <v>74</v>
      </c>
      <c r="AS648" s="1" t="s">
        <v>74</v>
      </c>
      <c r="AT648" s="1" t="s">
        <v>120</v>
      </c>
      <c r="AU648" s="1">
        <v>2000.0</v>
      </c>
      <c r="AV648" s="1">
        <v>523.0</v>
      </c>
      <c r="AW648" s="1" t="s">
        <v>74</v>
      </c>
      <c r="AX648" s="1" t="s">
        <v>74</v>
      </c>
      <c r="AY648" s="1" t="s">
        <v>475</v>
      </c>
      <c r="AZ648" s="1" t="s">
        <v>74</v>
      </c>
      <c r="BA648" s="1" t="s">
        <v>74</v>
      </c>
      <c r="BB648" s="1" t="s">
        <v>6225</v>
      </c>
      <c r="BC648" s="1" t="s">
        <v>6225</v>
      </c>
      <c r="BD648" s="1" t="s">
        <v>74</v>
      </c>
      <c r="BE648" s="1" t="s">
        <v>74</v>
      </c>
      <c r="BF648" s="1" t="s">
        <v>74</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6226</v>
      </c>
      <c r="BT648" s="1" t="str">
        <f>HYPERLINK("https%3A%2F%2Fwww.webofscience.com%2Fwos%2Fwoscc%2Ffull-record%2FWOS:000085937100183","View Full Record in Web of Science")</f>
        <v>View Full Record in Web of Science</v>
      </c>
    </row>
    <row r="649" ht="12.75" customHeight="1">
      <c r="A649" s="1" t="s">
        <v>72</v>
      </c>
      <c r="B649" s="1" t="s">
        <v>6227</v>
      </c>
      <c r="C649" s="1" t="s">
        <v>74</v>
      </c>
      <c r="D649" s="1" t="s">
        <v>74</v>
      </c>
      <c r="E649" s="1" t="s">
        <v>74</v>
      </c>
      <c r="F649" s="1" t="s">
        <v>6227</v>
      </c>
      <c r="G649" s="1" t="s">
        <v>74</v>
      </c>
      <c r="H649" s="1" t="s">
        <v>74</v>
      </c>
      <c r="I649" s="1" t="s">
        <v>6228</v>
      </c>
      <c r="J649" s="1" t="s">
        <v>4689</v>
      </c>
      <c r="K649" s="1" t="s">
        <v>74</v>
      </c>
      <c r="L649" s="1" t="s">
        <v>74</v>
      </c>
      <c r="M649" s="1" t="s">
        <v>74</v>
      </c>
      <c r="N649" s="1" t="s">
        <v>74</v>
      </c>
      <c r="O649" s="1" t="s">
        <v>74</v>
      </c>
      <c r="P649" s="1" t="s">
        <v>74</v>
      </c>
      <c r="Q649" s="1" t="s">
        <v>74</v>
      </c>
      <c r="R649" s="1" t="s">
        <v>74</v>
      </c>
      <c r="S649" s="1" t="s">
        <v>74</v>
      </c>
      <c r="T649" s="1" t="s">
        <v>74</v>
      </c>
      <c r="U649" s="1" t="s">
        <v>74</v>
      </c>
      <c r="V649" s="1" t="s">
        <v>6229</v>
      </c>
      <c r="W649" s="1" t="s">
        <v>74</v>
      </c>
      <c r="X649" s="1" t="s">
        <v>74</v>
      </c>
      <c r="Y649" s="1" t="s">
        <v>74</v>
      </c>
      <c r="Z649" s="1" t="s">
        <v>74</v>
      </c>
      <c r="AA649" s="1" t="s">
        <v>74</v>
      </c>
      <c r="AB649" s="1" t="s">
        <v>74</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4693</v>
      </c>
      <c r="AP649" s="1" t="s">
        <v>4694</v>
      </c>
      <c r="AQ649" s="1" t="s">
        <v>74</v>
      </c>
      <c r="AR649" s="1" t="s">
        <v>74</v>
      </c>
      <c r="AS649" s="1" t="s">
        <v>74</v>
      </c>
      <c r="AT649" s="1" t="s">
        <v>2085</v>
      </c>
      <c r="AU649" s="1">
        <v>1997.0</v>
      </c>
      <c r="AV649" s="1">
        <v>428.0</v>
      </c>
      <c r="AW649" s="1" t="s">
        <v>428</v>
      </c>
      <c r="AX649" s="1" t="s">
        <v>74</v>
      </c>
      <c r="AY649" s="1" t="s">
        <v>74</v>
      </c>
      <c r="AZ649" s="1" t="s">
        <v>74</v>
      </c>
      <c r="BA649" s="1" t="s">
        <v>74</v>
      </c>
      <c r="BB649" s="1">
        <v>47.0</v>
      </c>
      <c r="BC649" s="1">
        <v>56.0</v>
      </c>
      <c r="BD649" s="1" t="s">
        <v>74</v>
      </c>
      <c r="BE649" s="1" t="s">
        <v>6230</v>
      </c>
      <c r="BF649" s="2" t="str">
        <f>HYPERLINK("http://dx.doi.org/10.1016/S0022-0728(96)05072-3","http://dx.doi.org/10.1016/S0022-0728(96)05072-3")</f>
        <v>http://dx.doi.org/10.1016/S0022-0728(96)05072-3</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6231</v>
      </c>
      <c r="BT649" s="1" t="str">
        <f>HYPERLINK("https%3A%2F%2Fwww.webofscience.com%2Fwos%2Fwoscc%2Ffull-record%2FWOS:A1997XK70800007","View Full Record in Web of Science")</f>
        <v>View Full Record in Web of Science</v>
      </c>
    </row>
    <row r="650" ht="12.75" customHeight="1">
      <c r="A650" s="1" t="s">
        <v>72</v>
      </c>
      <c r="B650" s="1" t="s">
        <v>6232</v>
      </c>
      <c r="C650" s="1" t="s">
        <v>74</v>
      </c>
      <c r="D650" s="1" t="s">
        <v>74</v>
      </c>
      <c r="E650" s="1" t="s">
        <v>74</v>
      </c>
      <c r="F650" s="1" t="s">
        <v>6232</v>
      </c>
      <c r="G650" s="1" t="s">
        <v>74</v>
      </c>
      <c r="H650" s="1" t="s">
        <v>74</v>
      </c>
      <c r="I650" s="1" t="s">
        <v>6233</v>
      </c>
      <c r="J650" s="1" t="s">
        <v>443</v>
      </c>
      <c r="K650" s="1" t="s">
        <v>74</v>
      </c>
      <c r="L650" s="1" t="s">
        <v>74</v>
      </c>
      <c r="M650" s="1" t="s">
        <v>74</v>
      </c>
      <c r="N650" s="1" t="s">
        <v>74</v>
      </c>
      <c r="O650" s="1" t="s">
        <v>74</v>
      </c>
      <c r="P650" s="1" t="s">
        <v>74</v>
      </c>
      <c r="Q650" s="1" t="s">
        <v>74</v>
      </c>
      <c r="R650" s="1" t="s">
        <v>74</v>
      </c>
      <c r="S650" s="1" t="s">
        <v>74</v>
      </c>
      <c r="T650" s="1" t="s">
        <v>74</v>
      </c>
      <c r="U650" s="1" t="s">
        <v>74</v>
      </c>
      <c r="V650" s="1" t="s">
        <v>6234</v>
      </c>
      <c r="W650" s="1" t="s">
        <v>74</v>
      </c>
      <c r="X650" s="1" t="s">
        <v>74</v>
      </c>
      <c r="Y650" s="1" t="s">
        <v>74</v>
      </c>
      <c r="Z650" s="1" t="s">
        <v>74</v>
      </c>
      <c r="AA650" s="1" t="s">
        <v>74</v>
      </c>
      <c r="AB650" s="1" t="s">
        <v>74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447</v>
      </c>
      <c r="AP650" s="1" t="s">
        <v>74</v>
      </c>
      <c r="AQ650" s="1" t="s">
        <v>74</v>
      </c>
      <c r="AR650" s="1" t="s">
        <v>74</v>
      </c>
      <c r="AS650" s="1" t="s">
        <v>74</v>
      </c>
      <c r="AT650" s="1" t="s">
        <v>647</v>
      </c>
      <c r="AU650" s="1">
        <v>1996.0</v>
      </c>
      <c r="AV650" s="1">
        <v>11.0</v>
      </c>
      <c r="AW650" s="1">
        <v>8.0</v>
      </c>
      <c r="AX650" s="1" t="s">
        <v>74</v>
      </c>
      <c r="AY650" s="1" t="s">
        <v>74</v>
      </c>
      <c r="AZ650" s="1" t="s">
        <v>74</v>
      </c>
      <c r="BA650" s="1" t="s">
        <v>74</v>
      </c>
      <c r="BB650" s="1">
        <v>1655.0</v>
      </c>
      <c r="BC650" s="1">
        <v>1660.0</v>
      </c>
      <c r="BD650" s="1" t="s">
        <v>74</v>
      </c>
      <c r="BE650" s="1" t="s">
        <v>74</v>
      </c>
      <c r="BF650" s="1" t="s">
        <v>74</v>
      </c>
      <c r="BG650" s="1" t="s">
        <v>74</v>
      </c>
      <c r="BH650" s="1" t="s">
        <v>74</v>
      </c>
      <c r="BI650" s="1" t="s">
        <v>74</v>
      </c>
      <c r="BJ650" s="1" t="s">
        <v>74</v>
      </c>
      <c r="BK650" s="1" t="s">
        <v>74</v>
      </c>
      <c r="BL650" s="1" t="s">
        <v>74</v>
      </c>
      <c r="BM650" s="1" t="s">
        <v>74</v>
      </c>
      <c r="BN650" s="1">
        <v>8921112.0</v>
      </c>
      <c r="BO650" s="1" t="s">
        <v>74</v>
      </c>
      <c r="BP650" s="1" t="s">
        <v>74</v>
      </c>
      <c r="BQ650" s="1" t="s">
        <v>74</v>
      </c>
      <c r="BR650" s="1" t="s">
        <v>74</v>
      </c>
      <c r="BS650" s="1" t="s">
        <v>6235</v>
      </c>
      <c r="BT650" s="1" t="str">
        <f>HYPERLINK("https%3A%2F%2Fwww.webofscience.com%2Fwos%2Fwoscc%2Ffull-record%2FWOS:A1996VH92400018","View Full Record in Web of Science")</f>
        <v>View Full Record in Web of Science</v>
      </c>
    </row>
    <row r="651" ht="12.75" customHeight="1">
      <c r="A651" s="1" t="s">
        <v>72</v>
      </c>
      <c r="B651" s="1" t="s">
        <v>6236</v>
      </c>
      <c r="C651" s="1" t="s">
        <v>74</v>
      </c>
      <c r="D651" s="1" t="s">
        <v>74</v>
      </c>
      <c r="E651" s="1" t="s">
        <v>74</v>
      </c>
      <c r="F651" s="1" t="s">
        <v>6236</v>
      </c>
      <c r="G651" s="1" t="s">
        <v>74</v>
      </c>
      <c r="H651" s="1" t="s">
        <v>74</v>
      </c>
      <c r="I651" s="1" t="s">
        <v>6237</v>
      </c>
      <c r="J651" s="1" t="s">
        <v>6238</v>
      </c>
      <c r="K651" s="1" t="s">
        <v>74</v>
      </c>
      <c r="L651" s="1" t="s">
        <v>74</v>
      </c>
      <c r="M651" s="1" t="s">
        <v>74</v>
      </c>
      <c r="N651" s="1" t="s">
        <v>74</v>
      </c>
      <c r="O651" s="1" t="s">
        <v>6239</v>
      </c>
      <c r="P651" s="1" t="s">
        <v>6240</v>
      </c>
      <c r="Q651" s="1" t="s">
        <v>6241</v>
      </c>
      <c r="R651" s="1" t="s">
        <v>6242</v>
      </c>
      <c r="S651" s="1" t="s">
        <v>6243</v>
      </c>
      <c r="T651" s="1" t="s">
        <v>74</v>
      </c>
      <c r="U651" s="1" t="s">
        <v>74</v>
      </c>
      <c r="V651" s="1" t="s">
        <v>74</v>
      </c>
      <c r="W651" s="1" t="s">
        <v>74</v>
      </c>
      <c r="X651" s="1" t="s">
        <v>74</v>
      </c>
      <c r="Y651" s="1" t="s">
        <v>74</v>
      </c>
      <c r="Z651" s="1" t="s">
        <v>74</v>
      </c>
      <c r="AA651" s="1" t="s">
        <v>74</v>
      </c>
      <c r="AB651" s="1" t="s">
        <v>6244</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6245</v>
      </c>
      <c r="AP651" s="1" t="s">
        <v>74</v>
      </c>
      <c r="AQ651" s="1" t="s">
        <v>74</v>
      </c>
      <c r="AR651" s="1" t="s">
        <v>74</v>
      </c>
      <c r="AS651" s="1" t="s">
        <v>74</v>
      </c>
      <c r="AT651" s="1" t="s">
        <v>187</v>
      </c>
      <c r="AU651" s="1">
        <v>1996.0</v>
      </c>
      <c r="AV651" s="1">
        <v>24.0</v>
      </c>
      <c r="AW651" s="1">
        <v>2.0</v>
      </c>
      <c r="AX651" s="1" t="s">
        <v>74</v>
      </c>
      <c r="AY651" s="1" t="s">
        <v>74</v>
      </c>
      <c r="AZ651" s="1" t="s">
        <v>74</v>
      </c>
      <c r="BA651" s="1" t="s">
        <v>74</v>
      </c>
      <c r="BB651" s="1">
        <v>102.0</v>
      </c>
      <c r="BC651" s="1">
        <v>105.0</v>
      </c>
      <c r="BD651" s="1" t="s">
        <v>74</v>
      </c>
      <c r="BE651" s="1" t="s">
        <v>6246</v>
      </c>
      <c r="BF651" s="2" t="str">
        <f>HYPERLINK("http://dx.doi.org/10.1016/0307-4412(96)00019-2","http://dx.doi.org/10.1016/0307-4412(96)00019-2")</f>
        <v>http://dx.doi.org/10.1016/0307-4412(96)00019-2</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6247</v>
      </c>
      <c r="BT651" s="1" t="str">
        <f>HYPERLINK("https%3A%2F%2Fwww.webofscience.com%2Fwos%2Fwoscc%2Ffull-record%2FWOS:A1996UV47200017","View Full Record in Web of Science")</f>
        <v>View Full Record in Web of Science</v>
      </c>
    </row>
    <row r="652" ht="12.75" customHeight="1">
      <c r="A652" s="1" t="s">
        <v>72</v>
      </c>
      <c r="B652" s="1" t="s">
        <v>6248</v>
      </c>
      <c r="C652" s="1" t="s">
        <v>74</v>
      </c>
      <c r="D652" s="1" t="s">
        <v>74</v>
      </c>
      <c r="E652" s="1" t="s">
        <v>74</v>
      </c>
      <c r="F652" s="1" t="s">
        <v>6248</v>
      </c>
      <c r="G652" s="1" t="s">
        <v>74</v>
      </c>
      <c r="H652" s="1" t="s">
        <v>74</v>
      </c>
      <c r="I652" s="1" t="s">
        <v>6249</v>
      </c>
      <c r="J652" s="1" t="s">
        <v>6250</v>
      </c>
      <c r="K652" s="1" t="s">
        <v>74</v>
      </c>
      <c r="L652" s="1" t="s">
        <v>74</v>
      </c>
      <c r="M652" s="1" t="s">
        <v>74</v>
      </c>
      <c r="N652" s="1" t="s">
        <v>74</v>
      </c>
      <c r="O652" s="1" t="s">
        <v>74</v>
      </c>
      <c r="P652" s="1" t="s">
        <v>74</v>
      </c>
      <c r="Q652" s="1" t="s">
        <v>74</v>
      </c>
      <c r="R652" s="1" t="s">
        <v>74</v>
      </c>
      <c r="S652" s="1" t="s">
        <v>74</v>
      </c>
      <c r="T652" s="1" t="s">
        <v>74</v>
      </c>
      <c r="U652" s="1" t="s">
        <v>74</v>
      </c>
      <c r="V652" s="1" t="s">
        <v>6251</v>
      </c>
      <c r="W652" s="1" t="s">
        <v>74</v>
      </c>
      <c r="X652" s="1" t="s">
        <v>74</v>
      </c>
      <c r="Y652" s="1" t="s">
        <v>74</v>
      </c>
      <c r="Z652" s="1" t="s">
        <v>74</v>
      </c>
      <c r="AA652" s="1" t="s">
        <v>74</v>
      </c>
      <c r="AB652" s="1" t="s">
        <v>74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6252</v>
      </c>
      <c r="AP652" s="1" t="s">
        <v>74</v>
      </c>
      <c r="AQ652" s="1" t="s">
        <v>74</v>
      </c>
      <c r="AR652" s="1" t="s">
        <v>74</v>
      </c>
      <c r="AS652" s="1" t="s">
        <v>74</v>
      </c>
      <c r="AT652" s="1" t="s">
        <v>164</v>
      </c>
      <c r="AU652" s="1">
        <v>1987.0</v>
      </c>
      <c r="AV652" s="1">
        <v>15.0</v>
      </c>
      <c r="AW652" s="1">
        <v>1.0</v>
      </c>
      <c r="AX652" s="1" t="s">
        <v>74</v>
      </c>
      <c r="AY652" s="1" t="s">
        <v>74</v>
      </c>
      <c r="AZ652" s="1" t="s">
        <v>74</v>
      </c>
      <c r="BA652" s="1" t="s">
        <v>74</v>
      </c>
      <c r="BB652" s="1">
        <v>205.0</v>
      </c>
      <c r="BC652" s="1">
        <v>214.0</v>
      </c>
      <c r="BD652" s="1" t="s">
        <v>74</v>
      </c>
      <c r="BE652" s="1" t="s">
        <v>74</v>
      </c>
      <c r="BF652" s="1" t="s">
        <v>74</v>
      </c>
      <c r="BG652" s="1" t="s">
        <v>74</v>
      </c>
      <c r="BH652" s="1" t="s">
        <v>74</v>
      </c>
      <c r="BI652" s="1" t="s">
        <v>74</v>
      </c>
      <c r="BJ652" s="1" t="s">
        <v>74</v>
      </c>
      <c r="BK652" s="1" t="s">
        <v>74</v>
      </c>
      <c r="BL652" s="1" t="s">
        <v>74</v>
      </c>
      <c r="BM652" s="1" t="s">
        <v>74</v>
      </c>
      <c r="BN652" s="1">
        <v>3453687.0</v>
      </c>
      <c r="BO652" s="1" t="s">
        <v>74</v>
      </c>
      <c r="BP652" s="1" t="s">
        <v>74</v>
      </c>
      <c r="BQ652" s="1" t="s">
        <v>74</v>
      </c>
      <c r="BR652" s="1" t="s">
        <v>74</v>
      </c>
      <c r="BS652" s="1" t="s">
        <v>6253</v>
      </c>
      <c r="BT652" s="1" t="str">
        <f>HYPERLINK("https%3A%2F%2Fwww.webofscience.com%2Fwos%2Fwoscc%2Ffull-record%2FWOS:A1987J601900024","View Full Record in Web of Science")</f>
        <v>View Full Record in Web of Science</v>
      </c>
    </row>
    <row r="653" ht="12.75" customHeight="1">
      <c r="A653" s="1" t="s">
        <v>72</v>
      </c>
      <c r="B653" s="1" t="s">
        <v>6254</v>
      </c>
      <c r="C653" s="1" t="s">
        <v>74</v>
      </c>
      <c r="D653" s="1" t="s">
        <v>74</v>
      </c>
      <c r="E653" s="1" t="s">
        <v>74</v>
      </c>
      <c r="F653" s="1" t="s">
        <v>6254</v>
      </c>
      <c r="G653" s="1" t="s">
        <v>74</v>
      </c>
      <c r="H653" s="1" t="s">
        <v>74</v>
      </c>
      <c r="I653" s="1" t="s">
        <v>6255</v>
      </c>
      <c r="J653" s="1" t="s">
        <v>3853</v>
      </c>
      <c r="K653" s="1" t="s">
        <v>74</v>
      </c>
      <c r="L653" s="1" t="s">
        <v>74</v>
      </c>
      <c r="M653" s="1" t="s">
        <v>74</v>
      </c>
      <c r="N653" s="1" t="s">
        <v>74</v>
      </c>
      <c r="O653" s="1" t="s">
        <v>74</v>
      </c>
      <c r="P653" s="1" t="s">
        <v>74</v>
      </c>
      <c r="Q653" s="1" t="s">
        <v>74</v>
      </c>
      <c r="R653" s="1" t="s">
        <v>74</v>
      </c>
      <c r="S653" s="1" t="s">
        <v>74</v>
      </c>
      <c r="T653" s="1" t="s">
        <v>74</v>
      </c>
      <c r="U653" s="1" t="s">
        <v>74</v>
      </c>
      <c r="V653" s="1" t="s">
        <v>74</v>
      </c>
      <c r="W653" s="1" t="s">
        <v>74</v>
      </c>
      <c r="X653" s="1" t="s">
        <v>74</v>
      </c>
      <c r="Y653" s="1" t="s">
        <v>74</v>
      </c>
      <c r="Z653" s="1" t="s">
        <v>74</v>
      </c>
      <c r="AA653" s="1" t="s">
        <v>5588</v>
      </c>
      <c r="AB653" s="1" t="s">
        <v>5589</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3857</v>
      </c>
      <c r="AP653" s="1" t="s">
        <v>74</v>
      </c>
      <c r="AQ653" s="1" t="s">
        <v>74</v>
      </c>
      <c r="AR653" s="1" t="s">
        <v>74</v>
      </c>
      <c r="AS653" s="1" t="s">
        <v>74</v>
      </c>
      <c r="AT653" s="1" t="s">
        <v>74</v>
      </c>
      <c r="AU653" s="1">
        <v>1985.0</v>
      </c>
      <c r="AV653" s="1">
        <v>95.0</v>
      </c>
      <c r="AW653" s="1">
        <v>2.0</v>
      </c>
      <c r="AX653" s="1" t="s">
        <v>74</v>
      </c>
      <c r="AY653" s="1" t="s">
        <v>74</v>
      </c>
      <c r="AZ653" s="1" t="s">
        <v>74</v>
      </c>
      <c r="BA653" s="1" t="s">
        <v>74</v>
      </c>
      <c r="BB653" s="1">
        <v>520.0</v>
      </c>
      <c r="BC653" s="1">
        <v>526.0</v>
      </c>
      <c r="BD653" s="1" t="s">
        <v>74</v>
      </c>
      <c r="BE653" s="1" t="s">
        <v>6256</v>
      </c>
      <c r="BF653" s="2" t="str">
        <f>HYPERLINK("http://dx.doi.org/10.1016/0021-9517(85)90130-7","http://dx.doi.org/10.1016/0021-9517(85)90130-7")</f>
        <v>http://dx.doi.org/10.1016/0021-9517(85)90130-7</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6257</v>
      </c>
      <c r="BT653" s="1" t="str">
        <f>HYPERLINK("https%3A%2F%2Fwww.webofscience.com%2Fwos%2Fwoscc%2Ffull-record%2FWOS:A1985ARP0600020","View Full Record in Web of Science")</f>
        <v>View Full Record in Web of Science</v>
      </c>
    </row>
    <row r="654" ht="12.75" customHeight="1">
      <c r="A654" s="1" t="s">
        <v>72</v>
      </c>
      <c r="B654" s="1" t="s">
        <v>6258</v>
      </c>
      <c r="C654" s="1" t="s">
        <v>74</v>
      </c>
      <c r="D654" s="1" t="s">
        <v>74</v>
      </c>
      <c r="E654" s="1" t="s">
        <v>74</v>
      </c>
      <c r="F654" s="1" t="s">
        <v>6259</v>
      </c>
      <c r="G654" s="1" t="s">
        <v>74</v>
      </c>
      <c r="H654" s="1" t="s">
        <v>74</v>
      </c>
      <c r="I654" s="1" t="s">
        <v>6260</v>
      </c>
      <c r="J654" s="1" t="s">
        <v>138</v>
      </c>
      <c r="K654" s="1" t="s">
        <v>74</v>
      </c>
      <c r="L654" s="1" t="s">
        <v>74</v>
      </c>
      <c r="M654" s="1" t="s">
        <v>74</v>
      </c>
      <c r="N654" s="1" t="s">
        <v>74</v>
      </c>
      <c r="O654" s="1" t="s">
        <v>74</v>
      </c>
      <c r="P654" s="1" t="s">
        <v>74</v>
      </c>
      <c r="Q654" s="1" t="s">
        <v>74</v>
      </c>
      <c r="R654" s="1" t="s">
        <v>74</v>
      </c>
      <c r="S654" s="1" t="s">
        <v>74</v>
      </c>
      <c r="T654" s="1" t="s">
        <v>74</v>
      </c>
      <c r="U654" s="1" t="s">
        <v>74</v>
      </c>
      <c r="V654" s="1" t="s">
        <v>6261</v>
      </c>
      <c r="W654" s="1" t="s">
        <v>74</v>
      </c>
      <c r="X654" s="1" t="s">
        <v>74</v>
      </c>
      <c r="Y654" s="1" t="s">
        <v>74</v>
      </c>
      <c r="Z654" s="1" t="s">
        <v>74</v>
      </c>
      <c r="AA654" s="1" t="s">
        <v>74</v>
      </c>
      <c r="AB654" s="1" t="s">
        <v>6262</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74</v>
      </c>
      <c r="AP654" s="1" t="s">
        <v>142</v>
      </c>
      <c r="AQ654" s="1" t="s">
        <v>74</v>
      </c>
      <c r="AR654" s="1" t="s">
        <v>74</v>
      </c>
      <c r="AS654" s="1" t="s">
        <v>74</v>
      </c>
      <c r="AT654" s="1" t="s">
        <v>596</v>
      </c>
      <c r="AU654" s="1">
        <v>2024.0</v>
      </c>
      <c r="AV654" s="1">
        <v>16.0</v>
      </c>
      <c r="AW654" s="1">
        <v>22.0</v>
      </c>
      <c r="AX654" s="1" t="s">
        <v>74</v>
      </c>
      <c r="AY654" s="1" t="s">
        <v>74</v>
      </c>
      <c r="AZ654" s="1" t="s">
        <v>74</v>
      </c>
      <c r="BA654" s="1" t="s">
        <v>74</v>
      </c>
      <c r="BB654" s="1" t="s">
        <v>74</v>
      </c>
      <c r="BC654" s="1" t="s">
        <v>74</v>
      </c>
      <c r="BD654" s="1">
        <v>9778.0</v>
      </c>
      <c r="BE654" s="1" t="s">
        <v>6263</v>
      </c>
      <c r="BF654" s="2" t="str">
        <f>HYPERLINK("http://dx.doi.org/10.3390/su16229778","http://dx.doi.org/10.3390/su16229778")</f>
        <v>http://dx.doi.org/10.3390/su16229778</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6264</v>
      </c>
      <c r="BT654" s="1" t="str">
        <f>HYPERLINK("https%3A%2F%2Fwww.webofscience.com%2Fwos%2Fwoscc%2Ffull-record%2FWOS:001366494200001","View Full Record in Web of Science")</f>
        <v>View Full Record in Web of Science</v>
      </c>
    </row>
    <row r="655" ht="12.75" customHeight="1">
      <c r="A655" s="1" t="s">
        <v>72</v>
      </c>
      <c r="B655" s="1" t="s">
        <v>6265</v>
      </c>
      <c r="C655" s="1" t="s">
        <v>74</v>
      </c>
      <c r="D655" s="1" t="s">
        <v>74</v>
      </c>
      <c r="E655" s="1" t="s">
        <v>74</v>
      </c>
      <c r="F655" s="1" t="s">
        <v>6266</v>
      </c>
      <c r="G655" s="1" t="s">
        <v>74</v>
      </c>
      <c r="H655" s="1" t="s">
        <v>74</v>
      </c>
      <c r="I655" s="1" t="s">
        <v>6267</v>
      </c>
      <c r="J655" s="1" t="s">
        <v>6268</v>
      </c>
      <c r="K655" s="1" t="s">
        <v>74</v>
      </c>
      <c r="L655" s="1" t="s">
        <v>74</v>
      </c>
      <c r="M655" s="1" t="s">
        <v>74</v>
      </c>
      <c r="N655" s="1" t="s">
        <v>74</v>
      </c>
      <c r="O655" s="1" t="s">
        <v>74</v>
      </c>
      <c r="P655" s="1" t="s">
        <v>74</v>
      </c>
      <c r="Q655" s="1" t="s">
        <v>74</v>
      </c>
      <c r="R655" s="1" t="s">
        <v>74</v>
      </c>
      <c r="S655" s="1" t="s">
        <v>74</v>
      </c>
      <c r="T655" s="1" t="s">
        <v>74</v>
      </c>
      <c r="U655" s="1" t="s">
        <v>74</v>
      </c>
      <c r="V655" s="1" t="s">
        <v>6269</v>
      </c>
      <c r="W655" s="1" t="s">
        <v>74</v>
      </c>
      <c r="X655" s="1" t="s">
        <v>74</v>
      </c>
      <c r="Y655" s="1" t="s">
        <v>74</v>
      </c>
      <c r="Z655" s="1" t="s">
        <v>74</v>
      </c>
      <c r="AA655" s="1" t="s">
        <v>6270</v>
      </c>
      <c r="AB655" s="1" t="s">
        <v>6271</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6272</v>
      </c>
      <c r="AP655" s="1" t="s">
        <v>6273</v>
      </c>
      <c r="AQ655" s="1" t="s">
        <v>74</v>
      </c>
      <c r="AR655" s="1" t="s">
        <v>74</v>
      </c>
      <c r="AS655" s="1" t="s">
        <v>74</v>
      </c>
      <c r="AT655" s="1" t="s">
        <v>1474</v>
      </c>
      <c r="AU655" s="1">
        <v>2024.0</v>
      </c>
      <c r="AV655" s="1">
        <v>31.0</v>
      </c>
      <c r="AW655" s="1" t="s">
        <v>74</v>
      </c>
      <c r="AX655" s="1" t="s">
        <v>74</v>
      </c>
      <c r="AY655" s="1" t="s">
        <v>74</v>
      </c>
      <c r="AZ655" s="1" t="s">
        <v>74</v>
      </c>
      <c r="BA655" s="1" t="s">
        <v>74</v>
      </c>
      <c r="BB655" s="1">
        <v>3014.0</v>
      </c>
      <c r="BC655" s="1">
        <v>3024.0</v>
      </c>
      <c r="BD655" s="1" t="s">
        <v>74</v>
      </c>
      <c r="BE655" s="1" t="s">
        <v>6274</v>
      </c>
      <c r="BF655" s="2" t="str">
        <f>HYPERLINK("http://dx.doi.org/10.1016/j.jmrt.2024.07.009","http://dx.doi.org/10.1016/j.jmrt.2024.07.009")</f>
        <v>http://dx.doi.org/10.1016/j.jmrt.2024.07.009</v>
      </c>
      <c r="BG655" s="1" t="s">
        <v>74</v>
      </c>
      <c r="BH655" s="1" t="s">
        <v>6275</v>
      </c>
      <c r="BI655" s="1" t="s">
        <v>74</v>
      </c>
      <c r="BJ655" s="1" t="s">
        <v>74</v>
      </c>
      <c r="BK655" s="1" t="s">
        <v>74</v>
      </c>
      <c r="BL655" s="1" t="s">
        <v>74</v>
      </c>
      <c r="BM655" s="1" t="s">
        <v>74</v>
      </c>
      <c r="BN655" s="1" t="s">
        <v>74</v>
      </c>
      <c r="BO655" s="1" t="s">
        <v>74</v>
      </c>
      <c r="BP655" s="1" t="s">
        <v>74</v>
      </c>
      <c r="BQ655" s="1" t="s">
        <v>74</v>
      </c>
      <c r="BR655" s="1" t="s">
        <v>74</v>
      </c>
      <c r="BS655" s="1" t="s">
        <v>6276</v>
      </c>
      <c r="BT655" s="1" t="str">
        <f>HYPERLINK("https%3A%2F%2Fwww.webofscience.com%2Fwos%2Fwoscc%2Ffull-record%2FWOS:001271718400001","View Full Record in Web of Science")</f>
        <v>View Full Record in Web of Science</v>
      </c>
    </row>
    <row r="656" ht="12.75" customHeight="1">
      <c r="A656" s="1" t="s">
        <v>72</v>
      </c>
      <c r="B656" s="1" t="s">
        <v>6277</v>
      </c>
      <c r="C656" s="1" t="s">
        <v>74</v>
      </c>
      <c r="D656" s="1" t="s">
        <v>74</v>
      </c>
      <c r="E656" s="1" t="s">
        <v>74</v>
      </c>
      <c r="F656" s="1" t="s">
        <v>6278</v>
      </c>
      <c r="G656" s="1" t="s">
        <v>74</v>
      </c>
      <c r="H656" s="1" t="s">
        <v>74</v>
      </c>
      <c r="I656" s="1" t="s">
        <v>6279</v>
      </c>
      <c r="J656" s="1" t="s">
        <v>6280</v>
      </c>
      <c r="K656" s="1" t="s">
        <v>74</v>
      </c>
      <c r="L656" s="1" t="s">
        <v>74</v>
      </c>
      <c r="M656" s="1" t="s">
        <v>74</v>
      </c>
      <c r="N656" s="1" t="s">
        <v>74</v>
      </c>
      <c r="O656" s="1" t="s">
        <v>74</v>
      </c>
      <c r="P656" s="1" t="s">
        <v>74</v>
      </c>
      <c r="Q656" s="1" t="s">
        <v>74</v>
      </c>
      <c r="R656" s="1" t="s">
        <v>74</v>
      </c>
      <c r="S656" s="1" t="s">
        <v>74</v>
      </c>
      <c r="T656" s="1" t="s">
        <v>74</v>
      </c>
      <c r="U656" s="1" t="s">
        <v>74</v>
      </c>
      <c r="V656" s="1" t="s">
        <v>6281</v>
      </c>
      <c r="W656" s="1" t="s">
        <v>74</v>
      </c>
      <c r="X656" s="1" t="s">
        <v>74</v>
      </c>
      <c r="Y656" s="1" t="s">
        <v>74</v>
      </c>
      <c r="Z656" s="1" t="s">
        <v>74</v>
      </c>
      <c r="AA656" s="1" t="s">
        <v>6282</v>
      </c>
      <c r="AB656" s="1" t="s">
        <v>6283</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74</v>
      </c>
      <c r="AP656" s="1" t="s">
        <v>6284</v>
      </c>
      <c r="AQ656" s="1" t="s">
        <v>74</v>
      </c>
      <c r="AR656" s="1" t="s">
        <v>74</v>
      </c>
      <c r="AS656" s="1" t="s">
        <v>74</v>
      </c>
      <c r="AT656" s="1" t="s">
        <v>6285</v>
      </c>
      <c r="AU656" s="1">
        <v>2024.0</v>
      </c>
      <c r="AV656" s="1">
        <v>8.0</v>
      </c>
      <c r="AW656" s="1">
        <v>1.0</v>
      </c>
      <c r="AX656" s="1" t="s">
        <v>74</v>
      </c>
      <c r="AY656" s="1" t="s">
        <v>74</v>
      </c>
      <c r="AZ656" s="1" t="s">
        <v>74</v>
      </c>
      <c r="BA656" s="1" t="s">
        <v>74</v>
      </c>
      <c r="BB656" s="1" t="s">
        <v>74</v>
      </c>
      <c r="BC656" s="1" t="s">
        <v>74</v>
      </c>
      <c r="BD656" s="1">
        <v>41.0</v>
      </c>
      <c r="BE656" s="1" t="s">
        <v>6286</v>
      </c>
      <c r="BF656" s="2" t="str">
        <f>HYPERLINK("http://dx.doi.org/10.1038/s41699-024-00478-5","http://dx.doi.org/10.1038/s41699-024-00478-5")</f>
        <v>http://dx.doi.org/10.1038/s41699-024-00478-5</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6287</v>
      </c>
      <c r="BT656" s="1" t="str">
        <f>HYPERLINK("https%3A%2F%2Fwww.webofscience.com%2Fwos%2Fwoscc%2Ffull-record%2FWOS:001259609900001","View Full Record in Web of Science")</f>
        <v>View Full Record in Web of Science</v>
      </c>
    </row>
    <row r="657" ht="12.75" customHeight="1">
      <c r="A657" s="1" t="s">
        <v>72</v>
      </c>
      <c r="B657" s="1" t="s">
        <v>6288</v>
      </c>
      <c r="C657" s="1" t="s">
        <v>74</v>
      </c>
      <c r="D657" s="1" t="s">
        <v>74</v>
      </c>
      <c r="E657" s="1" t="s">
        <v>74</v>
      </c>
      <c r="F657" s="1" t="s">
        <v>6289</v>
      </c>
      <c r="G657" s="1" t="s">
        <v>74</v>
      </c>
      <c r="H657" s="1" t="s">
        <v>74</v>
      </c>
      <c r="I657" s="1" t="s">
        <v>6290</v>
      </c>
      <c r="J657" s="1" t="s">
        <v>6291</v>
      </c>
      <c r="K657" s="1" t="s">
        <v>74</v>
      </c>
      <c r="L657" s="1" t="s">
        <v>74</v>
      </c>
      <c r="M657" s="1" t="s">
        <v>74</v>
      </c>
      <c r="N657" s="1" t="s">
        <v>74</v>
      </c>
      <c r="O657" s="1" t="s">
        <v>74</v>
      </c>
      <c r="P657" s="1" t="s">
        <v>74</v>
      </c>
      <c r="Q657" s="1" t="s">
        <v>74</v>
      </c>
      <c r="R657" s="1" t="s">
        <v>74</v>
      </c>
      <c r="S657" s="1" t="s">
        <v>74</v>
      </c>
      <c r="T657" s="1" t="s">
        <v>74</v>
      </c>
      <c r="U657" s="1" t="s">
        <v>74</v>
      </c>
      <c r="V657" s="1" t="s">
        <v>6292</v>
      </c>
      <c r="W657" s="1" t="s">
        <v>74</v>
      </c>
      <c r="X657" s="1" t="s">
        <v>74</v>
      </c>
      <c r="Y657" s="1" t="s">
        <v>74</v>
      </c>
      <c r="Z657" s="1" t="s">
        <v>74</v>
      </c>
      <c r="AA657" s="1" t="s">
        <v>6293</v>
      </c>
      <c r="AB657" s="1" t="s">
        <v>6294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6295</v>
      </c>
      <c r="AP657" s="1" t="s">
        <v>6296</v>
      </c>
      <c r="AQ657" s="1" t="s">
        <v>74</v>
      </c>
      <c r="AR657" s="1" t="s">
        <v>74</v>
      </c>
      <c r="AS657" s="1" t="s">
        <v>74</v>
      </c>
      <c r="AT657" s="1" t="s">
        <v>187</v>
      </c>
      <c r="AU657" s="1">
        <v>2023.0</v>
      </c>
      <c r="AV657" s="1">
        <v>25.0</v>
      </c>
      <c r="AW657" s="1">
        <v>4.0</v>
      </c>
      <c r="AX657" s="1" t="s">
        <v>74</v>
      </c>
      <c r="AY657" s="1" t="s">
        <v>74</v>
      </c>
      <c r="AZ657" s="1" t="s">
        <v>74</v>
      </c>
      <c r="BA657" s="1" t="s">
        <v>74</v>
      </c>
      <c r="BB657" s="1" t="s">
        <v>74</v>
      </c>
      <c r="BC657" s="1" t="s">
        <v>74</v>
      </c>
      <c r="BD657" s="1">
        <v>66.0</v>
      </c>
      <c r="BE657" s="1" t="s">
        <v>6297</v>
      </c>
      <c r="BF657" s="2" t="str">
        <f>HYPERLINK("http://dx.doi.org/10.1007/s11051-023-05711-8","http://dx.doi.org/10.1007/s11051-023-05711-8")</f>
        <v>http://dx.doi.org/10.1007/s11051-023-05711-8</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6298</v>
      </c>
      <c r="BT657" s="1" t="str">
        <f>HYPERLINK("https%3A%2F%2Fwww.webofscience.com%2Fwos%2Fwoscc%2Ffull-record%2FWOS:000959791900001","View Full Record in Web of Science")</f>
        <v>View Full Record in Web of Science</v>
      </c>
    </row>
    <row r="658" ht="12.75" customHeight="1">
      <c r="A658" s="1" t="s">
        <v>72</v>
      </c>
      <c r="B658" s="1" t="s">
        <v>6299</v>
      </c>
      <c r="C658" s="1" t="s">
        <v>74</v>
      </c>
      <c r="D658" s="1" t="s">
        <v>74</v>
      </c>
      <c r="E658" s="1" t="s">
        <v>74</v>
      </c>
      <c r="F658" s="1" t="s">
        <v>6300</v>
      </c>
      <c r="G658" s="1" t="s">
        <v>74</v>
      </c>
      <c r="H658" s="1" t="s">
        <v>74</v>
      </c>
      <c r="I658" s="1" t="s">
        <v>6301</v>
      </c>
      <c r="J658" s="1" t="s">
        <v>6302</v>
      </c>
      <c r="K658" s="1" t="s">
        <v>74</v>
      </c>
      <c r="L658" s="1" t="s">
        <v>74</v>
      </c>
      <c r="M658" s="1" t="s">
        <v>74</v>
      </c>
      <c r="N658" s="1" t="s">
        <v>74</v>
      </c>
      <c r="O658" s="1" t="s">
        <v>74</v>
      </c>
      <c r="P658" s="1" t="s">
        <v>74</v>
      </c>
      <c r="Q658" s="1" t="s">
        <v>74</v>
      </c>
      <c r="R658" s="1" t="s">
        <v>74</v>
      </c>
      <c r="S658" s="1" t="s">
        <v>74</v>
      </c>
      <c r="T658" s="1" t="s">
        <v>74</v>
      </c>
      <c r="U658" s="1" t="s">
        <v>74</v>
      </c>
      <c r="V658" s="1" t="s">
        <v>6303</v>
      </c>
      <c r="W658" s="1" t="s">
        <v>74</v>
      </c>
      <c r="X658" s="1" t="s">
        <v>74</v>
      </c>
      <c r="Y658" s="1" t="s">
        <v>74</v>
      </c>
      <c r="Z658" s="1" t="s">
        <v>74</v>
      </c>
      <c r="AA658" s="1" t="s">
        <v>6304</v>
      </c>
      <c r="AB658" s="1" t="s">
        <v>6305</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6306</v>
      </c>
      <c r="AP658" s="1" t="s">
        <v>74</v>
      </c>
      <c r="AQ658" s="1" t="s">
        <v>74</v>
      </c>
      <c r="AR658" s="1" t="s">
        <v>74</v>
      </c>
      <c r="AS658" s="1" t="s">
        <v>74</v>
      </c>
      <c r="AT658" s="1" t="s">
        <v>554</v>
      </c>
      <c r="AU658" s="1">
        <v>2022.0</v>
      </c>
      <c r="AV658" s="1">
        <v>47.0</v>
      </c>
      <c r="AW658" s="1" t="s">
        <v>74</v>
      </c>
      <c r="AX658" s="1" t="s">
        <v>74</v>
      </c>
      <c r="AY658" s="1" t="s">
        <v>74</v>
      </c>
      <c r="AZ658" s="1" t="s">
        <v>74</v>
      </c>
      <c r="BA658" s="1" t="s">
        <v>74</v>
      </c>
      <c r="BB658" s="1" t="s">
        <v>74</v>
      </c>
      <c r="BC658" s="1" t="s">
        <v>74</v>
      </c>
      <c r="BD658" s="1">
        <v>102826.0</v>
      </c>
      <c r="BE658" s="1" t="s">
        <v>6307</v>
      </c>
      <c r="BF658" s="2" t="str">
        <f>HYPERLINK("http://dx.doi.org/10.1016/j.jwpe.2022.102826","http://dx.doi.org/10.1016/j.jwpe.2022.102826")</f>
        <v>http://dx.doi.org/10.1016/j.jwpe.2022.102826</v>
      </c>
      <c r="BG658" s="1" t="s">
        <v>74</v>
      </c>
      <c r="BH658" s="1" t="s">
        <v>5947</v>
      </c>
      <c r="BI658" s="1" t="s">
        <v>74</v>
      </c>
      <c r="BJ658" s="1" t="s">
        <v>74</v>
      </c>
      <c r="BK658" s="1" t="s">
        <v>74</v>
      </c>
      <c r="BL658" s="1" t="s">
        <v>74</v>
      </c>
      <c r="BM658" s="1" t="s">
        <v>74</v>
      </c>
      <c r="BN658" s="1" t="s">
        <v>74</v>
      </c>
      <c r="BO658" s="1" t="s">
        <v>74</v>
      </c>
      <c r="BP658" s="1" t="s">
        <v>74</v>
      </c>
      <c r="BQ658" s="1" t="s">
        <v>74</v>
      </c>
      <c r="BR658" s="1" t="s">
        <v>74</v>
      </c>
      <c r="BS658" s="1" t="s">
        <v>6308</v>
      </c>
      <c r="BT658" s="1" t="str">
        <f>HYPERLINK("https%3A%2F%2Fwww.webofscience.com%2Fwos%2Fwoscc%2Ffull-record%2FWOS:000804552600007","View Full Record in Web of Science")</f>
        <v>View Full Record in Web of Science</v>
      </c>
    </row>
    <row r="659" ht="12.75" customHeight="1">
      <c r="A659" s="1" t="s">
        <v>72</v>
      </c>
      <c r="B659" s="1" t="s">
        <v>6309</v>
      </c>
      <c r="C659" s="1" t="s">
        <v>74</v>
      </c>
      <c r="D659" s="1" t="s">
        <v>74</v>
      </c>
      <c r="E659" s="1" t="s">
        <v>74</v>
      </c>
      <c r="F659" s="1" t="s">
        <v>6310</v>
      </c>
      <c r="G659" s="1" t="s">
        <v>74</v>
      </c>
      <c r="H659" s="1" t="s">
        <v>74</v>
      </c>
      <c r="I659" s="1" t="s">
        <v>6311</v>
      </c>
      <c r="J659" s="1" t="s">
        <v>4986</v>
      </c>
      <c r="K659" s="1" t="s">
        <v>74</v>
      </c>
      <c r="L659" s="1" t="s">
        <v>74</v>
      </c>
      <c r="M659" s="1" t="s">
        <v>74</v>
      </c>
      <c r="N659" s="1" t="s">
        <v>74</v>
      </c>
      <c r="O659" s="1" t="s">
        <v>74</v>
      </c>
      <c r="P659" s="1" t="s">
        <v>74</v>
      </c>
      <c r="Q659" s="1" t="s">
        <v>74</v>
      </c>
      <c r="R659" s="1" t="s">
        <v>74</v>
      </c>
      <c r="S659" s="1" t="s">
        <v>74</v>
      </c>
      <c r="T659" s="1" t="s">
        <v>74</v>
      </c>
      <c r="U659" s="1" t="s">
        <v>74</v>
      </c>
      <c r="V659" s="1" t="s">
        <v>6312</v>
      </c>
      <c r="W659" s="1" t="s">
        <v>74</v>
      </c>
      <c r="X659" s="1" t="s">
        <v>74</v>
      </c>
      <c r="Y659" s="1" t="s">
        <v>74</v>
      </c>
      <c r="Z659" s="1" t="s">
        <v>74</v>
      </c>
      <c r="AA659" s="1" t="s">
        <v>1104</v>
      </c>
      <c r="AB659" s="1" t="s">
        <v>6313</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74</v>
      </c>
      <c r="AP659" s="1" t="s">
        <v>4989</v>
      </c>
      <c r="AQ659" s="1" t="s">
        <v>74</v>
      </c>
      <c r="AR659" s="1" t="s">
        <v>74</v>
      </c>
      <c r="AS659" s="1" t="s">
        <v>74</v>
      </c>
      <c r="AT659" s="1" t="s">
        <v>83</v>
      </c>
      <c r="AU659" s="1">
        <v>2022.0</v>
      </c>
      <c r="AV659" s="1">
        <v>14.0</v>
      </c>
      <c r="AW659" s="1">
        <v>3.0</v>
      </c>
      <c r="AX659" s="1" t="s">
        <v>74</v>
      </c>
      <c r="AY659" s="1" t="s">
        <v>74</v>
      </c>
      <c r="AZ659" s="1" t="s">
        <v>74</v>
      </c>
      <c r="BA659" s="1" t="s">
        <v>74</v>
      </c>
      <c r="BB659" s="1" t="s">
        <v>74</v>
      </c>
      <c r="BC659" s="1" t="s">
        <v>74</v>
      </c>
      <c r="BD659" s="1">
        <v>81.0</v>
      </c>
      <c r="BE659" s="1" t="s">
        <v>6314</v>
      </c>
      <c r="BF659" s="2" t="str">
        <f>HYPERLINK("http://dx.doi.org/10.3390/fi14030081","http://dx.doi.org/10.3390/fi14030081")</f>
        <v>http://dx.doi.org/10.3390/fi14030081</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6315</v>
      </c>
      <c r="BT659" s="1" t="str">
        <f>HYPERLINK("https%3A%2F%2Fwww.webofscience.com%2Fwos%2Fwoscc%2Ffull-record%2FWOS:000775370900001","View Full Record in Web of Science")</f>
        <v>View Full Record in Web of Science</v>
      </c>
    </row>
    <row r="660" ht="12.75" customHeight="1">
      <c r="A660" s="1" t="s">
        <v>72</v>
      </c>
      <c r="B660" s="1" t="s">
        <v>6316</v>
      </c>
      <c r="C660" s="1" t="s">
        <v>74</v>
      </c>
      <c r="D660" s="1" t="s">
        <v>74</v>
      </c>
      <c r="E660" s="1" t="s">
        <v>74</v>
      </c>
      <c r="F660" s="1" t="s">
        <v>6317</v>
      </c>
      <c r="G660" s="1" t="s">
        <v>74</v>
      </c>
      <c r="H660" s="1" t="s">
        <v>74</v>
      </c>
      <c r="I660" s="1" t="s">
        <v>6318</v>
      </c>
      <c r="J660" s="1" t="s">
        <v>6319</v>
      </c>
      <c r="K660" s="1" t="s">
        <v>74</v>
      </c>
      <c r="L660" s="1" t="s">
        <v>74</v>
      </c>
      <c r="M660" s="1" t="s">
        <v>74</v>
      </c>
      <c r="N660" s="1" t="s">
        <v>74</v>
      </c>
      <c r="O660" s="1" t="s">
        <v>74</v>
      </c>
      <c r="P660" s="1" t="s">
        <v>74</v>
      </c>
      <c r="Q660" s="1" t="s">
        <v>74</v>
      </c>
      <c r="R660" s="1" t="s">
        <v>74</v>
      </c>
      <c r="S660" s="1" t="s">
        <v>74</v>
      </c>
      <c r="T660" s="1" t="s">
        <v>74</v>
      </c>
      <c r="U660" s="1" t="s">
        <v>74</v>
      </c>
      <c r="V660" s="1" t="s">
        <v>6320</v>
      </c>
      <c r="W660" s="1" t="s">
        <v>74</v>
      </c>
      <c r="X660" s="1" t="s">
        <v>74</v>
      </c>
      <c r="Y660" s="1" t="s">
        <v>74</v>
      </c>
      <c r="Z660" s="1" t="s">
        <v>74</v>
      </c>
      <c r="AA660" s="1" t="s">
        <v>6321</v>
      </c>
      <c r="AB660" s="1" t="s">
        <v>6322</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6323</v>
      </c>
      <c r="AP660" s="1" t="s">
        <v>6324</v>
      </c>
      <c r="AQ660" s="1" t="s">
        <v>74</v>
      </c>
      <c r="AR660" s="1" t="s">
        <v>74</v>
      </c>
      <c r="AS660" s="1" t="s">
        <v>74</v>
      </c>
      <c r="AT660" s="1" t="s">
        <v>187</v>
      </c>
      <c r="AU660" s="1">
        <v>2022.0</v>
      </c>
      <c r="AV660" s="1">
        <v>143.0</v>
      </c>
      <c r="AW660" s="1" t="s">
        <v>74</v>
      </c>
      <c r="AX660" s="1" t="s">
        <v>74</v>
      </c>
      <c r="AY660" s="1" t="s">
        <v>74</v>
      </c>
      <c r="AZ660" s="1" t="s">
        <v>74</v>
      </c>
      <c r="BA660" s="1" t="s">
        <v>74</v>
      </c>
      <c r="BB660" s="1" t="s">
        <v>74</v>
      </c>
      <c r="BC660" s="1" t="s">
        <v>74</v>
      </c>
      <c r="BD660" s="1">
        <v>103742.0</v>
      </c>
      <c r="BE660" s="1" t="s">
        <v>6325</v>
      </c>
      <c r="BF660" s="2" t="str">
        <f>HYPERLINK("http://dx.doi.org/10.1016/j.ibmb.2022.103742","http://dx.doi.org/10.1016/j.ibmb.2022.103742")</f>
        <v>http://dx.doi.org/10.1016/j.ibmb.2022.103742</v>
      </c>
      <c r="BG660" s="1" t="s">
        <v>74</v>
      </c>
      <c r="BH660" s="1" t="s">
        <v>6326</v>
      </c>
      <c r="BI660" s="1" t="s">
        <v>74</v>
      </c>
      <c r="BJ660" s="1" t="s">
        <v>74</v>
      </c>
      <c r="BK660" s="1" t="s">
        <v>74</v>
      </c>
      <c r="BL660" s="1" t="s">
        <v>74</v>
      </c>
      <c r="BM660" s="1" t="s">
        <v>74</v>
      </c>
      <c r="BN660" s="1">
        <v>3.5183733E7</v>
      </c>
      <c r="BO660" s="1" t="s">
        <v>74</v>
      </c>
      <c r="BP660" s="1" t="s">
        <v>74</v>
      </c>
      <c r="BQ660" s="1" t="s">
        <v>74</v>
      </c>
      <c r="BR660" s="1" t="s">
        <v>74</v>
      </c>
      <c r="BS660" s="1" t="s">
        <v>6327</v>
      </c>
      <c r="BT660" s="1" t="str">
        <f>HYPERLINK("https%3A%2F%2Fwww.webofscience.com%2Fwos%2Fwoscc%2Ffull-record%2FWOS:000780357700001","View Full Record in Web of Science")</f>
        <v>View Full Record in Web of Science</v>
      </c>
    </row>
    <row r="661" ht="12.75" customHeight="1">
      <c r="A661" s="1" t="s">
        <v>72</v>
      </c>
      <c r="B661" s="1" t="s">
        <v>5937</v>
      </c>
      <c r="C661" s="1" t="s">
        <v>74</v>
      </c>
      <c r="D661" s="1" t="s">
        <v>74</v>
      </c>
      <c r="E661" s="1" t="s">
        <v>74</v>
      </c>
      <c r="F661" s="1" t="s">
        <v>5938</v>
      </c>
      <c r="G661" s="1" t="s">
        <v>74</v>
      </c>
      <c r="H661" s="1" t="s">
        <v>74</v>
      </c>
      <c r="I661" s="1" t="s">
        <v>6328</v>
      </c>
      <c r="J661" s="1" t="s">
        <v>5940</v>
      </c>
      <c r="K661" s="1" t="s">
        <v>74</v>
      </c>
      <c r="L661" s="1" t="s">
        <v>74</v>
      </c>
      <c r="M661" s="1" t="s">
        <v>74</v>
      </c>
      <c r="N661" s="1" t="s">
        <v>74</v>
      </c>
      <c r="O661" s="1" t="s">
        <v>74</v>
      </c>
      <c r="P661" s="1" t="s">
        <v>74</v>
      </c>
      <c r="Q661" s="1" t="s">
        <v>74</v>
      </c>
      <c r="R661" s="1" t="s">
        <v>74</v>
      </c>
      <c r="S661" s="1" t="s">
        <v>74</v>
      </c>
      <c r="T661" s="1" t="s">
        <v>74</v>
      </c>
      <c r="U661" s="1" t="s">
        <v>74</v>
      </c>
      <c r="V661" s="1" t="s">
        <v>6329</v>
      </c>
      <c r="W661" s="1" t="s">
        <v>74</v>
      </c>
      <c r="X661" s="1" t="s">
        <v>74</v>
      </c>
      <c r="Y661" s="1" t="s">
        <v>74</v>
      </c>
      <c r="Z661" s="1" t="s">
        <v>74</v>
      </c>
      <c r="AA661" s="1" t="s">
        <v>6330</v>
      </c>
      <c r="AB661" s="1" t="s">
        <v>5943</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5944</v>
      </c>
      <c r="AP661" s="1" t="s">
        <v>5945</v>
      </c>
      <c r="AQ661" s="1" t="s">
        <v>74</v>
      </c>
      <c r="AR661" s="1" t="s">
        <v>74</v>
      </c>
      <c r="AS661" s="1" t="s">
        <v>74</v>
      </c>
      <c r="AT661" s="1" t="s">
        <v>120</v>
      </c>
      <c r="AU661" s="1">
        <v>2023.0</v>
      </c>
      <c r="AV661" s="1">
        <v>176.0</v>
      </c>
      <c r="AW661" s="1">
        <v>1.0</v>
      </c>
      <c r="AX661" s="1" t="s">
        <v>74</v>
      </c>
      <c r="AY661" s="1" t="s">
        <v>74</v>
      </c>
      <c r="AZ661" s="1" t="s">
        <v>74</v>
      </c>
      <c r="BA661" s="1" t="s">
        <v>74</v>
      </c>
      <c r="BB661" s="1">
        <v>15.0</v>
      </c>
      <c r="BC661" s="1">
        <v>26.0</v>
      </c>
      <c r="BD661" s="1" t="s">
        <v>74</v>
      </c>
      <c r="BE661" s="1" t="s">
        <v>6331</v>
      </c>
      <c r="BF661" s="2" t="str">
        <f>HYPERLINK("http://dx.doi.org/10.1680/jgeen.20.00191","http://dx.doi.org/10.1680/jgeen.20.00191")</f>
        <v>http://dx.doi.org/10.1680/jgeen.20.00191</v>
      </c>
      <c r="BG661" s="1" t="s">
        <v>74</v>
      </c>
      <c r="BH661" s="1" t="s">
        <v>2711</v>
      </c>
      <c r="BI661" s="1" t="s">
        <v>74</v>
      </c>
      <c r="BJ661" s="1" t="s">
        <v>74</v>
      </c>
      <c r="BK661" s="1" t="s">
        <v>74</v>
      </c>
      <c r="BL661" s="1" t="s">
        <v>74</v>
      </c>
      <c r="BM661" s="1" t="s">
        <v>74</v>
      </c>
      <c r="BN661" s="1" t="s">
        <v>74</v>
      </c>
      <c r="BO661" s="1" t="s">
        <v>74</v>
      </c>
      <c r="BP661" s="1" t="s">
        <v>74</v>
      </c>
      <c r="BQ661" s="1" t="s">
        <v>74</v>
      </c>
      <c r="BR661" s="1" t="s">
        <v>74</v>
      </c>
      <c r="BS661" s="1" t="s">
        <v>6332</v>
      </c>
      <c r="BT661" s="1" t="str">
        <f>HYPERLINK("https%3A%2F%2Fwww.webofscience.com%2Fwos%2Fwoscc%2Ffull-record%2FWOS:000791421200001","View Full Record in Web of Science")</f>
        <v>View Full Record in Web of Science</v>
      </c>
    </row>
    <row r="662" ht="12.75" customHeight="1">
      <c r="A662" s="1" t="s">
        <v>72</v>
      </c>
      <c r="B662" s="1" t="s">
        <v>6333</v>
      </c>
      <c r="C662" s="1" t="s">
        <v>74</v>
      </c>
      <c r="D662" s="1" t="s">
        <v>74</v>
      </c>
      <c r="E662" s="1" t="s">
        <v>74</v>
      </c>
      <c r="F662" s="1" t="s">
        <v>6334</v>
      </c>
      <c r="G662" s="1" t="s">
        <v>74</v>
      </c>
      <c r="H662" s="1" t="s">
        <v>74</v>
      </c>
      <c r="I662" s="1" t="s">
        <v>6335</v>
      </c>
      <c r="J662" s="1" t="s">
        <v>1440</v>
      </c>
      <c r="K662" s="1" t="s">
        <v>74</v>
      </c>
      <c r="L662" s="1" t="s">
        <v>74</v>
      </c>
      <c r="M662" s="1" t="s">
        <v>74</v>
      </c>
      <c r="N662" s="1" t="s">
        <v>74</v>
      </c>
      <c r="O662" s="1" t="s">
        <v>74</v>
      </c>
      <c r="P662" s="1" t="s">
        <v>74</v>
      </c>
      <c r="Q662" s="1" t="s">
        <v>74</v>
      </c>
      <c r="R662" s="1" t="s">
        <v>74</v>
      </c>
      <c r="S662" s="1" t="s">
        <v>74</v>
      </c>
      <c r="T662" s="1" t="s">
        <v>74</v>
      </c>
      <c r="U662" s="1" t="s">
        <v>74</v>
      </c>
      <c r="V662" s="1" t="s">
        <v>6336</v>
      </c>
      <c r="W662" s="1" t="s">
        <v>74</v>
      </c>
      <c r="X662" s="1" t="s">
        <v>74</v>
      </c>
      <c r="Y662" s="1" t="s">
        <v>74</v>
      </c>
      <c r="Z662" s="1" t="s">
        <v>74</v>
      </c>
      <c r="AA662" s="1" t="s">
        <v>1265</v>
      </c>
      <c r="AB662" s="1" t="s">
        <v>74</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1443</v>
      </c>
      <c r="AP662" s="1" t="s">
        <v>1444</v>
      </c>
      <c r="AQ662" s="1" t="s">
        <v>74</v>
      </c>
      <c r="AR662" s="1" t="s">
        <v>74</v>
      </c>
      <c r="AS662" s="1" t="s">
        <v>74</v>
      </c>
      <c r="AT662" s="1" t="s">
        <v>95</v>
      </c>
      <c r="AU662" s="1">
        <v>2021.0</v>
      </c>
      <c r="AV662" s="1">
        <v>149.0</v>
      </c>
      <c r="AW662" s="1">
        <v>12.0</v>
      </c>
      <c r="AX662" s="1" t="s">
        <v>74</v>
      </c>
      <c r="AY662" s="1" t="s">
        <v>74</v>
      </c>
      <c r="AZ662" s="1" t="s">
        <v>74</v>
      </c>
      <c r="BA662" s="1" t="s">
        <v>74</v>
      </c>
      <c r="BB662" s="1">
        <v>1699.0</v>
      </c>
      <c r="BC662" s="1">
        <v>1706.0</v>
      </c>
      <c r="BD662" s="1" t="s">
        <v>74</v>
      </c>
      <c r="BE662" s="1" t="s">
        <v>74</v>
      </c>
      <c r="BF662" s="1" t="s">
        <v>74</v>
      </c>
      <c r="BG662" s="1" t="s">
        <v>74</v>
      </c>
      <c r="BH662" s="1" t="s">
        <v>74</v>
      </c>
      <c r="BI662" s="1" t="s">
        <v>74</v>
      </c>
      <c r="BJ662" s="1" t="s">
        <v>74</v>
      </c>
      <c r="BK662" s="1" t="s">
        <v>74</v>
      </c>
      <c r="BL662" s="1" t="s">
        <v>74</v>
      </c>
      <c r="BM662" s="1" t="s">
        <v>74</v>
      </c>
      <c r="BN662" s="1">
        <v>3.5735337E7</v>
      </c>
      <c r="BO662" s="1" t="s">
        <v>74</v>
      </c>
      <c r="BP662" s="1" t="s">
        <v>74</v>
      </c>
      <c r="BQ662" s="1" t="s">
        <v>74</v>
      </c>
      <c r="BR662" s="1" t="s">
        <v>74</v>
      </c>
      <c r="BS662" s="1" t="s">
        <v>6337</v>
      </c>
      <c r="BT662" s="1" t="str">
        <f>HYPERLINK("https%3A%2F%2Fwww.webofscience.com%2Fwos%2Fwoscc%2Ffull-record%2FWOS:000800028500003","View Full Record in Web of Science")</f>
        <v>View Full Record in Web of Science</v>
      </c>
    </row>
    <row r="663" ht="12.75" customHeight="1">
      <c r="A663" s="1" t="s">
        <v>72</v>
      </c>
      <c r="B663" s="1" t="s">
        <v>6338</v>
      </c>
      <c r="C663" s="1" t="s">
        <v>74</v>
      </c>
      <c r="D663" s="1" t="s">
        <v>74</v>
      </c>
      <c r="E663" s="1" t="s">
        <v>74</v>
      </c>
      <c r="F663" s="1" t="s">
        <v>6339</v>
      </c>
      <c r="G663" s="1" t="s">
        <v>74</v>
      </c>
      <c r="H663" s="1" t="s">
        <v>74</v>
      </c>
      <c r="I663" s="1" t="s">
        <v>6340</v>
      </c>
      <c r="J663" s="1" t="s">
        <v>908</v>
      </c>
      <c r="K663" s="1" t="s">
        <v>74</v>
      </c>
      <c r="L663" s="1" t="s">
        <v>74</v>
      </c>
      <c r="M663" s="1" t="s">
        <v>74</v>
      </c>
      <c r="N663" s="1" t="s">
        <v>74</v>
      </c>
      <c r="O663" s="1" t="s">
        <v>74</v>
      </c>
      <c r="P663" s="1" t="s">
        <v>74</v>
      </c>
      <c r="Q663" s="1" t="s">
        <v>74</v>
      </c>
      <c r="R663" s="1" t="s">
        <v>74</v>
      </c>
      <c r="S663" s="1" t="s">
        <v>74</v>
      </c>
      <c r="T663" s="1" t="s">
        <v>74</v>
      </c>
      <c r="U663" s="1" t="s">
        <v>74</v>
      </c>
      <c r="V663" s="1" t="s">
        <v>6341</v>
      </c>
      <c r="W663" s="1" t="s">
        <v>74</v>
      </c>
      <c r="X663" s="1" t="s">
        <v>74</v>
      </c>
      <c r="Y663" s="1" t="s">
        <v>74</v>
      </c>
      <c r="Z663" s="1" t="s">
        <v>74</v>
      </c>
      <c r="AA663" s="1" t="s">
        <v>6342</v>
      </c>
      <c r="AB663" s="1" t="s">
        <v>6343</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74</v>
      </c>
      <c r="AP663" s="1" t="s">
        <v>912</v>
      </c>
      <c r="AQ663" s="1" t="s">
        <v>74</v>
      </c>
      <c r="AR663" s="1" t="s">
        <v>74</v>
      </c>
      <c r="AS663" s="1" t="s">
        <v>74</v>
      </c>
      <c r="AT663" s="1" t="s">
        <v>120</v>
      </c>
      <c r="AU663" s="1">
        <v>2021.0</v>
      </c>
      <c r="AV663" s="1">
        <v>13.0</v>
      </c>
      <c r="AW663" s="1">
        <v>3.0</v>
      </c>
      <c r="AX663" s="1" t="s">
        <v>74</v>
      </c>
      <c r="AY663" s="1" t="s">
        <v>74</v>
      </c>
      <c r="AZ663" s="1" t="s">
        <v>74</v>
      </c>
      <c r="BA663" s="1" t="s">
        <v>74</v>
      </c>
      <c r="BB663" s="1" t="s">
        <v>74</v>
      </c>
      <c r="BC663" s="1" t="s">
        <v>74</v>
      </c>
      <c r="BD663" s="1">
        <v>327.0</v>
      </c>
      <c r="BE663" s="1" t="s">
        <v>6344</v>
      </c>
      <c r="BF663" s="2" t="str">
        <f>HYPERLINK("http://dx.doi.org/10.3390/polym13030327","http://dx.doi.org/10.3390/polym13030327")</f>
        <v>http://dx.doi.org/10.3390/polym13030327</v>
      </c>
      <c r="BG663" s="1" t="s">
        <v>74</v>
      </c>
      <c r="BH663" s="1" t="s">
        <v>74</v>
      </c>
      <c r="BI663" s="1" t="s">
        <v>74</v>
      </c>
      <c r="BJ663" s="1" t="s">
        <v>74</v>
      </c>
      <c r="BK663" s="1" t="s">
        <v>74</v>
      </c>
      <c r="BL663" s="1" t="s">
        <v>74</v>
      </c>
      <c r="BM663" s="1" t="s">
        <v>74</v>
      </c>
      <c r="BN663" s="1">
        <v>3.34985E7</v>
      </c>
      <c r="BO663" s="1" t="s">
        <v>74</v>
      </c>
      <c r="BP663" s="1" t="s">
        <v>74</v>
      </c>
      <c r="BQ663" s="1" t="s">
        <v>74</v>
      </c>
      <c r="BR663" s="1" t="s">
        <v>74</v>
      </c>
      <c r="BS663" s="1" t="s">
        <v>6345</v>
      </c>
      <c r="BT663" s="1" t="str">
        <f>HYPERLINK("https%3A%2F%2Fwww.webofscience.com%2Fwos%2Fwoscc%2Ffull-record%2FWOS:000615434000001","View Full Record in Web of Science")</f>
        <v>View Full Record in Web of Science</v>
      </c>
    </row>
    <row r="664" ht="12.75" customHeight="1">
      <c r="A664" s="1" t="s">
        <v>72</v>
      </c>
      <c r="B664" s="1" t="s">
        <v>6346</v>
      </c>
      <c r="C664" s="1" t="s">
        <v>74</v>
      </c>
      <c r="D664" s="1" t="s">
        <v>74</v>
      </c>
      <c r="E664" s="1" t="s">
        <v>74</v>
      </c>
      <c r="F664" s="1" t="s">
        <v>6347</v>
      </c>
      <c r="G664" s="1" t="s">
        <v>74</v>
      </c>
      <c r="H664" s="1" t="s">
        <v>74</v>
      </c>
      <c r="I664" s="1" t="s">
        <v>6348</v>
      </c>
      <c r="J664" s="1" t="s">
        <v>6349</v>
      </c>
      <c r="K664" s="1" t="s">
        <v>74</v>
      </c>
      <c r="L664" s="1" t="s">
        <v>74</v>
      </c>
      <c r="M664" s="1" t="s">
        <v>74</v>
      </c>
      <c r="N664" s="1" t="s">
        <v>74</v>
      </c>
      <c r="O664" s="1" t="s">
        <v>74</v>
      </c>
      <c r="P664" s="1" t="s">
        <v>74</v>
      </c>
      <c r="Q664" s="1" t="s">
        <v>74</v>
      </c>
      <c r="R664" s="1" t="s">
        <v>74</v>
      </c>
      <c r="S664" s="1" t="s">
        <v>74</v>
      </c>
      <c r="T664" s="1" t="s">
        <v>74</v>
      </c>
      <c r="U664" s="1" t="s">
        <v>74</v>
      </c>
      <c r="V664" s="1" t="s">
        <v>6350</v>
      </c>
      <c r="W664" s="1" t="s">
        <v>74</v>
      </c>
      <c r="X664" s="1" t="s">
        <v>74</v>
      </c>
      <c r="Y664" s="1" t="s">
        <v>74</v>
      </c>
      <c r="Z664" s="1" t="s">
        <v>74</v>
      </c>
      <c r="AA664" s="1" t="s">
        <v>6351</v>
      </c>
      <c r="AB664" s="1" t="s">
        <v>74</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6352</v>
      </c>
      <c r="AP664" s="1" t="s">
        <v>74</v>
      </c>
      <c r="AQ664" s="1" t="s">
        <v>74</v>
      </c>
      <c r="AR664" s="1" t="s">
        <v>74</v>
      </c>
      <c r="AS664" s="1" t="s">
        <v>74</v>
      </c>
      <c r="AT664" s="1" t="s">
        <v>95</v>
      </c>
      <c r="AU664" s="1">
        <v>2020.0</v>
      </c>
      <c r="AV664" s="1">
        <v>19.0</v>
      </c>
      <c r="AW664" s="1" t="s">
        <v>74</v>
      </c>
      <c r="AX664" s="1" t="s">
        <v>74</v>
      </c>
      <c r="AY664" s="1" t="s">
        <v>74</v>
      </c>
      <c r="AZ664" s="1" t="s">
        <v>74</v>
      </c>
      <c r="BA664" s="1" t="s">
        <v>74</v>
      </c>
      <c r="BB664" s="1" t="s">
        <v>74</v>
      </c>
      <c r="BC664" s="1" t="s">
        <v>74</v>
      </c>
      <c r="BD664" s="1" t="s">
        <v>74</v>
      </c>
      <c r="BE664" s="1" t="s">
        <v>74</v>
      </c>
      <c r="BF664" s="1" t="s">
        <v>74</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6353</v>
      </c>
      <c r="BT664" s="1" t="str">
        <f>HYPERLINK("https%3A%2F%2Fwww.webofscience.com%2Fwos%2Fwoscc%2Ffull-record%2FWOS:000604224200014","View Full Record in Web of Science")</f>
        <v>View Full Record in Web of Science</v>
      </c>
    </row>
    <row r="665" ht="12.75" customHeight="1">
      <c r="A665" s="1" t="s">
        <v>72</v>
      </c>
      <c r="B665" s="1" t="s">
        <v>6354</v>
      </c>
      <c r="C665" s="1" t="s">
        <v>74</v>
      </c>
      <c r="D665" s="1" t="s">
        <v>74</v>
      </c>
      <c r="E665" s="1" t="s">
        <v>74</v>
      </c>
      <c r="F665" s="1" t="s">
        <v>6355</v>
      </c>
      <c r="G665" s="1" t="s">
        <v>74</v>
      </c>
      <c r="H665" s="1" t="s">
        <v>74</v>
      </c>
      <c r="I665" s="1" t="s">
        <v>6356</v>
      </c>
      <c r="J665" s="1" t="s">
        <v>6357</v>
      </c>
      <c r="K665" s="1" t="s">
        <v>74</v>
      </c>
      <c r="L665" s="1" t="s">
        <v>74</v>
      </c>
      <c r="M665" s="1" t="s">
        <v>74</v>
      </c>
      <c r="N665" s="1" t="s">
        <v>74</v>
      </c>
      <c r="O665" s="1" t="s">
        <v>74</v>
      </c>
      <c r="P665" s="1" t="s">
        <v>74</v>
      </c>
      <c r="Q665" s="1" t="s">
        <v>74</v>
      </c>
      <c r="R665" s="1" t="s">
        <v>74</v>
      </c>
      <c r="S665" s="1" t="s">
        <v>74</v>
      </c>
      <c r="T665" s="1" t="s">
        <v>74</v>
      </c>
      <c r="U665" s="1" t="s">
        <v>74</v>
      </c>
      <c r="V665" s="1" t="s">
        <v>6358</v>
      </c>
      <c r="W665" s="1" t="s">
        <v>74</v>
      </c>
      <c r="X665" s="1" t="s">
        <v>74</v>
      </c>
      <c r="Y665" s="1" t="s">
        <v>74</v>
      </c>
      <c r="Z665" s="1" t="s">
        <v>74</v>
      </c>
      <c r="AA665" s="1" t="s">
        <v>6359</v>
      </c>
      <c r="AB665" s="1" t="s">
        <v>6360</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6361</v>
      </c>
      <c r="AP665" s="1" t="s">
        <v>6362</v>
      </c>
      <c r="AQ665" s="1" t="s">
        <v>74</v>
      </c>
      <c r="AR665" s="1" t="s">
        <v>74</v>
      </c>
      <c r="AS665" s="1" t="s">
        <v>74</v>
      </c>
      <c r="AT665" s="1" t="s">
        <v>3249</v>
      </c>
      <c r="AU665" s="1">
        <v>2020.0</v>
      </c>
      <c r="AV665" s="1">
        <v>91.0</v>
      </c>
      <c r="AW665" s="1">
        <v>8.0</v>
      </c>
      <c r="AX665" s="1" t="s">
        <v>74</v>
      </c>
      <c r="AY665" s="1" t="s">
        <v>74</v>
      </c>
      <c r="AZ665" s="1" t="s">
        <v>74</v>
      </c>
      <c r="BA665" s="1" t="s">
        <v>74</v>
      </c>
      <c r="BB665" s="1" t="s">
        <v>74</v>
      </c>
      <c r="BC665" s="1" t="s">
        <v>74</v>
      </c>
      <c r="BD665" s="1">
        <v>83112.0</v>
      </c>
      <c r="BE665" s="1" t="s">
        <v>6363</v>
      </c>
      <c r="BF665" s="2" t="str">
        <f>HYPERLINK("http://dx.doi.org/10.1063/5.0015050","http://dx.doi.org/10.1063/5.0015050")</f>
        <v>http://dx.doi.org/10.1063/5.0015050</v>
      </c>
      <c r="BG665" s="1" t="s">
        <v>74</v>
      </c>
      <c r="BH665" s="1" t="s">
        <v>74</v>
      </c>
      <c r="BI665" s="1" t="s">
        <v>74</v>
      </c>
      <c r="BJ665" s="1" t="s">
        <v>74</v>
      </c>
      <c r="BK665" s="1" t="s">
        <v>74</v>
      </c>
      <c r="BL665" s="1" t="s">
        <v>74</v>
      </c>
      <c r="BM665" s="1" t="s">
        <v>74</v>
      </c>
      <c r="BN665" s="1">
        <v>3.2872902E7</v>
      </c>
      <c r="BO665" s="1" t="s">
        <v>74</v>
      </c>
      <c r="BP665" s="1" t="s">
        <v>74</v>
      </c>
      <c r="BQ665" s="1" t="s">
        <v>74</v>
      </c>
      <c r="BR665" s="1" t="s">
        <v>74</v>
      </c>
      <c r="BS665" s="1" t="s">
        <v>6364</v>
      </c>
      <c r="BT665" s="1" t="str">
        <f>HYPERLINK("https%3A%2F%2Fwww.webofscience.com%2Fwos%2Fwoscc%2Ffull-record%2FWOS:000565271300002","View Full Record in Web of Science")</f>
        <v>View Full Record in Web of Science</v>
      </c>
    </row>
    <row r="666" ht="12.75" customHeight="1">
      <c r="A666" s="1" t="s">
        <v>72</v>
      </c>
      <c r="B666" s="1" t="s">
        <v>6365</v>
      </c>
      <c r="C666" s="1" t="s">
        <v>74</v>
      </c>
      <c r="D666" s="1" t="s">
        <v>74</v>
      </c>
      <c r="E666" s="1" t="s">
        <v>74</v>
      </c>
      <c r="F666" s="1" t="s">
        <v>6366</v>
      </c>
      <c r="G666" s="1" t="s">
        <v>74</v>
      </c>
      <c r="H666" s="1" t="s">
        <v>74</v>
      </c>
      <c r="I666" s="1" t="s">
        <v>6367</v>
      </c>
      <c r="J666" s="1" t="s">
        <v>6368</v>
      </c>
      <c r="K666" s="1" t="s">
        <v>74</v>
      </c>
      <c r="L666" s="1" t="s">
        <v>74</v>
      </c>
      <c r="M666" s="1" t="s">
        <v>74</v>
      </c>
      <c r="N666" s="1" t="s">
        <v>74</v>
      </c>
      <c r="O666" s="1" t="s">
        <v>74</v>
      </c>
      <c r="P666" s="1" t="s">
        <v>74</v>
      </c>
      <c r="Q666" s="1" t="s">
        <v>74</v>
      </c>
      <c r="R666" s="1" t="s">
        <v>74</v>
      </c>
      <c r="S666" s="1" t="s">
        <v>74</v>
      </c>
      <c r="T666" s="1" t="s">
        <v>74</v>
      </c>
      <c r="U666" s="1" t="s">
        <v>74</v>
      </c>
      <c r="V666" s="1" t="s">
        <v>6369</v>
      </c>
      <c r="W666" s="1" t="s">
        <v>74</v>
      </c>
      <c r="X666" s="1" t="s">
        <v>74</v>
      </c>
      <c r="Y666" s="1" t="s">
        <v>74</v>
      </c>
      <c r="Z666" s="1" t="s">
        <v>74</v>
      </c>
      <c r="AA666" s="1" t="s">
        <v>74</v>
      </c>
      <c r="AB666" s="1" t="s">
        <v>74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6370</v>
      </c>
      <c r="AP666" s="1" t="s">
        <v>6371</v>
      </c>
      <c r="AQ666" s="1" t="s">
        <v>74</v>
      </c>
      <c r="AR666" s="1" t="s">
        <v>74</v>
      </c>
      <c r="AS666" s="1" t="s">
        <v>74</v>
      </c>
      <c r="AT666" s="1" t="s">
        <v>164</v>
      </c>
      <c r="AU666" s="1">
        <v>2020.0</v>
      </c>
      <c r="AV666" s="1">
        <v>15.0</v>
      </c>
      <c r="AW666" s="1">
        <v>44.0</v>
      </c>
      <c r="AX666" s="1" t="s">
        <v>74</v>
      </c>
      <c r="AY666" s="1" t="s">
        <v>74</v>
      </c>
      <c r="AZ666" s="1" t="s">
        <v>74</v>
      </c>
      <c r="BA666" s="1" t="s">
        <v>74</v>
      </c>
      <c r="BB666" s="1">
        <v>201.0</v>
      </c>
      <c r="BC666" s="1">
        <v>211.0</v>
      </c>
      <c r="BD666" s="1" t="s">
        <v>74</v>
      </c>
      <c r="BE666" s="1" t="s">
        <v>74</v>
      </c>
      <c r="BF666" s="1" t="s">
        <v>74</v>
      </c>
      <c r="BG666" s="1" t="s">
        <v>74</v>
      </c>
      <c r="BH666" s="1" t="s">
        <v>74</v>
      </c>
      <c r="BI666" s="1" t="s">
        <v>74</v>
      </c>
      <c r="BJ666" s="1" t="s">
        <v>74</v>
      </c>
      <c r="BK666" s="1" t="s">
        <v>74</v>
      </c>
      <c r="BL666" s="1" t="s">
        <v>74</v>
      </c>
      <c r="BM666" s="1" t="s">
        <v>74</v>
      </c>
      <c r="BN666" s="1" t="s">
        <v>74</v>
      </c>
      <c r="BO666" s="1" t="s">
        <v>74</v>
      </c>
      <c r="BP666" s="1" t="s">
        <v>74</v>
      </c>
      <c r="BQ666" s="1" t="s">
        <v>74</v>
      </c>
      <c r="BR666" s="1" t="s">
        <v>74</v>
      </c>
      <c r="BS666" s="1" t="s">
        <v>6372</v>
      </c>
      <c r="BT666" s="1" t="str">
        <f>HYPERLINK("https%3A%2F%2Fwww.webofscience.com%2Fwos%2Fwoscc%2Ffull-record%2FWOS:000537466400006","View Full Record in Web of Science")</f>
        <v>View Full Record in Web of Science</v>
      </c>
    </row>
    <row r="667" ht="12.75" customHeight="1">
      <c r="A667" s="1" t="s">
        <v>72</v>
      </c>
      <c r="B667" s="1" t="s">
        <v>6373</v>
      </c>
      <c r="C667" s="1" t="s">
        <v>74</v>
      </c>
      <c r="D667" s="1" t="s">
        <v>74</v>
      </c>
      <c r="E667" s="1" t="s">
        <v>74</v>
      </c>
      <c r="F667" s="1" t="s">
        <v>6374</v>
      </c>
      <c r="G667" s="1" t="s">
        <v>74</v>
      </c>
      <c r="H667" s="1" t="s">
        <v>74</v>
      </c>
      <c r="I667" s="1" t="s">
        <v>6375</v>
      </c>
      <c r="J667" s="1" t="s">
        <v>3942</v>
      </c>
      <c r="K667" s="1" t="s">
        <v>74</v>
      </c>
      <c r="L667" s="1" t="s">
        <v>74</v>
      </c>
      <c r="M667" s="1" t="s">
        <v>74</v>
      </c>
      <c r="N667" s="1" t="s">
        <v>74</v>
      </c>
      <c r="O667" s="1" t="s">
        <v>74</v>
      </c>
      <c r="P667" s="1" t="s">
        <v>74</v>
      </c>
      <c r="Q667" s="1" t="s">
        <v>74</v>
      </c>
      <c r="R667" s="1" t="s">
        <v>74</v>
      </c>
      <c r="S667" s="1" t="s">
        <v>74</v>
      </c>
      <c r="T667" s="1" t="s">
        <v>74</v>
      </c>
      <c r="U667" s="1" t="s">
        <v>74</v>
      </c>
      <c r="V667" s="1" t="s">
        <v>6376</v>
      </c>
      <c r="W667" s="1" t="s">
        <v>74</v>
      </c>
      <c r="X667" s="1" t="s">
        <v>74</v>
      </c>
      <c r="Y667" s="1" t="s">
        <v>74</v>
      </c>
      <c r="Z667" s="1" t="s">
        <v>74</v>
      </c>
      <c r="AA667" s="1" t="s">
        <v>74</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3946</v>
      </c>
      <c r="AP667" s="1" t="s">
        <v>3947</v>
      </c>
      <c r="AQ667" s="1" t="s">
        <v>74</v>
      </c>
      <c r="AR667" s="1" t="s">
        <v>74</v>
      </c>
      <c r="AS667" s="1" t="s">
        <v>74</v>
      </c>
      <c r="AT667" s="1" t="s">
        <v>120</v>
      </c>
      <c r="AU667" s="1">
        <v>2020.0</v>
      </c>
      <c r="AV667" s="1">
        <v>343.0</v>
      </c>
      <c r="AW667" s="1">
        <v>2.0</v>
      </c>
      <c r="AX667" s="1" t="s">
        <v>74</v>
      </c>
      <c r="AY667" s="1" t="s">
        <v>74</v>
      </c>
      <c r="AZ667" s="1" t="s">
        <v>74</v>
      </c>
      <c r="BA667" s="1" t="s">
        <v>74</v>
      </c>
      <c r="BB667" s="1" t="s">
        <v>74</v>
      </c>
      <c r="BC667" s="1" t="s">
        <v>74</v>
      </c>
      <c r="BD667" s="1">
        <v>111669.0</v>
      </c>
      <c r="BE667" s="1" t="s">
        <v>6377</v>
      </c>
      <c r="BF667" s="2" t="str">
        <f>HYPERLINK("http://dx.doi.org/10.1016/j.disc.2019.111669","http://dx.doi.org/10.1016/j.disc.2019.111669")</f>
        <v>http://dx.doi.org/10.1016/j.disc.2019.111669</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6378</v>
      </c>
      <c r="BT667" s="1" t="str">
        <f>HYPERLINK("https%3A%2F%2Fwww.webofscience.com%2Fwos%2Fwoscc%2Ffull-record%2FWOS:000504780200021","View Full Record in Web of Science")</f>
        <v>View Full Record in Web of Science</v>
      </c>
    </row>
    <row r="668" ht="12.75" customHeight="1">
      <c r="A668" s="1" t="s">
        <v>72</v>
      </c>
      <c r="B668" s="1" t="s">
        <v>6379</v>
      </c>
      <c r="C668" s="1" t="s">
        <v>74</v>
      </c>
      <c r="D668" s="1" t="s">
        <v>74</v>
      </c>
      <c r="E668" s="1" t="s">
        <v>74</v>
      </c>
      <c r="F668" s="1" t="s">
        <v>6380</v>
      </c>
      <c r="G668" s="1" t="s">
        <v>74</v>
      </c>
      <c r="H668" s="1" t="s">
        <v>74</v>
      </c>
      <c r="I668" s="1" t="s">
        <v>6381</v>
      </c>
      <c r="J668" s="1" t="s">
        <v>2674</v>
      </c>
      <c r="K668" s="1" t="s">
        <v>74</v>
      </c>
      <c r="L668" s="1" t="s">
        <v>74</v>
      </c>
      <c r="M668" s="1" t="s">
        <v>74</v>
      </c>
      <c r="N668" s="1" t="s">
        <v>74</v>
      </c>
      <c r="O668" s="1" t="s">
        <v>74</v>
      </c>
      <c r="P668" s="1" t="s">
        <v>74</v>
      </c>
      <c r="Q668" s="1" t="s">
        <v>74</v>
      </c>
      <c r="R668" s="1" t="s">
        <v>74</v>
      </c>
      <c r="S668" s="1" t="s">
        <v>74</v>
      </c>
      <c r="T668" s="1" t="s">
        <v>74</v>
      </c>
      <c r="U668" s="1" t="s">
        <v>74</v>
      </c>
      <c r="V668" s="1" t="s">
        <v>6382</v>
      </c>
      <c r="W668" s="1" t="s">
        <v>74</v>
      </c>
      <c r="X668" s="1" t="s">
        <v>74</v>
      </c>
      <c r="Y668" s="1" t="s">
        <v>74</v>
      </c>
      <c r="Z668" s="1" t="s">
        <v>74</v>
      </c>
      <c r="AA668" s="1" t="s">
        <v>6383</v>
      </c>
      <c r="AB668" s="1" t="s">
        <v>6384</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74</v>
      </c>
      <c r="AP668" s="1" t="s">
        <v>2678</v>
      </c>
      <c r="AQ668" s="1" t="s">
        <v>74</v>
      </c>
      <c r="AR668" s="1" t="s">
        <v>74</v>
      </c>
      <c r="AS668" s="1" t="s">
        <v>74</v>
      </c>
      <c r="AT668" s="1" t="s">
        <v>120</v>
      </c>
      <c r="AU668" s="1">
        <v>2018.0</v>
      </c>
      <c r="AV668" s="1">
        <v>8.0</v>
      </c>
      <c r="AW668" s="1">
        <v>2.0</v>
      </c>
      <c r="AX668" s="1" t="s">
        <v>74</v>
      </c>
      <c r="AY668" s="1" t="s">
        <v>74</v>
      </c>
      <c r="AZ668" s="1" t="s">
        <v>74</v>
      </c>
      <c r="BA668" s="1" t="s">
        <v>74</v>
      </c>
      <c r="BB668" s="1" t="s">
        <v>74</v>
      </c>
      <c r="BC668" s="1" t="s">
        <v>74</v>
      </c>
      <c r="BD668" s="1">
        <v>128.0</v>
      </c>
      <c r="BE668" s="1" t="s">
        <v>6385</v>
      </c>
      <c r="BF668" s="2" t="str">
        <f>HYPERLINK("http://dx.doi.org/10.3390/nano8020128","http://dx.doi.org/10.3390/nano8020128")</f>
        <v>http://dx.doi.org/10.3390/nano8020128</v>
      </c>
      <c r="BG668" s="1" t="s">
        <v>74</v>
      </c>
      <c r="BH668" s="1" t="s">
        <v>74</v>
      </c>
      <c r="BI668" s="1" t="s">
        <v>74</v>
      </c>
      <c r="BJ668" s="1" t="s">
        <v>74</v>
      </c>
      <c r="BK668" s="1" t="s">
        <v>74</v>
      </c>
      <c r="BL668" s="1" t="s">
        <v>74</v>
      </c>
      <c r="BM668" s="1" t="s">
        <v>74</v>
      </c>
      <c r="BN668" s="1">
        <v>2.9495318E7</v>
      </c>
      <c r="BO668" s="1" t="s">
        <v>74</v>
      </c>
      <c r="BP668" s="1" t="s">
        <v>74</v>
      </c>
      <c r="BQ668" s="1" t="s">
        <v>74</v>
      </c>
      <c r="BR668" s="1" t="s">
        <v>74</v>
      </c>
      <c r="BS668" s="1" t="s">
        <v>6386</v>
      </c>
      <c r="BT668" s="1" t="str">
        <f>HYPERLINK("https%3A%2F%2Fwww.webofscience.com%2Fwos%2Fwoscc%2Ffull-record%2FWOS:000427534600075","View Full Record in Web of Science")</f>
        <v>View Full Record in Web of Science</v>
      </c>
    </row>
    <row r="669" ht="12.75" customHeight="1">
      <c r="A669" s="1" t="s">
        <v>380</v>
      </c>
      <c r="B669" s="1" t="s">
        <v>6387</v>
      </c>
      <c r="C669" s="1" t="s">
        <v>74</v>
      </c>
      <c r="D669" s="1" t="s">
        <v>6388</v>
      </c>
      <c r="E669" s="1" t="s">
        <v>74</v>
      </c>
      <c r="F669" s="1" t="s">
        <v>6389</v>
      </c>
      <c r="G669" s="1" t="s">
        <v>74</v>
      </c>
      <c r="H669" s="1" t="s">
        <v>74</v>
      </c>
      <c r="I669" s="1" t="s">
        <v>6390</v>
      </c>
      <c r="J669" s="1" t="s">
        <v>6391</v>
      </c>
      <c r="K669" s="1" t="s">
        <v>74</v>
      </c>
      <c r="L669" s="1" t="s">
        <v>74</v>
      </c>
      <c r="M669" s="1" t="s">
        <v>74</v>
      </c>
      <c r="N669" s="1" t="s">
        <v>74</v>
      </c>
      <c r="O669" s="1" t="s">
        <v>74</v>
      </c>
      <c r="P669" s="1" t="s">
        <v>74</v>
      </c>
      <c r="Q669" s="1" t="s">
        <v>74</v>
      </c>
      <c r="R669" s="1" t="s">
        <v>74</v>
      </c>
      <c r="S669" s="1" t="s">
        <v>74</v>
      </c>
      <c r="T669" s="1" t="s">
        <v>74</v>
      </c>
      <c r="U669" s="1" t="s">
        <v>74</v>
      </c>
      <c r="V669" s="1" t="s">
        <v>74</v>
      </c>
      <c r="W669" s="1" t="s">
        <v>74</v>
      </c>
      <c r="X669" s="1" t="s">
        <v>74</v>
      </c>
      <c r="Y669" s="1" t="s">
        <v>74</v>
      </c>
      <c r="Z669" s="1" t="s">
        <v>74</v>
      </c>
      <c r="AA669" s="1" t="s">
        <v>74</v>
      </c>
      <c r="AB669" s="1" t="s">
        <v>74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74</v>
      </c>
      <c r="AP669" s="1" t="s">
        <v>74</v>
      </c>
      <c r="AQ669" s="1" t="s">
        <v>6392</v>
      </c>
      <c r="AR669" s="1" t="s">
        <v>74</v>
      </c>
      <c r="AS669" s="1" t="s">
        <v>74</v>
      </c>
      <c r="AT669" s="1" t="s">
        <v>74</v>
      </c>
      <c r="AU669" s="1">
        <v>2016.0</v>
      </c>
      <c r="AV669" s="1" t="s">
        <v>74</v>
      </c>
      <c r="AW669" s="1" t="s">
        <v>74</v>
      </c>
      <c r="AX669" s="1" t="s">
        <v>74</v>
      </c>
      <c r="AY669" s="1" t="s">
        <v>74</v>
      </c>
      <c r="AZ669" s="1" t="s">
        <v>74</v>
      </c>
      <c r="BA669" s="1" t="s">
        <v>74</v>
      </c>
      <c r="BB669" s="1">
        <v>345.0</v>
      </c>
      <c r="BC669" s="1">
        <v>372.0</v>
      </c>
      <c r="BD669" s="1" t="s">
        <v>74</v>
      </c>
      <c r="BE669" s="1" t="s">
        <v>74</v>
      </c>
      <c r="BF669" s="1" t="s">
        <v>74</v>
      </c>
      <c r="BG669" s="1" t="s">
        <v>74</v>
      </c>
      <c r="BH669" s="1" t="s">
        <v>74</v>
      </c>
      <c r="BI669" s="1" t="s">
        <v>74</v>
      </c>
      <c r="BJ669" s="1" t="s">
        <v>74</v>
      </c>
      <c r="BK669" s="1" t="s">
        <v>74</v>
      </c>
      <c r="BL669" s="1" t="s">
        <v>74</v>
      </c>
      <c r="BM669" s="1" t="s">
        <v>74</v>
      </c>
      <c r="BN669" s="1" t="s">
        <v>74</v>
      </c>
      <c r="BO669" s="1" t="s">
        <v>74</v>
      </c>
      <c r="BP669" s="1" t="s">
        <v>74</v>
      </c>
      <c r="BQ669" s="1" t="s">
        <v>74</v>
      </c>
      <c r="BR669" s="1" t="s">
        <v>74</v>
      </c>
      <c r="BS669" s="1" t="s">
        <v>6393</v>
      </c>
      <c r="BT669" s="1" t="str">
        <f>HYPERLINK("https%3A%2F%2Fwww.webofscience.com%2Fwos%2Fwoscc%2Ffull-record%2FWOS:000401436600018","View Full Record in Web of Science")</f>
        <v>View Full Record in Web of Science</v>
      </c>
    </row>
    <row r="670" ht="12.75" customHeight="1">
      <c r="A670" s="1" t="s">
        <v>346</v>
      </c>
      <c r="B670" s="1" t="s">
        <v>6394</v>
      </c>
      <c r="C670" s="1" t="s">
        <v>74</v>
      </c>
      <c r="D670" s="1" t="s">
        <v>6395</v>
      </c>
      <c r="E670" s="1" t="s">
        <v>74</v>
      </c>
      <c r="F670" s="1" t="s">
        <v>6396</v>
      </c>
      <c r="G670" s="1" t="s">
        <v>74</v>
      </c>
      <c r="H670" s="1" t="s">
        <v>74</v>
      </c>
      <c r="I670" s="1" t="s">
        <v>6397</v>
      </c>
      <c r="J670" s="1" t="s">
        <v>6398</v>
      </c>
      <c r="K670" s="1" t="s">
        <v>1807</v>
      </c>
      <c r="L670" s="1" t="s">
        <v>74</v>
      </c>
      <c r="M670" s="1" t="s">
        <v>74</v>
      </c>
      <c r="N670" s="1" t="s">
        <v>74</v>
      </c>
      <c r="O670" s="1" t="s">
        <v>6399</v>
      </c>
      <c r="P670" s="1" t="s">
        <v>6400</v>
      </c>
      <c r="Q670" s="1" t="s">
        <v>6401</v>
      </c>
      <c r="R670" s="1" t="s">
        <v>2550</v>
      </c>
      <c r="S670" s="1" t="s">
        <v>74</v>
      </c>
      <c r="T670" s="1" t="s">
        <v>74</v>
      </c>
      <c r="U670" s="1" t="s">
        <v>74</v>
      </c>
      <c r="V670" s="1" t="s">
        <v>6402</v>
      </c>
      <c r="W670" s="1" t="s">
        <v>74</v>
      </c>
      <c r="X670" s="1" t="s">
        <v>74</v>
      </c>
      <c r="Y670" s="1" t="s">
        <v>74</v>
      </c>
      <c r="Z670" s="1" t="s">
        <v>74</v>
      </c>
      <c r="AA670" s="1" t="s">
        <v>6403</v>
      </c>
      <c r="AB670" s="1" t="s">
        <v>6404</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1813</v>
      </c>
      <c r="AP670" s="1" t="s">
        <v>1814</v>
      </c>
      <c r="AQ670" s="1" t="s">
        <v>6405</v>
      </c>
      <c r="AR670" s="1" t="s">
        <v>74</v>
      </c>
      <c r="AS670" s="1" t="s">
        <v>74</v>
      </c>
      <c r="AT670" s="1" t="s">
        <v>74</v>
      </c>
      <c r="AU670" s="1">
        <v>2014.0</v>
      </c>
      <c r="AV670" s="1">
        <v>9147.0</v>
      </c>
      <c r="AW670" s="1" t="s">
        <v>74</v>
      </c>
      <c r="AX670" s="1" t="s">
        <v>74</v>
      </c>
      <c r="AY670" s="1" t="s">
        <v>74</v>
      </c>
      <c r="AZ670" s="1" t="s">
        <v>74</v>
      </c>
      <c r="BA670" s="1" t="s">
        <v>74</v>
      </c>
      <c r="BB670" s="1" t="s">
        <v>74</v>
      </c>
      <c r="BC670" s="1" t="s">
        <v>74</v>
      </c>
      <c r="BD670" s="1">
        <v>914789.0</v>
      </c>
      <c r="BE670" s="1" t="s">
        <v>6406</v>
      </c>
      <c r="BF670" s="2" t="str">
        <f>HYPERLINK("http://dx.doi.org/10.1117/12.2056551","http://dx.doi.org/10.1117/12.2056551")</f>
        <v>http://dx.doi.org/10.1117/12.2056551</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6407</v>
      </c>
      <c r="BT670" s="1" t="str">
        <f>HYPERLINK("https%3A%2F%2Fwww.webofscience.com%2Fwos%2Fwoscc%2Ffull-record%2FWOS:000354527800251","View Full Record in Web of Science")</f>
        <v>View Full Record in Web of Science</v>
      </c>
    </row>
    <row r="671" ht="12.75" customHeight="1">
      <c r="A671" s="1" t="s">
        <v>72</v>
      </c>
      <c r="B671" s="1" t="s">
        <v>6408</v>
      </c>
      <c r="C671" s="1" t="s">
        <v>74</v>
      </c>
      <c r="D671" s="1" t="s">
        <v>74</v>
      </c>
      <c r="E671" s="1" t="s">
        <v>74</v>
      </c>
      <c r="F671" s="1" t="s">
        <v>6409</v>
      </c>
      <c r="G671" s="1" t="s">
        <v>74</v>
      </c>
      <c r="H671" s="1" t="s">
        <v>74</v>
      </c>
      <c r="I671" s="1" t="s">
        <v>6410</v>
      </c>
      <c r="J671" s="1" t="s">
        <v>6411</v>
      </c>
      <c r="K671" s="1" t="s">
        <v>74</v>
      </c>
      <c r="L671" s="1" t="s">
        <v>74</v>
      </c>
      <c r="M671" s="1" t="s">
        <v>74</v>
      </c>
      <c r="N671" s="1" t="s">
        <v>74</v>
      </c>
      <c r="O671" s="1" t="s">
        <v>74</v>
      </c>
      <c r="P671" s="1" t="s">
        <v>74</v>
      </c>
      <c r="Q671" s="1" t="s">
        <v>74</v>
      </c>
      <c r="R671" s="1" t="s">
        <v>74</v>
      </c>
      <c r="S671" s="1" t="s">
        <v>74</v>
      </c>
      <c r="T671" s="1" t="s">
        <v>74</v>
      </c>
      <c r="U671" s="1" t="s">
        <v>74</v>
      </c>
      <c r="V671" s="1" t="s">
        <v>6412</v>
      </c>
      <c r="W671" s="1" t="s">
        <v>74</v>
      </c>
      <c r="X671" s="1" t="s">
        <v>74</v>
      </c>
      <c r="Y671" s="1" t="s">
        <v>74</v>
      </c>
      <c r="Z671" s="1" t="s">
        <v>74</v>
      </c>
      <c r="AA671" s="1" t="s">
        <v>2706</v>
      </c>
      <c r="AB671" s="1" t="s">
        <v>3796</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6413</v>
      </c>
      <c r="AP671" s="1" t="s">
        <v>6414</v>
      </c>
      <c r="AQ671" s="1" t="s">
        <v>74</v>
      </c>
      <c r="AR671" s="1" t="s">
        <v>74</v>
      </c>
      <c r="AS671" s="1" t="s">
        <v>74</v>
      </c>
      <c r="AT671" s="1" t="s">
        <v>554</v>
      </c>
      <c r="AU671" s="1">
        <v>2013.0</v>
      </c>
      <c r="AV671" s="1">
        <v>44.0</v>
      </c>
      <c r="AW671" s="1">
        <v>3.0</v>
      </c>
      <c r="AX671" s="1" t="s">
        <v>74</v>
      </c>
      <c r="AY671" s="1" t="s">
        <v>74</v>
      </c>
      <c r="AZ671" s="1" t="s">
        <v>74</v>
      </c>
      <c r="BA671" s="1" t="s">
        <v>74</v>
      </c>
      <c r="BB671" s="1">
        <v>624.0</v>
      </c>
      <c r="BC671" s="1">
        <v>652.0</v>
      </c>
      <c r="BD671" s="1" t="s">
        <v>74</v>
      </c>
      <c r="BE671" s="1" t="s">
        <v>6415</v>
      </c>
      <c r="BF671" s="2" t="str">
        <f>HYPERLINK("http://dx.doi.org/10.1007/s11663-013-9815-y","http://dx.doi.org/10.1007/s11663-013-9815-y")</f>
        <v>http://dx.doi.org/10.1007/s11663-013-9815-y</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6416</v>
      </c>
      <c r="BT671" s="1" t="str">
        <f>HYPERLINK("https%3A%2F%2Fwww.webofscience.com%2Fwos%2Fwoscc%2Ffull-record%2FWOS:000318736900015","View Full Record in Web of Science")</f>
        <v>View Full Record in Web of Science</v>
      </c>
    </row>
    <row r="672" ht="12.75" customHeight="1">
      <c r="A672" s="1" t="s">
        <v>72</v>
      </c>
      <c r="B672" s="1" t="s">
        <v>6417</v>
      </c>
      <c r="C672" s="1" t="s">
        <v>74</v>
      </c>
      <c r="D672" s="1" t="s">
        <v>74</v>
      </c>
      <c r="E672" s="1" t="s">
        <v>74</v>
      </c>
      <c r="F672" s="1" t="s">
        <v>6418</v>
      </c>
      <c r="G672" s="1" t="s">
        <v>74</v>
      </c>
      <c r="H672" s="1" t="s">
        <v>74</v>
      </c>
      <c r="I672" s="1" t="s">
        <v>6419</v>
      </c>
      <c r="J672" s="1" t="s">
        <v>6420</v>
      </c>
      <c r="K672" s="1" t="s">
        <v>74</v>
      </c>
      <c r="L672" s="1" t="s">
        <v>74</v>
      </c>
      <c r="M672" s="1" t="s">
        <v>74</v>
      </c>
      <c r="N672" s="1" t="s">
        <v>74</v>
      </c>
      <c r="O672" s="1" t="s">
        <v>74</v>
      </c>
      <c r="P672" s="1" t="s">
        <v>74</v>
      </c>
      <c r="Q672" s="1" t="s">
        <v>74</v>
      </c>
      <c r="R672" s="1" t="s">
        <v>74</v>
      </c>
      <c r="S672" s="1" t="s">
        <v>74</v>
      </c>
      <c r="T672" s="1" t="s">
        <v>74</v>
      </c>
      <c r="U672" s="1" t="s">
        <v>74</v>
      </c>
      <c r="V672" s="1" t="s">
        <v>6421</v>
      </c>
      <c r="W672" s="1" t="s">
        <v>74</v>
      </c>
      <c r="X672" s="1" t="s">
        <v>74</v>
      </c>
      <c r="Y672" s="1" t="s">
        <v>74</v>
      </c>
      <c r="Z672" s="1" t="s">
        <v>74</v>
      </c>
      <c r="AA672" s="1" t="s">
        <v>6422</v>
      </c>
      <c r="AB672" s="1" t="s">
        <v>6423</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6424</v>
      </c>
      <c r="AP672" s="1" t="s">
        <v>6425</v>
      </c>
      <c r="AQ672" s="1" t="s">
        <v>74</v>
      </c>
      <c r="AR672" s="1" t="s">
        <v>74</v>
      </c>
      <c r="AS672" s="1" t="s">
        <v>74</v>
      </c>
      <c r="AT672" s="1" t="s">
        <v>74</v>
      </c>
      <c r="AU672" s="1">
        <v>2013.0</v>
      </c>
      <c r="AV672" s="1">
        <v>9.0</v>
      </c>
      <c r="AW672" s="1">
        <v>34.0</v>
      </c>
      <c r="AX672" s="1" t="s">
        <v>74</v>
      </c>
      <c r="AY672" s="1" t="s">
        <v>74</v>
      </c>
      <c r="AZ672" s="1" t="s">
        <v>74</v>
      </c>
      <c r="BA672" s="1" t="s">
        <v>74</v>
      </c>
      <c r="BB672" s="1">
        <v>8282.0</v>
      </c>
      <c r="BC672" s="1">
        <v>8288.0</v>
      </c>
      <c r="BD672" s="1" t="s">
        <v>74</v>
      </c>
      <c r="BE672" s="1" t="s">
        <v>6426</v>
      </c>
      <c r="BF672" s="2" t="str">
        <f>HYPERLINK("http://dx.doi.org/10.1039/c3sm50564b","http://dx.doi.org/10.1039/c3sm50564b")</f>
        <v>http://dx.doi.org/10.1039/c3sm50564b</v>
      </c>
      <c r="BG672" s="1" t="s">
        <v>74</v>
      </c>
      <c r="BH672" s="1" t="s">
        <v>74</v>
      </c>
      <c r="BI672" s="1" t="s">
        <v>74</v>
      </c>
      <c r="BJ672" s="1" t="s">
        <v>74</v>
      </c>
      <c r="BK672" s="1" t="s">
        <v>74</v>
      </c>
      <c r="BL672" s="1" t="s">
        <v>74</v>
      </c>
      <c r="BM672" s="1" t="s">
        <v>74</v>
      </c>
      <c r="BN672" s="1" t="s">
        <v>74</v>
      </c>
      <c r="BO672" s="1" t="s">
        <v>74</v>
      </c>
      <c r="BP672" s="1" t="s">
        <v>74</v>
      </c>
      <c r="BQ672" s="1" t="s">
        <v>74</v>
      </c>
      <c r="BR672" s="1" t="s">
        <v>74</v>
      </c>
      <c r="BS672" s="1" t="s">
        <v>6427</v>
      </c>
      <c r="BT672" s="1" t="str">
        <f>HYPERLINK("https%3A%2F%2Fwww.webofscience.com%2Fwos%2Fwoscc%2Ffull-record%2FWOS:000322906900020","View Full Record in Web of Science")</f>
        <v>View Full Record in Web of Science</v>
      </c>
    </row>
    <row r="673" ht="12.75" customHeight="1">
      <c r="A673" s="1" t="s">
        <v>72</v>
      </c>
      <c r="B673" s="1" t="s">
        <v>6428</v>
      </c>
      <c r="C673" s="1" t="s">
        <v>74</v>
      </c>
      <c r="D673" s="1" t="s">
        <v>74</v>
      </c>
      <c r="E673" s="1" t="s">
        <v>74</v>
      </c>
      <c r="F673" s="1" t="s">
        <v>6429</v>
      </c>
      <c r="G673" s="1" t="s">
        <v>74</v>
      </c>
      <c r="H673" s="1" t="s">
        <v>74</v>
      </c>
      <c r="I673" s="1" t="s">
        <v>6430</v>
      </c>
      <c r="J673" s="1" t="s">
        <v>1471</v>
      </c>
      <c r="K673" s="1" t="s">
        <v>74</v>
      </c>
      <c r="L673" s="1" t="s">
        <v>74</v>
      </c>
      <c r="M673" s="1" t="s">
        <v>74</v>
      </c>
      <c r="N673" s="1" t="s">
        <v>74</v>
      </c>
      <c r="O673" s="1" t="s">
        <v>74</v>
      </c>
      <c r="P673" s="1" t="s">
        <v>74</v>
      </c>
      <c r="Q673" s="1" t="s">
        <v>74</v>
      </c>
      <c r="R673" s="1" t="s">
        <v>74</v>
      </c>
      <c r="S673" s="1" t="s">
        <v>74</v>
      </c>
      <c r="T673" s="1" t="s">
        <v>74</v>
      </c>
      <c r="U673" s="1" t="s">
        <v>74</v>
      </c>
      <c r="V673" s="1" t="s">
        <v>6431</v>
      </c>
      <c r="W673" s="1" t="s">
        <v>74</v>
      </c>
      <c r="X673" s="1" t="s">
        <v>74</v>
      </c>
      <c r="Y673" s="1" t="s">
        <v>74</v>
      </c>
      <c r="Z673" s="1" t="s">
        <v>74</v>
      </c>
      <c r="AA673" s="1" t="s">
        <v>74</v>
      </c>
      <c r="AB673" s="1" t="s">
        <v>6432</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1473</v>
      </c>
      <c r="AP673" s="1" t="s">
        <v>74</v>
      </c>
      <c r="AQ673" s="1" t="s">
        <v>74</v>
      </c>
      <c r="AR673" s="1" t="s">
        <v>74</v>
      </c>
      <c r="AS673" s="1" t="s">
        <v>74</v>
      </c>
      <c r="AT673" s="1" t="s">
        <v>1679</v>
      </c>
      <c r="AU673" s="1">
        <v>2011.0</v>
      </c>
      <c r="AV673" s="1">
        <v>24.0</v>
      </c>
      <c r="AW673" s="1" t="s">
        <v>6433</v>
      </c>
      <c r="AX673" s="1" t="s">
        <v>74</v>
      </c>
      <c r="AY673" s="1" t="s">
        <v>74</v>
      </c>
      <c r="AZ673" s="1" t="s">
        <v>74</v>
      </c>
      <c r="BA673" s="1" t="s">
        <v>74</v>
      </c>
      <c r="BB673" s="1">
        <v>1107.0</v>
      </c>
      <c r="BC673" s="1">
        <v>1124.0</v>
      </c>
      <c r="BD673" s="1" t="s">
        <v>74</v>
      </c>
      <c r="BE673" s="1" t="s">
        <v>74</v>
      </c>
      <c r="BF673" s="1" t="s">
        <v>74</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6434</v>
      </c>
      <c r="BT673" s="1" t="str">
        <f>HYPERLINK("https%3A%2F%2Fwww.webofscience.com%2Fwos%2Fwoscc%2Ffull-record%2FWOS:000295019900008","View Full Record in Web of Science")</f>
        <v>View Full Record in Web of Science</v>
      </c>
    </row>
    <row r="674" ht="12.75" customHeight="1">
      <c r="A674" s="1" t="s">
        <v>72</v>
      </c>
      <c r="B674" s="1" t="s">
        <v>6435</v>
      </c>
      <c r="C674" s="1" t="s">
        <v>74</v>
      </c>
      <c r="D674" s="1" t="s">
        <v>74</v>
      </c>
      <c r="E674" s="1" t="s">
        <v>74</v>
      </c>
      <c r="F674" s="1" t="s">
        <v>6436</v>
      </c>
      <c r="G674" s="1" t="s">
        <v>74</v>
      </c>
      <c r="H674" s="1" t="s">
        <v>74</v>
      </c>
      <c r="I674" s="1" t="s">
        <v>6437</v>
      </c>
      <c r="J674" s="1" t="s">
        <v>2716</v>
      </c>
      <c r="K674" s="1" t="s">
        <v>74</v>
      </c>
      <c r="L674" s="1" t="s">
        <v>74</v>
      </c>
      <c r="M674" s="1" t="s">
        <v>74</v>
      </c>
      <c r="N674" s="1" t="s">
        <v>74</v>
      </c>
      <c r="O674" s="1" t="s">
        <v>74</v>
      </c>
      <c r="P674" s="1" t="s">
        <v>74</v>
      </c>
      <c r="Q674" s="1" t="s">
        <v>74</v>
      </c>
      <c r="R674" s="1" t="s">
        <v>74</v>
      </c>
      <c r="S674" s="1" t="s">
        <v>74</v>
      </c>
      <c r="T674" s="1" t="s">
        <v>74</v>
      </c>
      <c r="U674" s="1" t="s">
        <v>74</v>
      </c>
      <c r="V674" s="1" t="s">
        <v>6438</v>
      </c>
      <c r="W674" s="1" t="s">
        <v>74</v>
      </c>
      <c r="X674" s="1" t="s">
        <v>74</v>
      </c>
      <c r="Y674" s="1" t="s">
        <v>74</v>
      </c>
      <c r="Z674" s="1" t="s">
        <v>74</v>
      </c>
      <c r="AA674" s="1" t="s">
        <v>6439</v>
      </c>
      <c r="AB674" s="1" t="s">
        <v>6440</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2720</v>
      </c>
      <c r="AP674" s="1" t="s">
        <v>74</v>
      </c>
      <c r="AQ674" s="1" t="s">
        <v>74</v>
      </c>
      <c r="AR674" s="1" t="s">
        <v>74</v>
      </c>
      <c r="AS674" s="1" t="s">
        <v>74</v>
      </c>
      <c r="AT674" s="1" t="s">
        <v>554</v>
      </c>
      <c r="AU674" s="1">
        <v>2011.0</v>
      </c>
      <c r="AV674" s="1">
        <v>9.0</v>
      </c>
      <c r="AW674" s="1">
        <v>3.0</v>
      </c>
      <c r="AX674" s="1" t="s">
        <v>74</v>
      </c>
      <c r="AY674" s="1" t="s">
        <v>74</v>
      </c>
      <c r="AZ674" s="1" t="s">
        <v>74</v>
      </c>
      <c r="BA674" s="1" t="s">
        <v>74</v>
      </c>
      <c r="BB674" s="1">
        <v>323.0</v>
      </c>
      <c r="BC674" s="1">
        <v>330.0</v>
      </c>
      <c r="BD674" s="1" t="s">
        <v>74</v>
      </c>
      <c r="BE674" s="1" t="s">
        <v>6441</v>
      </c>
      <c r="BF674" s="2" t="str">
        <f>HYPERLINK("http://dx.doi.org/10.1109/TLA.2011.5893779","http://dx.doi.org/10.1109/TLA.2011.5893779")</f>
        <v>http://dx.doi.org/10.1109/TLA.2011.5893779</v>
      </c>
      <c r="BG674" s="1" t="s">
        <v>74</v>
      </c>
      <c r="BH674" s="1" t="s">
        <v>74</v>
      </c>
      <c r="BI674" s="1" t="s">
        <v>74</v>
      </c>
      <c r="BJ674" s="1" t="s">
        <v>74</v>
      </c>
      <c r="BK674" s="1" t="s">
        <v>74</v>
      </c>
      <c r="BL674" s="1" t="s">
        <v>74</v>
      </c>
      <c r="BM674" s="1" t="s">
        <v>74</v>
      </c>
      <c r="BN674" s="1" t="s">
        <v>74</v>
      </c>
      <c r="BO674" s="1" t="s">
        <v>74</v>
      </c>
      <c r="BP674" s="1" t="s">
        <v>74</v>
      </c>
      <c r="BQ674" s="1" t="s">
        <v>74</v>
      </c>
      <c r="BR674" s="1" t="s">
        <v>74</v>
      </c>
      <c r="BS674" s="1" t="s">
        <v>6442</v>
      </c>
      <c r="BT674" s="1" t="str">
        <f>HYPERLINK("https%3A%2F%2Fwww.webofscience.com%2Fwos%2Fwoscc%2Ffull-record%2FWOS:000291850800013","View Full Record in Web of Science")</f>
        <v>View Full Record in Web of Science</v>
      </c>
    </row>
    <row r="675" ht="12.75" customHeight="1">
      <c r="A675" s="1" t="s">
        <v>72</v>
      </c>
      <c r="B675" s="1" t="s">
        <v>6443</v>
      </c>
      <c r="C675" s="1" t="s">
        <v>74</v>
      </c>
      <c r="D675" s="1" t="s">
        <v>74</v>
      </c>
      <c r="E675" s="1" t="s">
        <v>74</v>
      </c>
      <c r="F675" s="1" t="s">
        <v>6444</v>
      </c>
      <c r="G675" s="1" t="s">
        <v>74</v>
      </c>
      <c r="H675" s="1" t="s">
        <v>74</v>
      </c>
      <c r="I675" s="1" t="s">
        <v>6445</v>
      </c>
      <c r="J675" s="1" t="s">
        <v>6446</v>
      </c>
      <c r="K675" s="1" t="s">
        <v>74</v>
      </c>
      <c r="L675" s="1" t="s">
        <v>74</v>
      </c>
      <c r="M675" s="1" t="s">
        <v>74</v>
      </c>
      <c r="N675" s="1" t="s">
        <v>74</v>
      </c>
      <c r="O675" s="1" t="s">
        <v>74</v>
      </c>
      <c r="P675" s="1" t="s">
        <v>74</v>
      </c>
      <c r="Q675" s="1" t="s">
        <v>74</v>
      </c>
      <c r="R675" s="1" t="s">
        <v>74</v>
      </c>
      <c r="S675" s="1" t="s">
        <v>74</v>
      </c>
      <c r="T675" s="1" t="s">
        <v>74</v>
      </c>
      <c r="U675" s="1" t="s">
        <v>74</v>
      </c>
      <c r="V675" s="1" t="s">
        <v>6447</v>
      </c>
      <c r="W675" s="1" t="s">
        <v>74</v>
      </c>
      <c r="X675" s="1" t="s">
        <v>74</v>
      </c>
      <c r="Y675" s="1" t="s">
        <v>74</v>
      </c>
      <c r="Z675" s="1" t="s">
        <v>74</v>
      </c>
      <c r="AA675" s="1" t="s">
        <v>74</v>
      </c>
      <c r="AB675" s="1" t="s">
        <v>6448</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6449</v>
      </c>
      <c r="AP675" s="1" t="s">
        <v>6450</v>
      </c>
      <c r="AQ675" s="1" t="s">
        <v>74</v>
      </c>
      <c r="AR675" s="1" t="s">
        <v>74</v>
      </c>
      <c r="AS675" s="1" t="s">
        <v>74</v>
      </c>
      <c r="AT675" s="1" t="s">
        <v>187</v>
      </c>
      <c r="AU675" s="1">
        <v>2011.0</v>
      </c>
      <c r="AV675" s="1">
        <v>39.0</v>
      </c>
      <c r="AW675" s="1">
        <v>4.0</v>
      </c>
      <c r="AX675" s="1" t="s">
        <v>74</v>
      </c>
      <c r="AY675" s="1" t="s">
        <v>74</v>
      </c>
      <c r="AZ675" s="1" t="s">
        <v>74</v>
      </c>
      <c r="BA675" s="1" t="s">
        <v>74</v>
      </c>
      <c r="BB675" s="1">
        <v>258.0</v>
      </c>
      <c r="BC675" s="1">
        <v>263.0</v>
      </c>
      <c r="BD675" s="1" t="s">
        <v>74</v>
      </c>
      <c r="BE675" s="1" t="s">
        <v>6451</v>
      </c>
      <c r="BF675" s="2" t="str">
        <f>HYPERLINK("http://dx.doi.org/10.1002/dc.21376","http://dx.doi.org/10.1002/dc.21376")</f>
        <v>http://dx.doi.org/10.1002/dc.21376</v>
      </c>
      <c r="BG675" s="1" t="s">
        <v>74</v>
      </c>
      <c r="BH675" s="1" t="s">
        <v>74</v>
      </c>
      <c r="BI675" s="1" t="s">
        <v>74</v>
      </c>
      <c r="BJ675" s="1" t="s">
        <v>74</v>
      </c>
      <c r="BK675" s="1" t="s">
        <v>74</v>
      </c>
      <c r="BL675" s="1" t="s">
        <v>74</v>
      </c>
      <c r="BM675" s="1" t="s">
        <v>74</v>
      </c>
      <c r="BN675" s="1">
        <v>2.1416639E7</v>
      </c>
      <c r="BO675" s="1" t="s">
        <v>74</v>
      </c>
      <c r="BP675" s="1" t="s">
        <v>74</v>
      </c>
      <c r="BQ675" s="1" t="s">
        <v>74</v>
      </c>
      <c r="BR675" s="1" t="s">
        <v>74</v>
      </c>
      <c r="BS675" s="1" t="s">
        <v>6452</v>
      </c>
      <c r="BT675" s="1" t="str">
        <f>HYPERLINK("https%3A%2F%2Fwww.webofscience.com%2Fwos%2Fwoscc%2Ffull-record%2FWOS:000288600400005","View Full Record in Web of Science")</f>
        <v>View Full Record in Web of Science</v>
      </c>
    </row>
    <row r="676" ht="12.75" customHeight="1">
      <c r="A676" s="1" t="s">
        <v>72</v>
      </c>
      <c r="B676" s="1" t="s">
        <v>6453</v>
      </c>
      <c r="C676" s="1" t="s">
        <v>74</v>
      </c>
      <c r="D676" s="1" t="s">
        <v>74</v>
      </c>
      <c r="E676" s="1" t="s">
        <v>74</v>
      </c>
      <c r="F676" s="1" t="s">
        <v>6454</v>
      </c>
      <c r="G676" s="1" t="s">
        <v>74</v>
      </c>
      <c r="H676" s="1" t="s">
        <v>74</v>
      </c>
      <c r="I676" s="1" t="s">
        <v>6455</v>
      </c>
      <c r="J676" s="1" t="s">
        <v>5568</v>
      </c>
      <c r="K676" s="1" t="s">
        <v>74</v>
      </c>
      <c r="L676" s="1" t="s">
        <v>74</v>
      </c>
      <c r="M676" s="1" t="s">
        <v>74</v>
      </c>
      <c r="N676" s="1" t="s">
        <v>74</v>
      </c>
      <c r="O676" s="1" t="s">
        <v>74</v>
      </c>
      <c r="P676" s="1" t="s">
        <v>74</v>
      </c>
      <c r="Q676" s="1" t="s">
        <v>74</v>
      </c>
      <c r="R676" s="1" t="s">
        <v>74</v>
      </c>
      <c r="S676" s="1" t="s">
        <v>74</v>
      </c>
      <c r="T676" s="1" t="s">
        <v>74</v>
      </c>
      <c r="U676" s="1" t="s">
        <v>74</v>
      </c>
      <c r="V676" s="1" t="s">
        <v>6456</v>
      </c>
      <c r="W676" s="1" t="s">
        <v>74</v>
      </c>
      <c r="X676" s="1" t="s">
        <v>74</v>
      </c>
      <c r="Y676" s="1" t="s">
        <v>74</v>
      </c>
      <c r="Z676" s="1" t="s">
        <v>74</v>
      </c>
      <c r="AA676" s="1" t="s">
        <v>6457</v>
      </c>
      <c r="AB676" s="1" t="s">
        <v>6458</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5572</v>
      </c>
      <c r="AP676" s="1" t="s">
        <v>5614</v>
      </c>
      <c r="AQ676" s="1" t="s">
        <v>74</v>
      </c>
      <c r="AR676" s="1" t="s">
        <v>74</v>
      </c>
      <c r="AS676" s="1" t="s">
        <v>74</v>
      </c>
      <c r="AT676" s="1" t="s">
        <v>596</v>
      </c>
      <c r="AU676" s="1">
        <v>2008.0</v>
      </c>
      <c r="AV676" s="1">
        <v>42.0</v>
      </c>
      <c r="AW676" s="1">
        <v>35.0</v>
      </c>
      <c r="AX676" s="1" t="s">
        <v>74</v>
      </c>
      <c r="AY676" s="1" t="s">
        <v>74</v>
      </c>
      <c r="AZ676" s="1" t="s">
        <v>74</v>
      </c>
      <c r="BA676" s="1" t="s">
        <v>74</v>
      </c>
      <c r="BB676" s="1">
        <v>8219.0</v>
      </c>
      <c r="BC676" s="1">
        <v>8224.0</v>
      </c>
      <c r="BD676" s="1" t="s">
        <v>74</v>
      </c>
      <c r="BE676" s="1" t="s">
        <v>6459</v>
      </c>
      <c r="BF676" s="2" t="str">
        <f>HYPERLINK("http://dx.doi.org/10.1016/j.atmosenv.2008.07.035","http://dx.doi.org/10.1016/j.atmosenv.2008.07.035")</f>
        <v>http://dx.doi.org/10.1016/j.atmosenv.2008.07.035</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6460</v>
      </c>
      <c r="BT676" s="1" t="str">
        <f>HYPERLINK("https%3A%2F%2Fwww.webofscience.com%2Fwos%2Fwoscc%2Ffull-record%2FWOS:000261301200010","View Full Record in Web of Science")</f>
        <v>View Full Record in Web of Science</v>
      </c>
    </row>
    <row r="677" ht="12.75" customHeight="1">
      <c r="A677" s="1" t="s">
        <v>72</v>
      </c>
      <c r="B677" s="1" t="s">
        <v>6461</v>
      </c>
      <c r="C677" s="1" t="s">
        <v>74</v>
      </c>
      <c r="D677" s="1" t="s">
        <v>74</v>
      </c>
      <c r="E677" s="1" t="s">
        <v>74</v>
      </c>
      <c r="F677" s="1" t="s">
        <v>6462</v>
      </c>
      <c r="G677" s="1" t="s">
        <v>74</v>
      </c>
      <c r="H677" s="1" t="s">
        <v>74</v>
      </c>
      <c r="I677" s="1" t="s">
        <v>6463</v>
      </c>
      <c r="J677" s="1" t="s">
        <v>2828</v>
      </c>
      <c r="K677" s="1" t="s">
        <v>74</v>
      </c>
      <c r="L677" s="1" t="s">
        <v>74</v>
      </c>
      <c r="M677" s="1" t="s">
        <v>74</v>
      </c>
      <c r="N677" s="1" t="s">
        <v>74</v>
      </c>
      <c r="O677" s="1" t="s">
        <v>74</v>
      </c>
      <c r="P677" s="1" t="s">
        <v>74</v>
      </c>
      <c r="Q677" s="1" t="s">
        <v>74</v>
      </c>
      <c r="R677" s="1" t="s">
        <v>74</v>
      </c>
      <c r="S677" s="1" t="s">
        <v>74</v>
      </c>
      <c r="T677" s="1" t="s">
        <v>74</v>
      </c>
      <c r="U677" s="1" t="s">
        <v>74</v>
      </c>
      <c r="V677" s="1" t="s">
        <v>6464</v>
      </c>
      <c r="W677" s="1" t="s">
        <v>74</v>
      </c>
      <c r="X677" s="1" t="s">
        <v>74</v>
      </c>
      <c r="Y677" s="1" t="s">
        <v>74</v>
      </c>
      <c r="Z677" s="1" t="s">
        <v>74</v>
      </c>
      <c r="AA677" s="1" t="s">
        <v>74</v>
      </c>
      <c r="AB677" s="1" t="s">
        <v>6465</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2832</v>
      </c>
      <c r="AP677" s="1" t="s">
        <v>2833</v>
      </c>
      <c r="AQ677" s="1" t="s">
        <v>74</v>
      </c>
      <c r="AR677" s="1" t="s">
        <v>74</v>
      </c>
      <c r="AS677" s="1" t="s">
        <v>74</v>
      </c>
      <c r="AT677" s="1" t="s">
        <v>485</v>
      </c>
      <c r="AU677" s="1">
        <v>2007.0</v>
      </c>
      <c r="AV677" s="1">
        <v>35.0</v>
      </c>
      <c r="AW677" s="1">
        <v>2.0</v>
      </c>
      <c r="AX677" s="1" t="s">
        <v>74</v>
      </c>
      <c r="AY677" s="1" t="s">
        <v>74</v>
      </c>
      <c r="AZ677" s="1" t="s">
        <v>74</v>
      </c>
      <c r="BA677" s="1" t="s">
        <v>74</v>
      </c>
      <c r="BB677" s="1">
        <v>52.0</v>
      </c>
      <c r="BC677" s="1">
        <v>56.0</v>
      </c>
      <c r="BD677" s="1" t="s">
        <v>74</v>
      </c>
      <c r="BE677" s="1" t="s">
        <v>6466</v>
      </c>
      <c r="BF677" s="2" t="str">
        <f>HYPERLINK("http://dx.doi.org/10.1157/13101338","http://dx.doi.org/10.1157/13101338")</f>
        <v>http://dx.doi.org/10.1157/13101338</v>
      </c>
      <c r="BG677" s="1" t="s">
        <v>74</v>
      </c>
      <c r="BH677" s="1" t="s">
        <v>74</v>
      </c>
      <c r="BI677" s="1" t="s">
        <v>74</v>
      </c>
      <c r="BJ677" s="1" t="s">
        <v>74</v>
      </c>
      <c r="BK677" s="1" t="s">
        <v>74</v>
      </c>
      <c r="BL677" s="1" t="s">
        <v>74</v>
      </c>
      <c r="BM677" s="1" t="s">
        <v>74</v>
      </c>
      <c r="BN677" s="1">
        <v>1.74284E7</v>
      </c>
      <c r="BO677" s="1" t="s">
        <v>74</v>
      </c>
      <c r="BP677" s="1" t="s">
        <v>74</v>
      </c>
      <c r="BQ677" s="1" t="s">
        <v>74</v>
      </c>
      <c r="BR677" s="1" t="s">
        <v>74</v>
      </c>
      <c r="BS677" s="1" t="s">
        <v>6467</v>
      </c>
      <c r="BT677" s="1" t="str">
        <f>HYPERLINK("https%3A%2F%2Fwww.webofscience.com%2Fwos%2Fwoscc%2Ffull-record%2FWOS:000254249800004","View Full Record in Web of Science")</f>
        <v>View Full Record in Web of Science</v>
      </c>
    </row>
    <row r="678" ht="12.75" customHeight="1">
      <c r="A678" s="1" t="s">
        <v>72</v>
      </c>
      <c r="B678" s="1" t="s">
        <v>6468</v>
      </c>
      <c r="C678" s="1" t="s">
        <v>74</v>
      </c>
      <c r="D678" s="1" t="s">
        <v>74</v>
      </c>
      <c r="E678" s="1" t="s">
        <v>74</v>
      </c>
      <c r="F678" s="1" t="s">
        <v>6469</v>
      </c>
      <c r="G678" s="1" t="s">
        <v>74</v>
      </c>
      <c r="H678" s="1" t="s">
        <v>74</v>
      </c>
      <c r="I678" s="1" t="s">
        <v>6470</v>
      </c>
      <c r="J678" s="1" t="s">
        <v>6471</v>
      </c>
      <c r="K678" s="1" t="s">
        <v>74</v>
      </c>
      <c r="L678" s="1" t="s">
        <v>74</v>
      </c>
      <c r="M678" s="1" t="s">
        <v>74</v>
      </c>
      <c r="N678" s="1" t="s">
        <v>74</v>
      </c>
      <c r="O678" s="1" t="s">
        <v>74</v>
      </c>
      <c r="P678" s="1" t="s">
        <v>74</v>
      </c>
      <c r="Q678" s="1" t="s">
        <v>74</v>
      </c>
      <c r="R678" s="1" t="s">
        <v>74</v>
      </c>
      <c r="S678" s="1" t="s">
        <v>74</v>
      </c>
      <c r="T678" s="1" t="s">
        <v>74</v>
      </c>
      <c r="U678" s="1" t="s">
        <v>74</v>
      </c>
      <c r="V678" s="1" t="s">
        <v>6472</v>
      </c>
      <c r="W678" s="1" t="s">
        <v>74</v>
      </c>
      <c r="X678" s="1" t="s">
        <v>74</v>
      </c>
      <c r="Y678" s="1" t="s">
        <v>74</v>
      </c>
      <c r="Z678" s="1" t="s">
        <v>74</v>
      </c>
      <c r="AA678" s="1" t="s">
        <v>6473</v>
      </c>
      <c r="AB678" s="1" t="s">
        <v>6474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6475</v>
      </c>
      <c r="AP678" s="1" t="s">
        <v>6476</v>
      </c>
      <c r="AQ678" s="1" t="s">
        <v>74</v>
      </c>
      <c r="AR678" s="1" t="s">
        <v>74</v>
      </c>
      <c r="AS678" s="1" t="s">
        <v>74</v>
      </c>
      <c r="AT678" s="1" t="s">
        <v>6477</v>
      </c>
      <c r="AU678" s="1">
        <v>2007.0</v>
      </c>
      <c r="AV678" s="1">
        <v>90.0</v>
      </c>
      <c r="AW678" s="1">
        <v>6.0</v>
      </c>
      <c r="AX678" s="1" t="s">
        <v>74</v>
      </c>
      <c r="AY678" s="1" t="s">
        <v>74</v>
      </c>
      <c r="AZ678" s="1" t="s">
        <v>74</v>
      </c>
      <c r="BA678" s="1" t="s">
        <v>74</v>
      </c>
      <c r="BB678" s="1" t="s">
        <v>74</v>
      </c>
      <c r="BC678" s="1" t="s">
        <v>74</v>
      </c>
      <c r="BD678" s="1">
        <v>63903.0</v>
      </c>
      <c r="BE678" s="1" t="s">
        <v>6478</v>
      </c>
      <c r="BF678" s="2" t="str">
        <f>HYPERLINK("http://dx.doi.org/10.1063/1.2437672","http://dx.doi.org/10.1063/1.2437672")</f>
        <v>http://dx.doi.org/10.1063/1.2437672</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6479</v>
      </c>
      <c r="BT678" s="1" t="str">
        <f>HYPERLINK("https%3A%2F%2Fwww.webofscience.com%2Fwos%2Fwoscc%2Ffull-record%2FWOS:000244162300109","View Full Record in Web of Science")</f>
        <v>View Full Record in Web of Science</v>
      </c>
    </row>
    <row r="679" ht="12.75" customHeight="1">
      <c r="A679" s="1" t="s">
        <v>72</v>
      </c>
      <c r="B679" s="1" t="s">
        <v>6480</v>
      </c>
      <c r="C679" s="1" t="s">
        <v>74</v>
      </c>
      <c r="D679" s="1" t="s">
        <v>74</v>
      </c>
      <c r="E679" s="1" t="s">
        <v>74</v>
      </c>
      <c r="F679" s="1" t="s">
        <v>6481</v>
      </c>
      <c r="G679" s="1" t="s">
        <v>74</v>
      </c>
      <c r="H679" s="1" t="s">
        <v>74</v>
      </c>
      <c r="I679" s="1" t="s">
        <v>6482</v>
      </c>
      <c r="J679" s="1" t="s">
        <v>3266</v>
      </c>
      <c r="K679" s="1" t="s">
        <v>74</v>
      </c>
      <c r="L679" s="1" t="s">
        <v>74</v>
      </c>
      <c r="M679" s="1" t="s">
        <v>74</v>
      </c>
      <c r="N679" s="1" t="s">
        <v>74</v>
      </c>
      <c r="O679" s="1" t="s">
        <v>74</v>
      </c>
      <c r="P679" s="1" t="s">
        <v>74</v>
      </c>
      <c r="Q679" s="1" t="s">
        <v>74</v>
      </c>
      <c r="R679" s="1" t="s">
        <v>74</v>
      </c>
      <c r="S679" s="1" t="s">
        <v>74</v>
      </c>
      <c r="T679" s="1" t="s">
        <v>74</v>
      </c>
      <c r="U679" s="1" t="s">
        <v>74</v>
      </c>
      <c r="V679" s="1" t="s">
        <v>74</v>
      </c>
      <c r="W679" s="1" t="s">
        <v>74</v>
      </c>
      <c r="X679" s="1" t="s">
        <v>74</v>
      </c>
      <c r="Y679" s="1" t="s">
        <v>74</v>
      </c>
      <c r="Z679" s="1" t="s">
        <v>74</v>
      </c>
      <c r="AA679" s="1" t="s">
        <v>74</v>
      </c>
      <c r="AB679" s="1" t="s">
        <v>74</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3271</v>
      </c>
      <c r="AP679" s="1" t="s">
        <v>74</v>
      </c>
      <c r="AQ679" s="1" t="s">
        <v>74</v>
      </c>
      <c r="AR679" s="1" t="s">
        <v>74</v>
      </c>
      <c r="AS679" s="1" t="s">
        <v>74</v>
      </c>
      <c r="AT679" s="1" t="s">
        <v>332</v>
      </c>
      <c r="AU679" s="1">
        <v>2006.0</v>
      </c>
      <c r="AV679" s="1">
        <v>232.0</v>
      </c>
      <c r="AW679" s="1" t="s">
        <v>74</v>
      </c>
      <c r="AX679" s="1" t="s">
        <v>74</v>
      </c>
      <c r="AY679" s="1" t="s">
        <v>74</v>
      </c>
      <c r="AZ679" s="1" t="s">
        <v>74</v>
      </c>
      <c r="BA679" s="1" t="s">
        <v>6483</v>
      </c>
      <c r="BB679" s="1" t="s">
        <v>74</v>
      </c>
      <c r="BC679" s="1" t="s">
        <v>74</v>
      </c>
      <c r="BD679" s="1" t="s">
        <v>74</v>
      </c>
      <c r="BE679" s="1" t="s">
        <v>74</v>
      </c>
      <c r="BF679" s="1" t="s">
        <v>74</v>
      </c>
      <c r="BG679" s="1" t="s">
        <v>74</v>
      </c>
      <c r="BH679" s="1" t="s">
        <v>74</v>
      </c>
      <c r="BI679" s="1" t="s">
        <v>74</v>
      </c>
      <c r="BJ679" s="1" t="s">
        <v>74</v>
      </c>
      <c r="BK679" s="1" t="s">
        <v>74</v>
      </c>
      <c r="BL679" s="1" t="s">
        <v>74</v>
      </c>
      <c r="BM679" s="1" t="s">
        <v>74</v>
      </c>
      <c r="BN679" s="1" t="s">
        <v>74</v>
      </c>
      <c r="BO679" s="1" t="s">
        <v>74</v>
      </c>
      <c r="BP679" s="1" t="s">
        <v>74</v>
      </c>
      <c r="BQ679" s="1" t="s">
        <v>74</v>
      </c>
      <c r="BR679" s="1" t="s">
        <v>74</v>
      </c>
      <c r="BS679" s="1" t="s">
        <v>6484</v>
      </c>
      <c r="BT679" s="1" t="str">
        <f>HYPERLINK("https%3A%2F%2Fwww.webofscience.com%2Fwos%2Fwoscc%2Ffull-record%2FWOS:000207781607279","View Full Record in Web of Science")</f>
        <v>View Full Record in Web of Science</v>
      </c>
    </row>
    <row r="680" ht="12.75" customHeight="1">
      <c r="A680" s="1" t="s">
        <v>72</v>
      </c>
      <c r="B680" s="1" t="s">
        <v>6485</v>
      </c>
      <c r="C680" s="1" t="s">
        <v>74</v>
      </c>
      <c r="D680" s="1" t="s">
        <v>74</v>
      </c>
      <c r="E680" s="1" t="s">
        <v>74</v>
      </c>
      <c r="F680" s="1" t="s">
        <v>6485</v>
      </c>
      <c r="G680" s="1" t="s">
        <v>74</v>
      </c>
      <c r="H680" s="1" t="s">
        <v>74</v>
      </c>
      <c r="I680" s="1" t="s">
        <v>6486</v>
      </c>
      <c r="J680" s="1" t="s">
        <v>6487</v>
      </c>
      <c r="K680" s="1" t="s">
        <v>74</v>
      </c>
      <c r="L680" s="1" t="s">
        <v>74</v>
      </c>
      <c r="M680" s="1" t="s">
        <v>74</v>
      </c>
      <c r="N680" s="1" t="s">
        <v>74</v>
      </c>
      <c r="O680" s="1" t="s">
        <v>74</v>
      </c>
      <c r="P680" s="1" t="s">
        <v>74</v>
      </c>
      <c r="Q680" s="1" t="s">
        <v>74</v>
      </c>
      <c r="R680" s="1" t="s">
        <v>74</v>
      </c>
      <c r="S680" s="1" t="s">
        <v>74</v>
      </c>
      <c r="T680" s="1" t="s">
        <v>74</v>
      </c>
      <c r="U680" s="1" t="s">
        <v>74</v>
      </c>
      <c r="V680" s="1" t="s">
        <v>6488</v>
      </c>
      <c r="W680" s="1" t="s">
        <v>74</v>
      </c>
      <c r="X680" s="1" t="s">
        <v>74</v>
      </c>
      <c r="Y680" s="1" t="s">
        <v>74</v>
      </c>
      <c r="Z680" s="1" t="s">
        <v>74</v>
      </c>
      <c r="AA680" s="1" t="s">
        <v>6489</v>
      </c>
      <c r="AB680" s="1" t="s">
        <v>6490</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6491</v>
      </c>
      <c r="AP680" s="1" t="s">
        <v>6492</v>
      </c>
      <c r="AQ680" s="1" t="s">
        <v>74</v>
      </c>
      <c r="AR680" s="1" t="s">
        <v>74</v>
      </c>
      <c r="AS680" s="1" t="s">
        <v>74</v>
      </c>
      <c r="AT680" s="1" t="s">
        <v>74</v>
      </c>
      <c r="AU680" s="1">
        <v>2006.0</v>
      </c>
      <c r="AV680" s="1">
        <v>153.0</v>
      </c>
      <c r="AW680" s="1">
        <v>1.0</v>
      </c>
      <c r="AX680" s="1" t="s">
        <v>74</v>
      </c>
      <c r="AY680" s="1" t="s">
        <v>74</v>
      </c>
      <c r="AZ680" s="1" t="s">
        <v>74</v>
      </c>
      <c r="BA680" s="1" t="s">
        <v>74</v>
      </c>
      <c r="BB680" s="1" t="s">
        <v>6493</v>
      </c>
      <c r="BC680" s="1" t="s">
        <v>6494</v>
      </c>
      <c r="BD680" s="1" t="s">
        <v>74</v>
      </c>
      <c r="BE680" s="1" t="s">
        <v>6495</v>
      </c>
      <c r="BF680" s="2" t="str">
        <f>HYPERLINK("http://dx.doi.org/10.1149/1.2135207","http://dx.doi.org/10.1149/1.2135207")</f>
        <v>http://dx.doi.org/10.1149/1.2135207</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6496</v>
      </c>
      <c r="BT680" s="1" t="str">
        <f>HYPERLINK("https%3A%2F%2Fwww.webofscience.com%2Fwos%2Fwoscc%2Ffull-record%2FWOS:000234142400080","View Full Record in Web of Science")</f>
        <v>View Full Record in Web of Science</v>
      </c>
    </row>
    <row r="681" ht="12.75" customHeight="1">
      <c r="A681" s="1" t="s">
        <v>72</v>
      </c>
      <c r="B681" s="1" t="s">
        <v>6497</v>
      </c>
      <c r="C681" s="1" t="s">
        <v>74</v>
      </c>
      <c r="D681" s="1" t="s">
        <v>74</v>
      </c>
      <c r="E681" s="1" t="s">
        <v>74</v>
      </c>
      <c r="F681" s="1" t="s">
        <v>6497</v>
      </c>
      <c r="G681" s="1" t="s">
        <v>74</v>
      </c>
      <c r="H681" s="1" t="s">
        <v>74</v>
      </c>
      <c r="I681" s="1" t="s">
        <v>6498</v>
      </c>
      <c r="J681" s="1" t="s">
        <v>421</v>
      </c>
      <c r="K681" s="1" t="s">
        <v>74</v>
      </c>
      <c r="L681" s="1" t="s">
        <v>74</v>
      </c>
      <c r="M681" s="1" t="s">
        <v>74</v>
      </c>
      <c r="N681" s="1" t="s">
        <v>74</v>
      </c>
      <c r="O681" s="1" t="s">
        <v>74</v>
      </c>
      <c r="P681" s="1" t="s">
        <v>74</v>
      </c>
      <c r="Q681" s="1" t="s">
        <v>74</v>
      </c>
      <c r="R681" s="1" t="s">
        <v>74</v>
      </c>
      <c r="S681" s="1" t="s">
        <v>74</v>
      </c>
      <c r="T681" s="1" t="s">
        <v>74</v>
      </c>
      <c r="U681" s="1" t="s">
        <v>74</v>
      </c>
      <c r="V681" s="1" t="s">
        <v>6499</v>
      </c>
      <c r="W681" s="1" t="s">
        <v>74</v>
      </c>
      <c r="X681" s="1" t="s">
        <v>74</v>
      </c>
      <c r="Y681" s="1" t="s">
        <v>74</v>
      </c>
      <c r="Z681" s="1" t="s">
        <v>74</v>
      </c>
      <c r="AA681" s="1" t="s">
        <v>6500</v>
      </c>
      <c r="AB681" s="1" t="s">
        <v>6501</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425</v>
      </c>
      <c r="AP681" s="1" t="s">
        <v>426</v>
      </c>
      <c r="AQ681" s="1" t="s">
        <v>74</v>
      </c>
      <c r="AR681" s="1" t="s">
        <v>74</v>
      </c>
      <c r="AS681" s="1" t="s">
        <v>74</v>
      </c>
      <c r="AT681" s="1" t="s">
        <v>6502</v>
      </c>
      <c r="AU681" s="1">
        <v>2004.0</v>
      </c>
      <c r="AV681" s="1">
        <v>274.0</v>
      </c>
      <c r="AW681" s="1" t="s">
        <v>428</v>
      </c>
      <c r="AX681" s="1" t="s">
        <v>74</v>
      </c>
      <c r="AY681" s="1" t="s">
        <v>74</v>
      </c>
      <c r="AZ681" s="1" t="s">
        <v>74</v>
      </c>
      <c r="BA681" s="1" t="s">
        <v>74</v>
      </c>
      <c r="BB681" s="1">
        <v>303.0</v>
      </c>
      <c r="BC681" s="1">
        <v>309.0</v>
      </c>
      <c r="BD681" s="1" t="s">
        <v>74</v>
      </c>
      <c r="BE681" s="1" t="s">
        <v>6503</v>
      </c>
      <c r="BF681" s="2" t="str">
        <f>HYPERLINK("http://dx.doi.org/10.1016/j.apcata.2004.07.016","http://dx.doi.org/10.1016/j.apcata.2004.07.016")</f>
        <v>http://dx.doi.org/10.1016/j.apcata.2004.07.016</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6504</v>
      </c>
      <c r="BT681" s="1" t="str">
        <f>HYPERLINK("https%3A%2F%2Fwww.webofscience.com%2Fwos%2Fwoscc%2Ffull-record%2FWOS:000224218700036","View Full Record in Web of Science")</f>
        <v>View Full Record in Web of Science</v>
      </c>
    </row>
    <row r="682" ht="12.75" customHeight="1">
      <c r="A682" s="1" t="s">
        <v>72</v>
      </c>
      <c r="B682" s="1" t="s">
        <v>6505</v>
      </c>
      <c r="C682" s="1" t="s">
        <v>74</v>
      </c>
      <c r="D682" s="1" t="s">
        <v>74</v>
      </c>
      <c r="E682" s="1" t="s">
        <v>74</v>
      </c>
      <c r="F682" s="1" t="s">
        <v>6505</v>
      </c>
      <c r="G682" s="1" t="s">
        <v>74</v>
      </c>
      <c r="H682" s="1" t="s">
        <v>74</v>
      </c>
      <c r="I682" s="1" t="s">
        <v>6506</v>
      </c>
      <c r="J682" s="1" t="s">
        <v>6507</v>
      </c>
      <c r="K682" s="1" t="s">
        <v>74</v>
      </c>
      <c r="L682" s="1" t="s">
        <v>74</v>
      </c>
      <c r="M682" s="1" t="s">
        <v>74</v>
      </c>
      <c r="N682" s="1" t="s">
        <v>74</v>
      </c>
      <c r="O682" s="1" t="s">
        <v>74</v>
      </c>
      <c r="P682" s="1" t="s">
        <v>74</v>
      </c>
      <c r="Q682" s="1" t="s">
        <v>74</v>
      </c>
      <c r="R682" s="1" t="s">
        <v>74</v>
      </c>
      <c r="S682" s="1" t="s">
        <v>74</v>
      </c>
      <c r="T682" s="1" t="s">
        <v>74</v>
      </c>
      <c r="U682" s="1" t="s">
        <v>74</v>
      </c>
      <c r="V682" s="1" t="s">
        <v>6508</v>
      </c>
      <c r="W682" s="1" t="s">
        <v>74</v>
      </c>
      <c r="X682" s="1" t="s">
        <v>74</v>
      </c>
      <c r="Y682" s="1" t="s">
        <v>74</v>
      </c>
      <c r="Z682" s="1" t="s">
        <v>74</v>
      </c>
      <c r="AA682" s="1" t="s">
        <v>1975</v>
      </c>
      <c r="AB682" s="1" t="s">
        <v>6509</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6510</v>
      </c>
      <c r="AP682" s="1" t="s">
        <v>74</v>
      </c>
      <c r="AQ682" s="1" t="s">
        <v>74</v>
      </c>
      <c r="AR682" s="1" t="s">
        <v>74</v>
      </c>
      <c r="AS682" s="1" t="s">
        <v>74</v>
      </c>
      <c r="AT682" s="1" t="s">
        <v>120</v>
      </c>
      <c r="AU682" s="1">
        <v>2004.0</v>
      </c>
      <c r="AV682" s="1">
        <v>77.0</v>
      </c>
      <c r="AW682" s="1">
        <v>2.0</v>
      </c>
      <c r="AX682" s="1" t="s">
        <v>74</v>
      </c>
      <c r="AY682" s="1" t="s">
        <v>74</v>
      </c>
      <c r="AZ682" s="1" t="s">
        <v>74</v>
      </c>
      <c r="BA682" s="1" t="s">
        <v>74</v>
      </c>
      <c r="BB682" s="1">
        <v>275.0</v>
      </c>
      <c r="BC682" s="1">
        <v>279.0</v>
      </c>
      <c r="BD682" s="1" t="s">
        <v>74</v>
      </c>
      <c r="BE682" s="1" t="s">
        <v>6511</v>
      </c>
      <c r="BF682" s="2" t="str">
        <f>HYPERLINK("http://dx.doi.org/10.1016/j.pbb.2003.11.007","http://dx.doi.org/10.1016/j.pbb.2003.11.007")</f>
        <v>http://dx.doi.org/10.1016/j.pbb.2003.11.007</v>
      </c>
      <c r="BG682" s="1" t="s">
        <v>74</v>
      </c>
      <c r="BH682" s="1" t="s">
        <v>74</v>
      </c>
      <c r="BI682" s="1" t="s">
        <v>74</v>
      </c>
      <c r="BJ682" s="1" t="s">
        <v>74</v>
      </c>
      <c r="BK682" s="1" t="s">
        <v>74</v>
      </c>
      <c r="BL682" s="1" t="s">
        <v>74</v>
      </c>
      <c r="BM682" s="1" t="s">
        <v>74</v>
      </c>
      <c r="BN682" s="1">
        <v>1.4751455E7</v>
      </c>
      <c r="BO682" s="1" t="s">
        <v>74</v>
      </c>
      <c r="BP682" s="1" t="s">
        <v>74</v>
      </c>
      <c r="BQ682" s="1" t="s">
        <v>74</v>
      </c>
      <c r="BR682" s="1" t="s">
        <v>74</v>
      </c>
      <c r="BS682" s="1" t="s">
        <v>6512</v>
      </c>
      <c r="BT682" s="1" t="str">
        <f>HYPERLINK("https%3A%2F%2Fwww.webofscience.com%2Fwos%2Fwoscc%2Ffull-record%2FWOS:000188733200011","View Full Record in Web of Science")</f>
        <v>View Full Record in Web of Science</v>
      </c>
    </row>
    <row r="683" ht="12.75" customHeight="1">
      <c r="A683" s="1" t="s">
        <v>72</v>
      </c>
      <c r="B683" s="1" t="s">
        <v>3809</v>
      </c>
      <c r="C683" s="1" t="s">
        <v>74</v>
      </c>
      <c r="D683" s="1" t="s">
        <v>74</v>
      </c>
      <c r="E683" s="1" t="s">
        <v>74</v>
      </c>
      <c r="F683" s="1" t="s">
        <v>3809</v>
      </c>
      <c r="G683" s="1" t="s">
        <v>74</v>
      </c>
      <c r="H683" s="1" t="s">
        <v>74</v>
      </c>
      <c r="I683" s="1" t="s">
        <v>6513</v>
      </c>
      <c r="J683" s="1" t="s">
        <v>2190</v>
      </c>
      <c r="K683" s="1" t="s">
        <v>74</v>
      </c>
      <c r="L683" s="1" t="s">
        <v>74</v>
      </c>
      <c r="M683" s="1" t="s">
        <v>74</v>
      </c>
      <c r="N683" s="1" t="s">
        <v>74</v>
      </c>
      <c r="O683" s="1" t="s">
        <v>74</v>
      </c>
      <c r="P683" s="1" t="s">
        <v>74</v>
      </c>
      <c r="Q683" s="1" t="s">
        <v>74</v>
      </c>
      <c r="R683" s="1" t="s">
        <v>74</v>
      </c>
      <c r="S683" s="1" t="s">
        <v>74</v>
      </c>
      <c r="T683" s="1" t="s">
        <v>74</v>
      </c>
      <c r="U683" s="1" t="s">
        <v>74</v>
      </c>
      <c r="V683" s="1" t="s">
        <v>6514</v>
      </c>
      <c r="W683" s="1" t="s">
        <v>74</v>
      </c>
      <c r="X683" s="1" t="s">
        <v>74</v>
      </c>
      <c r="Y683" s="1" t="s">
        <v>74</v>
      </c>
      <c r="Z683" s="1" t="s">
        <v>74</v>
      </c>
      <c r="AA683" s="1" t="s">
        <v>3815</v>
      </c>
      <c r="AB683" s="1" t="s">
        <v>3816</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5824</v>
      </c>
      <c r="AP683" s="1" t="s">
        <v>6515</v>
      </c>
      <c r="AQ683" s="1" t="s">
        <v>74</v>
      </c>
      <c r="AR683" s="1" t="s">
        <v>74</v>
      </c>
      <c r="AS683" s="1" t="s">
        <v>74</v>
      </c>
      <c r="AT683" s="1" t="s">
        <v>6516</v>
      </c>
      <c r="AU683" s="1">
        <v>2001.0</v>
      </c>
      <c r="AV683" s="1">
        <v>64.0</v>
      </c>
      <c r="AW683" s="1">
        <v>3.0</v>
      </c>
      <c r="AX683" s="1" t="s">
        <v>74</v>
      </c>
      <c r="AY683" s="1" t="s">
        <v>74</v>
      </c>
      <c r="AZ683" s="1" t="s">
        <v>74</v>
      </c>
      <c r="BA683" s="1" t="s">
        <v>74</v>
      </c>
      <c r="BB683" s="1" t="s">
        <v>74</v>
      </c>
      <c r="BC683" s="1" t="s">
        <v>74</v>
      </c>
      <c r="BD683" s="1">
        <v>33406.0</v>
      </c>
      <c r="BE683" s="1" t="s">
        <v>6517</v>
      </c>
      <c r="BF683" s="2" t="str">
        <f>HYPERLINK("http://dx.doi.org/10.1103/PhysRevB.64.033406","http://dx.doi.org/10.1103/PhysRevB.64.033406")</f>
        <v>http://dx.doi.org/10.1103/PhysRevB.64.033406</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6518</v>
      </c>
      <c r="BT683" s="1" t="str">
        <f>HYPERLINK("https%3A%2F%2Fwww.webofscience.com%2Fwos%2Fwoscc%2Ffull-record%2FWOS:000169989800026","View Full Record in Web of Science")</f>
        <v>View Full Record in Web of Science</v>
      </c>
    </row>
    <row r="684" ht="12.75" customHeight="1">
      <c r="A684" s="1" t="s">
        <v>72</v>
      </c>
      <c r="B684" s="1" t="s">
        <v>4097</v>
      </c>
      <c r="C684" s="1" t="s">
        <v>74</v>
      </c>
      <c r="D684" s="1" t="s">
        <v>74</v>
      </c>
      <c r="E684" s="1" t="s">
        <v>74</v>
      </c>
      <c r="F684" s="1" t="s">
        <v>4097</v>
      </c>
      <c r="G684" s="1" t="s">
        <v>74</v>
      </c>
      <c r="H684" s="1" t="s">
        <v>74</v>
      </c>
      <c r="I684" s="1" t="s">
        <v>6519</v>
      </c>
      <c r="J684" s="1" t="s">
        <v>453</v>
      </c>
      <c r="K684" s="1" t="s">
        <v>74</v>
      </c>
      <c r="L684" s="1" t="s">
        <v>74</v>
      </c>
      <c r="M684" s="1" t="s">
        <v>74</v>
      </c>
      <c r="N684" s="1" t="s">
        <v>74</v>
      </c>
      <c r="O684" s="1" t="s">
        <v>74</v>
      </c>
      <c r="P684" s="1" t="s">
        <v>74</v>
      </c>
      <c r="Q684" s="1" t="s">
        <v>74</v>
      </c>
      <c r="R684" s="1" t="s">
        <v>74</v>
      </c>
      <c r="S684" s="1" t="s">
        <v>74</v>
      </c>
      <c r="T684" s="1" t="s">
        <v>74</v>
      </c>
      <c r="U684" s="1" t="s">
        <v>74</v>
      </c>
      <c r="V684" s="1" t="s">
        <v>6520</v>
      </c>
      <c r="W684" s="1" t="s">
        <v>74</v>
      </c>
      <c r="X684" s="1" t="s">
        <v>74</v>
      </c>
      <c r="Y684" s="1" t="s">
        <v>74</v>
      </c>
      <c r="Z684" s="1" t="s">
        <v>74</v>
      </c>
      <c r="AA684" s="1" t="s">
        <v>74</v>
      </c>
      <c r="AB684" s="1" t="s">
        <v>74</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460</v>
      </c>
      <c r="AP684" s="1" t="s">
        <v>74</v>
      </c>
      <c r="AQ684" s="1" t="s">
        <v>74</v>
      </c>
      <c r="AR684" s="1" t="s">
        <v>74</v>
      </c>
      <c r="AS684" s="1" t="s">
        <v>74</v>
      </c>
      <c r="AT684" s="1" t="s">
        <v>461</v>
      </c>
      <c r="AU684" s="1">
        <v>1998.0</v>
      </c>
      <c r="AV684" s="1">
        <v>43.0</v>
      </c>
      <c r="AW684" s="1">
        <v>3.0</v>
      </c>
      <c r="AX684" s="1" t="s">
        <v>74</v>
      </c>
      <c r="AY684" s="1" t="s">
        <v>74</v>
      </c>
      <c r="AZ684" s="1" t="s">
        <v>74</v>
      </c>
      <c r="BA684" s="1" t="s">
        <v>74</v>
      </c>
      <c r="BB684" s="1">
        <v>359.0</v>
      </c>
      <c r="BC684" s="1">
        <v>362.0</v>
      </c>
      <c r="BD684" s="1" t="s">
        <v>74</v>
      </c>
      <c r="BE684" s="1" t="s">
        <v>74</v>
      </c>
      <c r="BF684" s="1" t="s">
        <v>74</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6521</v>
      </c>
      <c r="BT684" s="1" t="str">
        <f>HYPERLINK("https%3A%2F%2Fwww.webofscience.com%2Fwos%2Fwoscc%2Ffull-record%2FWOS:000076339000015","View Full Record in Web of Science")</f>
        <v>View Full Record in Web of Science</v>
      </c>
    </row>
    <row r="685" ht="12.75" customHeight="1">
      <c r="A685" s="1" t="s">
        <v>72</v>
      </c>
      <c r="B685" s="1" t="s">
        <v>6522</v>
      </c>
      <c r="C685" s="1" t="s">
        <v>74</v>
      </c>
      <c r="D685" s="1" t="s">
        <v>74</v>
      </c>
      <c r="E685" s="1" t="s">
        <v>74</v>
      </c>
      <c r="F685" s="1" t="s">
        <v>6522</v>
      </c>
      <c r="G685" s="1" t="s">
        <v>74</v>
      </c>
      <c r="H685" s="1" t="s">
        <v>74</v>
      </c>
      <c r="I685" s="1" t="s">
        <v>6523</v>
      </c>
      <c r="J685" s="1" t="s">
        <v>4326</v>
      </c>
      <c r="K685" s="1" t="s">
        <v>74</v>
      </c>
      <c r="L685" s="1" t="s">
        <v>74</v>
      </c>
      <c r="M685" s="1" t="s">
        <v>74</v>
      </c>
      <c r="N685" s="1" t="s">
        <v>74</v>
      </c>
      <c r="O685" s="1" t="s">
        <v>74</v>
      </c>
      <c r="P685" s="1" t="s">
        <v>74</v>
      </c>
      <c r="Q685" s="1" t="s">
        <v>74</v>
      </c>
      <c r="R685" s="1" t="s">
        <v>74</v>
      </c>
      <c r="S685" s="1" t="s">
        <v>74</v>
      </c>
      <c r="T685" s="1" t="s">
        <v>74</v>
      </c>
      <c r="U685" s="1" t="s">
        <v>74</v>
      </c>
      <c r="V685" s="1" t="s">
        <v>6524</v>
      </c>
      <c r="W685" s="1" t="s">
        <v>74</v>
      </c>
      <c r="X685" s="1" t="s">
        <v>74</v>
      </c>
      <c r="Y685" s="1" t="s">
        <v>74</v>
      </c>
      <c r="Z685" s="1" t="s">
        <v>74</v>
      </c>
      <c r="AA685" s="1" t="s">
        <v>6525</v>
      </c>
      <c r="AB685" s="1" t="s">
        <v>318</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4328</v>
      </c>
      <c r="AP685" s="1" t="s">
        <v>74</v>
      </c>
      <c r="AQ685" s="1" t="s">
        <v>74</v>
      </c>
      <c r="AR685" s="1" t="s">
        <v>74</v>
      </c>
      <c r="AS685" s="1" t="s">
        <v>74</v>
      </c>
      <c r="AT685" s="1" t="s">
        <v>1204</v>
      </c>
      <c r="AU685" s="1">
        <v>1995.0</v>
      </c>
      <c r="AV685" s="1">
        <v>75.0</v>
      </c>
      <c r="AW685" s="1">
        <v>21.0</v>
      </c>
      <c r="AX685" s="1" t="s">
        <v>74</v>
      </c>
      <c r="AY685" s="1" t="s">
        <v>74</v>
      </c>
      <c r="AZ685" s="1" t="s">
        <v>74</v>
      </c>
      <c r="BA685" s="1" t="s">
        <v>74</v>
      </c>
      <c r="BB685" s="1">
        <v>3838.0</v>
      </c>
      <c r="BC685" s="1">
        <v>3841.0</v>
      </c>
      <c r="BD685" s="1" t="s">
        <v>74</v>
      </c>
      <c r="BE685" s="1" t="s">
        <v>6526</v>
      </c>
      <c r="BF685" s="2" t="str">
        <f>HYPERLINK("http://dx.doi.org/10.1103/PhysRevLett.75.3838","http://dx.doi.org/10.1103/PhysRevLett.75.3838")</f>
        <v>http://dx.doi.org/10.1103/PhysRevLett.75.3838</v>
      </c>
      <c r="BG685" s="1" t="s">
        <v>74</v>
      </c>
      <c r="BH685" s="1" t="s">
        <v>74</v>
      </c>
      <c r="BI685" s="1" t="s">
        <v>74</v>
      </c>
      <c r="BJ685" s="1" t="s">
        <v>74</v>
      </c>
      <c r="BK685" s="1" t="s">
        <v>74</v>
      </c>
      <c r="BL685" s="1" t="s">
        <v>74</v>
      </c>
      <c r="BM685" s="1" t="s">
        <v>74</v>
      </c>
      <c r="BN685" s="1">
        <v>1.0059744E7</v>
      </c>
      <c r="BO685" s="1" t="s">
        <v>74</v>
      </c>
      <c r="BP685" s="1" t="s">
        <v>74</v>
      </c>
      <c r="BQ685" s="1" t="s">
        <v>74</v>
      </c>
      <c r="BR685" s="1" t="s">
        <v>74</v>
      </c>
      <c r="BS685" s="1" t="s">
        <v>6527</v>
      </c>
      <c r="BT685" s="1" t="str">
        <f>HYPERLINK("https%3A%2F%2Fwww.webofscience.com%2Fwos%2Fwoscc%2Ffull-record%2FWOS:A1995TF24600014","View Full Record in Web of Science")</f>
        <v>View Full Record in Web of Science</v>
      </c>
    </row>
    <row r="686" ht="12.75" customHeight="1">
      <c r="A686" s="1" t="s">
        <v>72</v>
      </c>
      <c r="B686" s="1" t="s">
        <v>6528</v>
      </c>
      <c r="C686" s="1" t="s">
        <v>74</v>
      </c>
      <c r="D686" s="1" t="s">
        <v>74</v>
      </c>
      <c r="E686" s="1" t="s">
        <v>74</v>
      </c>
      <c r="F686" s="1" t="s">
        <v>6528</v>
      </c>
      <c r="G686" s="1" t="s">
        <v>74</v>
      </c>
      <c r="H686" s="1" t="s">
        <v>74</v>
      </c>
      <c r="I686" s="1" t="s">
        <v>6529</v>
      </c>
      <c r="J686" s="1" t="s">
        <v>1527</v>
      </c>
      <c r="K686" s="1" t="s">
        <v>74</v>
      </c>
      <c r="L686" s="1" t="s">
        <v>74</v>
      </c>
      <c r="M686" s="1" t="s">
        <v>74</v>
      </c>
      <c r="N686" s="1" t="s">
        <v>74</v>
      </c>
      <c r="O686" s="1" t="s">
        <v>74</v>
      </c>
      <c r="P686" s="1" t="s">
        <v>74</v>
      </c>
      <c r="Q686" s="1" t="s">
        <v>74</v>
      </c>
      <c r="R686" s="1" t="s">
        <v>74</v>
      </c>
      <c r="S686" s="1" t="s">
        <v>74</v>
      </c>
      <c r="T686" s="1" t="s">
        <v>74</v>
      </c>
      <c r="U686" s="1" t="s">
        <v>74</v>
      </c>
      <c r="V686" s="1" t="s">
        <v>74</v>
      </c>
      <c r="W686" s="1" t="s">
        <v>74</v>
      </c>
      <c r="X686" s="1" t="s">
        <v>74</v>
      </c>
      <c r="Y686" s="1" t="s">
        <v>74</v>
      </c>
      <c r="Z686" s="1" t="s">
        <v>74</v>
      </c>
      <c r="AA686" s="1" t="s">
        <v>74</v>
      </c>
      <c r="AB686" s="1" t="s">
        <v>74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1530</v>
      </c>
      <c r="AP686" s="1" t="s">
        <v>74</v>
      </c>
      <c r="AQ686" s="1" t="s">
        <v>74</v>
      </c>
      <c r="AR686" s="1" t="s">
        <v>74</v>
      </c>
      <c r="AS686" s="1" t="s">
        <v>74</v>
      </c>
      <c r="AT686" s="1" t="s">
        <v>74</v>
      </c>
      <c r="AU686" s="1">
        <v>1982.0</v>
      </c>
      <c r="AV686" s="1">
        <v>6.0</v>
      </c>
      <c r="AW686" s="1">
        <v>7.0</v>
      </c>
      <c r="AX686" s="1" t="s">
        <v>74</v>
      </c>
      <c r="AY686" s="1" t="s">
        <v>74</v>
      </c>
      <c r="AZ686" s="1" t="s">
        <v>74</v>
      </c>
      <c r="BA686" s="1" t="s">
        <v>74</v>
      </c>
      <c r="BB686" s="1">
        <v>723.0</v>
      </c>
      <c r="BC686" s="1">
        <v>731.0</v>
      </c>
      <c r="BD686" s="1" t="s">
        <v>74</v>
      </c>
      <c r="BE686" s="1" t="s">
        <v>6530</v>
      </c>
      <c r="BF686" s="2" t="str">
        <f>HYPERLINK("http://dx.doi.org/10.1016/0362-546X(82)90042-6","http://dx.doi.org/10.1016/0362-546X(82)90042-6")</f>
        <v>http://dx.doi.org/10.1016/0362-546X(82)90042-6</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6531</v>
      </c>
      <c r="BT686" s="1" t="str">
        <f>HYPERLINK("https%3A%2F%2Fwww.webofscience.com%2Fwos%2Fwoscc%2Ffull-record%2FWOS:A1982PA78600007","View Full Record in Web of Science")</f>
        <v>View Full Record in Web of Science</v>
      </c>
    </row>
    <row r="687" ht="12.75" customHeight="1">
      <c r="A687" s="1" t="s">
        <v>72</v>
      </c>
      <c r="B687" s="1" t="s">
        <v>6532</v>
      </c>
      <c r="C687" s="1" t="s">
        <v>74</v>
      </c>
      <c r="D687" s="1" t="s">
        <v>74</v>
      </c>
      <c r="E687" s="1" t="s">
        <v>74</v>
      </c>
      <c r="F687" s="1" t="s">
        <v>6533</v>
      </c>
      <c r="G687" s="1" t="s">
        <v>74</v>
      </c>
      <c r="H687" s="1" t="s">
        <v>74</v>
      </c>
      <c r="I687" s="1" t="s">
        <v>6534</v>
      </c>
      <c r="J687" s="1" t="s">
        <v>6535</v>
      </c>
      <c r="K687" s="1" t="s">
        <v>74</v>
      </c>
      <c r="L687" s="1" t="s">
        <v>74</v>
      </c>
      <c r="M687" s="1" t="s">
        <v>74</v>
      </c>
      <c r="N687" s="1" t="s">
        <v>74</v>
      </c>
      <c r="O687" s="1" t="s">
        <v>74</v>
      </c>
      <c r="P687" s="1" t="s">
        <v>74</v>
      </c>
      <c r="Q687" s="1" t="s">
        <v>74</v>
      </c>
      <c r="R687" s="1" t="s">
        <v>74</v>
      </c>
      <c r="S687" s="1" t="s">
        <v>74</v>
      </c>
      <c r="T687" s="1" t="s">
        <v>74</v>
      </c>
      <c r="U687" s="1" t="s">
        <v>74</v>
      </c>
      <c r="V687" s="1" t="s">
        <v>6536</v>
      </c>
      <c r="W687" s="1" t="s">
        <v>74</v>
      </c>
      <c r="X687" s="1" t="s">
        <v>74</v>
      </c>
      <c r="Y687" s="1" t="s">
        <v>74</v>
      </c>
      <c r="Z687" s="1" t="s">
        <v>74</v>
      </c>
      <c r="AA687" s="1" t="s">
        <v>74</v>
      </c>
      <c r="AB687" s="1" t="s">
        <v>74</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6537</v>
      </c>
      <c r="AP687" s="1" t="s">
        <v>6538</v>
      </c>
      <c r="AQ687" s="1" t="s">
        <v>74</v>
      </c>
      <c r="AR687" s="1" t="s">
        <v>74</v>
      </c>
      <c r="AS687" s="1" t="s">
        <v>74</v>
      </c>
      <c r="AT687" s="1" t="s">
        <v>6539</v>
      </c>
      <c r="AU687" s="1">
        <v>2025.0</v>
      </c>
      <c r="AV687" s="1" t="s">
        <v>74</v>
      </c>
      <c r="AW687" s="1" t="s">
        <v>74</v>
      </c>
      <c r="AX687" s="1" t="s">
        <v>74</v>
      </c>
      <c r="AY687" s="1" t="s">
        <v>74</v>
      </c>
      <c r="AZ687" s="1" t="s">
        <v>74</v>
      </c>
      <c r="BA687" s="1" t="s">
        <v>74</v>
      </c>
      <c r="BB687" s="1" t="s">
        <v>74</v>
      </c>
      <c r="BC687" s="1" t="s">
        <v>74</v>
      </c>
      <c r="BD687" s="1" t="s">
        <v>74</v>
      </c>
      <c r="BE687" s="1" t="s">
        <v>6540</v>
      </c>
      <c r="BF687" s="2" t="str">
        <f>HYPERLINK("http://dx.doi.org/10.1017/S0013091525000148","http://dx.doi.org/10.1017/S0013091525000148")</f>
        <v>http://dx.doi.org/10.1017/S0013091525000148</v>
      </c>
      <c r="BG687" s="1" t="s">
        <v>74</v>
      </c>
      <c r="BH687" s="1" t="s">
        <v>2340</v>
      </c>
      <c r="BI687" s="1" t="s">
        <v>74</v>
      </c>
      <c r="BJ687" s="1" t="s">
        <v>74</v>
      </c>
      <c r="BK687" s="1" t="s">
        <v>74</v>
      </c>
      <c r="BL687" s="1" t="s">
        <v>74</v>
      </c>
      <c r="BM687" s="1" t="s">
        <v>74</v>
      </c>
      <c r="BN687" s="1" t="s">
        <v>74</v>
      </c>
      <c r="BO687" s="1" t="s">
        <v>74</v>
      </c>
      <c r="BP687" s="1" t="s">
        <v>74</v>
      </c>
      <c r="BQ687" s="1" t="s">
        <v>74</v>
      </c>
      <c r="BR687" s="1" t="s">
        <v>74</v>
      </c>
      <c r="BS687" s="1" t="s">
        <v>6541</v>
      </c>
      <c r="BT687" s="1" t="str">
        <f>HYPERLINK("https%3A%2F%2Fwww.webofscience.com%2Fwos%2Fwoscc%2Ffull-record%2FWOS:001457394400001","View Full Record in Web of Science")</f>
        <v>View Full Record in Web of Science</v>
      </c>
    </row>
    <row r="688" ht="12.75" customHeight="1">
      <c r="A688" s="1" t="s">
        <v>72</v>
      </c>
      <c r="B688" s="1" t="s">
        <v>6542</v>
      </c>
      <c r="C688" s="1" t="s">
        <v>74</v>
      </c>
      <c r="D688" s="1" t="s">
        <v>74</v>
      </c>
      <c r="E688" s="1" t="s">
        <v>74</v>
      </c>
      <c r="F688" s="1" t="s">
        <v>6543</v>
      </c>
      <c r="G688" s="1" t="s">
        <v>74</v>
      </c>
      <c r="H688" s="1" t="s">
        <v>74</v>
      </c>
      <c r="I688" s="1" t="s">
        <v>6544</v>
      </c>
      <c r="J688" s="1" t="s">
        <v>6545</v>
      </c>
      <c r="K688" s="1" t="s">
        <v>74</v>
      </c>
      <c r="L688" s="1" t="s">
        <v>74</v>
      </c>
      <c r="M688" s="1" t="s">
        <v>74</v>
      </c>
      <c r="N688" s="1" t="s">
        <v>74</v>
      </c>
      <c r="O688" s="1" t="s">
        <v>74</v>
      </c>
      <c r="P688" s="1" t="s">
        <v>74</v>
      </c>
      <c r="Q688" s="1" t="s">
        <v>74</v>
      </c>
      <c r="R688" s="1" t="s">
        <v>74</v>
      </c>
      <c r="S688" s="1" t="s">
        <v>74</v>
      </c>
      <c r="T688" s="1" t="s">
        <v>74</v>
      </c>
      <c r="U688" s="1" t="s">
        <v>74</v>
      </c>
      <c r="V688" s="1" t="s">
        <v>6546</v>
      </c>
      <c r="W688" s="1" t="s">
        <v>74</v>
      </c>
      <c r="X688" s="1" t="s">
        <v>74</v>
      </c>
      <c r="Y688" s="1" t="s">
        <v>74</v>
      </c>
      <c r="Z688" s="1" t="s">
        <v>74</v>
      </c>
      <c r="AA688" s="1" t="s">
        <v>6547</v>
      </c>
      <c r="AB688" s="1" t="s">
        <v>6548</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6549</v>
      </c>
      <c r="AP688" s="1" t="s">
        <v>6550</v>
      </c>
      <c r="AQ688" s="1" t="s">
        <v>74</v>
      </c>
      <c r="AR688" s="1" t="s">
        <v>74</v>
      </c>
      <c r="AS688" s="1" t="s">
        <v>74</v>
      </c>
      <c r="AT688" s="1" t="s">
        <v>95</v>
      </c>
      <c r="AU688" s="1">
        <v>2024.0</v>
      </c>
      <c r="AV688" s="1">
        <v>10.0</v>
      </c>
      <c r="AW688" s="1">
        <v>4.0</v>
      </c>
      <c r="AX688" s="1" t="s">
        <v>74</v>
      </c>
      <c r="AY688" s="1" t="s">
        <v>74</v>
      </c>
      <c r="AZ688" s="1" t="s">
        <v>74</v>
      </c>
      <c r="BA688" s="1" t="s">
        <v>74</v>
      </c>
      <c r="BB688" s="1">
        <v>97.0</v>
      </c>
      <c r="BC688" s="1">
        <v>105.0</v>
      </c>
      <c r="BD688" s="1" t="s">
        <v>74</v>
      </c>
      <c r="BE688" s="1" t="s">
        <v>6551</v>
      </c>
      <c r="BF688" s="2" t="str">
        <f>HYPERLINK("http://dx.doi.org/10.23919/CJEE.2024.000079","http://dx.doi.org/10.23919/CJEE.2024.000079")</f>
        <v>http://dx.doi.org/10.23919/CJEE.2024.000079</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6552</v>
      </c>
      <c r="BT688" s="1" t="str">
        <f>HYPERLINK("https%3A%2F%2Fwww.webofscience.com%2Fwos%2Fwoscc%2Ffull-record%2FWOS:001390985500001","View Full Record in Web of Science")</f>
        <v>View Full Record in Web of Science</v>
      </c>
    </row>
    <row r="689" ht="12.75" customHeight="1">
      <c r="A689" s="1" t="s">
        <v>72</v>
      </c>
      <c r="B689" s="1" t="s">
        <v>6553</v>
      </c>
      <c r="C689" s="1" t="s">
        <v>74</v>
      </c>
      <c r="D689" s="1" t="s">
        <v>74</v>
      </c>
      <c r="E689" s="1" t="s">
        <v>74</v>
      </c>
      <c r="F689" s="1" t="s">
        <v>6554</v>
      </c>
      <c r="G689" s="1" t="s">
        <v>74</v>
      </c>
      <c r="H689" s="1" t="s">
        <v>74</v>
      </c>
      <c r="I689" s="1" t="s">
        <v>6555</v>
      </c>
      <c r="J689" s="1" t="s">
        <v>6556</v>
      </c>
      <c r="K689" s="1" t="s">
        <v>74</v>
      </c>
      <c r="L689" s="1" t="s">
        <v>74</v>
      </c>
      <c r="M689" s="1" t="s">
        <v>74</v>
      </c>
      <c r="N689" s="1" t="s">
        <v>74</v>
      </c>
      <c r="O689" s="1" t="s">
        <v>74</v>
      </c>
      <c r="P689" s="1" t="s">
        <v>74</v>
      </c>
      <c r="Q689" s="1" t="s">
        <v>74</v>
      </c>
      <c r="R689" s="1" t="s">
        <v>74</v>
      </c>
      <c r="S689" s="1" t="s">
        <v>74</v>
      </c>
      <c r="T689" s="1" t="s">
        <v>74</v>
      </c>
      <c r="U689" s="1" t="s">
        <v>74</v>
      </c>
      <c r="V689" s="1" t="s">
        <v>6557</v>
      </c>
      <c r="W689" s="1" t="s">
        <v>74</v>
      </c>
      <c r="X689" s="1" t="s">
        <v>74</v>
      </c>
      <c r="Y689" s="1" t="s">
        <v>74</v>
      </c>
      <c r="Z689" s="1" t="s">
        <v>74</v>
      </c>
      <c r="AA689" s="1" t="s">
        <v>74</v>
      </c>
      <c r="AB689" s="1" t="s">
        <v>74</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6558</v>
      </c>
      <c r="AP689" s="1" t="s">
        <v>6559</v>
      </c>
      <c r="AQ689" s="1" t="s">
        <v>74</v>
      </c>
      <c r="AR689" s="1" t="s">
        <v>74</v>
      </c>
      <c r="AS689" s="1" t="s">
        <v>74</v>
      </c>
      <c r="AT689" s="1" t="s">
        <v>1778</v>
      </c>
      <c r="AU689" s="1">
        <v>2024.0</v>
      </c>
      <c r="AV689" s="1">
        <v>20.0</v>
      </c>
      <c r="AW689" s="1">
        <v>3.0</v>
      </c>
      <c r="AX689" s="1" t="s">
        <v>74</v>
      </c>
      <c r="AY689" s="1" t="s">
        <v>74</v>
      </c>
      <c r="AZ689" s="1" t="s">
        <v>74</v>
      </c>
      <c r="BA689" s="1" t="s">
        <v>74</v>
      </c>
      <c r="BB689" s="1">
        <v>1.0</v>
      </c>
      <c r="BC689" s="1">
        <v>16.0</v>
      </c>
      <c r="BD689" s="1" t="s">
        <v>74</v>
      </c>
      <c r="BE689" s="1" t="s">
        <v>74</v>
      </c>
      <c r="BF689" s="1" t="s">
        <v>74</v>
      </c>
      <c r="BG689" s="1" t="s">
        <v>74</v>
      </c>
      <c r="BH689" s="1" t="s">
        <v>74</v>
      </c>
      <c r="BI689" s="1" t="s">
        <v>74</v>
      </c>
      <c r="BJ689" s="1" t="s">
        <v>74</v>
      </c>
      <c r="BK689" s="1" t="s">
        <v>74</v>
      </c>
      <c r="BL689" s="1" t="s">
        <v>74</v>
      </c>
      <c r="BM689" s="1" t="s">
        <v>74</v>
      </c>
      <c r="BN689" s="1" t="s">
        <v>74</v>
      </c>
      <c r="BO689" s="1" t="s">
        <v>74</v>
      </c>
      <c r="BP689" s="1" t="s">
        <v>74</v>
      </c>
      <c r="BQ689" s="1" t="s">
        <v>74</v>
      </c>
      <c r="BR689" s="1" t="s">
        <v>74</v>
      </c>
      <c r="BS689" s="1" t="s">
        <v>6560</v>
      </c>
      <c r="BT689" s="1" t="str">
        <f>HYPERLINK("https%3A%2F%2Fwww.webofscience.com%2Fwos%2Fwoscc%2Ffull-record%2FWOS:001385905100002","View Full Record in Web of Science")</f>
        <v>View Full Record in Web of Science</v>
      </c>
    </row>
    <row r="690" ht="12.75" customHeight="1">
      <c r="A690" s="1" t="s">
        <v>72</v>
      </c>
      <c r="B690" s="1" t="s">
        <v>6561</v>
      </c>
      <c r="C690" s="1" t="s">
        <v>74</v>
      </c>
      <c r="D690" s="1" t="s">
        <v>74</v>
      </c>
      <c r="E690" s="1" t="s">
        <v>74</v>
      </c>
      <c r="F690" s="1" t="s">
        <v>6562</v>
      </c>
      <c r="G690" s="1" t="s">
        <v>74</v>
      </c>
      <c r="H690" s="1" t="s">
        <v>74</v>
      </c>
      <c r="I690" s="1" t="s">
        <v>6563</v>
      </c>
      <c r="J690" s="1" t="s">
        <v>6564</v>
      </c>
      <c r="K690" s="1" t="s">
        <v>74</v>
      </c>
      <c r="L690" s="1" t="s">
        <v>74</v>
      </c>
      <c r="M690" s="1" t="s">
        <v>74</v>
      </c>
      <c r="N690" s="1" t="s">
        <v>74</v>
      </c>
      <c r="O690" s="1" t="s">
        <v>74</v>
      </c>
      <c r="P690" s="1" t="s">
        <v>74</v>
      </c>
      <c r="Q690" s="1" t="s">
        <v>74</v>
      </c>
      <c r="R690" s="1" t="s">
        <v>74</v>
      </c>
      <c r="S690" s="1" t="s">
        <v>74</v>
      </c>
      <c r="T690" s="1" t="s">
        <v>74</v>
      </c>
      <c r="U690" s="1" t="s">
        <v>74</v>
      </c>
      <c r="V690" s="1" t="s">
        <v>6565</v>
      </c>
      <c r="W690" s="1" t="s">
        <v>74</v>
      </c>
      <c r="X690" s="1" t="s">
        <v>74</v>
      </c>
      <c r="Y690" s="1" t="s">
        <v>74</v>
      </c>
      <c r="Z690" s="1" t="s">
        <v>74</v>
      </c>
      <c r="AA690" s="1" t="s">
        <v>5345</v>
      </c>
      <c r="AB690" s="1" t="s">
        <v>6566</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6567</v>
      </c>
      <c r="AP690" s="1" t="s">
        <v>6568</v>
      </c>
      <c r="AQ690" s="1" t="s">
        <v>74</v>
      </c>
      <c r="AR690" s="1" t="s">
        <v>74</v>
      </c>
      <c r="AS690" s="1" t="s">
        <v>74</v>
      </c>
      <c r="AT690" s="1" t="s">
        <v>6207</v>
      </c>
      <c r="AU690" s="1">
        <v>2024.0</v>
      </c>
      <c r="AV690" s="1">
        <v>424.0</v>
      </c>
      <c r="AW690" s="1" t="s">
        <v>74</v>
      </c>
      <c r="AX690" s="1" t="s">
        <v>74</v>
      </c>
      <c r="AY690" s="1" t="s">
        <v>74</v>
      </c>
      <c r="AZ690" s="1" t="s">
        <v>74</v>
      </c>
      <c r="BA690" s="1" t="s">
        <v>74</v>
      </c>
      <c r="BB690" s="1" t="s">
        <v>74</v>
      </c>
      <c r="BC690" s="1" t="s">
        <v>74</v>
      </c>
      <c r="BD690" s="1">
        <v>116877.0</v>
      </c>
      <c r="BE690" s="1" t="s">
        <v>6569</v>
      </c>
      <c r="BF690" s="2" t="str">
        <f>HYPERLINK("http://dx.doi.org/10.1016/j.cma.2024.116877","http://dx.doi.org/10.1016/j.cma.2024.116877")</f>
        <v>http://dx.doi.org/10.1016/j.cma.2024.116877</v>
      </c>
      <c r="BG690" s="1" t="s">
        <v>74</v>
      </c>
      <c r="BH690" s="1" t="s">
        <v>122</v>
      </c>
      <c r="BI690" s="1" t="s">
        <v>74</v>
      </c>
      <c r="BJ690" s="1" t="s">
        <v>74</v>
      </c>
      <c r="BK690" s="1" t="s">
        <v>74</v>
      </c>
      <c r="BL690" s="1" t="s">
        <v>74</v>
      </c>
      <c r="BM690" s="1" t="s">
        <v>74</v>
      </c>
      <c r="BN690" s="1" t="s">
        <v>74</v>
      </c>
      <c r="BO690" s="1" t="s">
        <v>74</v>
      </c>
      <c r="BP690" s="1" t="s">
        <v>74</v>
      </c>
      <c r="BQ690" s="1" t="s">
        <v>74</v>
      </c>
      <c r="BR690" s="1" t="s">
        <v>74</v>
      </c>
      <c r="BS690" s="1" t="s">
        <v>6570</v>
      </c>
      <c r="BT690" s="1" t="str">
        <f>HYPERLINK("https%3A%2F%2Fwww.webofscience.com%2Fwos%2Fwoscc%2Ffull-record%2FWOS:001203213900001","View Full Record in Web of Science")</f>
        <v>View Full Record in Web of Science</v>
      </c>
    </row>
    <row r="691" ht="12.75" customHeight="1">
      <c r="A691" s="1" t="s">
        <v>72</v>
      </c>
      <c r="B691" s="1" t="s">
        <v>6571</v>
      </c>
      <c r="C691" s="1" t="s">
        <v>74</v>
      </c>
      <c r="D691" s="1" t="s">
        <v>74</v>
      </c>
      <c r="E691" s="1" t="s">
        <v>74</v>
      </c>
      <c r="F691" s="1" t="s">
        <v>6572</v>
      </c>
      <c r="G691" s="1" t="s">
        <v>74</v>
      </c>
      <c r="H691" s="1" t="s">
        <v>74</v>
      </c>
      <c r="I691" s="1" t="s">
        <v>6573</v>
      </c>
      <c r="J691" s="1" t="s">
        <v>4326</v>
      </c>
      <c r="K691" s="1" t="s">
        <v>74</v>
      </c>
      <c r="L691" s="1" t="s">
        <v>74</v>
      </c>
      <c r="M691" s="1" t="s">
        <v>74</v>
      </c>
      <c r="N691" s="1" t="s">
        <v>74</v>
      </c>
      <c r="O691" s="1" t="s">
        <v>74</v>
      </c>
      <c r="P691" s="1" t="s">
        <v>74</v>
      </c>
      <c r="Q691" s="1" t="s">
        <v>74</v>
      </c>
      <c r="R691" s="1" t="s">
        <v>74</v>
      </c>
      <c r="S691" s="1" t="s">
        <v>74</v>
      </c>
      <c r="T691" s="1" t="s">
        <v>74</v>
      </c>
      <c r="U691" s="1" t="s">
        <v>74</v>
      </c>
      <c r="V691" s="1" t="s">
        <v>6574</v>
      </c>
      <c r="W691" s="1" t="s">
        <v>74</v>
      </c>
      <c r="X691" s="1" t="s">
        <v>74</v>
      </c>
      <c r="Y691" s="1" t="s">
        <v>74</v>
      </c>
      <c r="Z691" s="1" t="s">
        <v>74</v>
      </c>
      <c r="AA691" s="1" t="s">
        <v>6575</v>
      </c>
      <c r="AB691" s="1" t="s">
        <v>6576</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4328</v>
      </c>
      <c r="AP691" s="1" t="s">
        <v>4329</v>
      </c>
      <c r="AQ691" s="1" t="s">
        <v>74</v>
      </c>
      <c r="AR691" s="1" t="s">
        <v>74</v>
      </c>
      <c r="AS691" s="1" t="s">
        <v>74</v>
      </c>
      <c r="AT691" s="1" t="s">
        <v>6577</v>
      </c>
      <c r="AU691" s="1">
        <v>2023.0</v>
      </c>
      <c r="AV691" s="1">
        <v>131.0</v>
      </c>
      <c r="AW691" s="1">
        <v>22.0</v>
      </c>
      <c r="AX691" s="1" t="s">
        <v>74</v>
      </c>
      <c r="AY691" s="1" t="s">
        <v>74</v>
      </c>
      <c r="AZ691" s="1" t="s">
        <v>74</v>
      </c>
      <c r="BA691" s="1" t="s">
        <v>74</v>
      </c>
      <c r="BB691" s="1" t="s">
        <v>74</v>
      </c>
      <c r="BC691" s="1" t="s">
        <v>74</v>
      </c>
      <c r="BD691" s="1">
        <v>226801.0</v>
      </c>
      <c r="BE691" s="1" t="s">
        <v>6578</v>
      </c>
      <c r="BF691" s="2" t="str">
        <f>HYPERLINK("http://dx.doi.org/10.1103/PhysRevLett.131.226801","http://dx.doi.org/10.1103/PhysRevLett.131.226801")</f>
        <v>http://dx.doi.org/10.1103/PhysRevLett.131.226801</v>
      </c>
      <c r="BG691" s="1" t="s">
        <v>74</v>
      </c>
      <c r="BH691" s="1" t="s">
        <v>74</v>
      </c>
      <c r="BI691" s="1" t="s">
        <v>74</v>
      </c>
      <c r="BJ691" s="1" t="s">
        <v>74</v>
      </c>
      <c r="BK691" s="1" t="s">
        <v>74</v>
      </c>
      <c r="BL691" s="1" t="s">
        <v>74</v>
      </c>
      <c r="BM691" s="1" t="s">
        <v>74</v>
      </c>
      <c r="BN691" s="1">
        <v>3.8101376E7</v>
      </c>
      <c r="BO691" s="1" t="s">
        <v>74</v>
      </c>
      <c r="BP691" s="1" t="s">
        <v>74</v>
      </c>
      <c r="BQ691" s="1" t="s">
        <v>74</v>
      </c>
      <c r="BR691" s="1" t="s">
        <v>74</v>
      </c>
      <c r="BS691" s="1" t="s">
        <v>6579</v>
      </c>
      <c r="BT691" s="1" t="str">
        <f>HYPERLINK("https%3A%2F%2Fwww.webofscience.com%2Fwos%2Fwoscc%2Ffull-record%2FWOS:001159474100009","View Full Record in Web of Science")</f>
        <v>View Full Record in Web of Science</v>
      </c>
    </row>
    <row r="692" ht="12.75" customHeight="1">
      <c r="A692" s="1" t="s">
        <v>72</v>
      </c>
      <c r="B692" s="1" t="s">
        <v>6580</v>
      </c>
      <c r="C692" s="1" t="s">
        <v>74</v>
      </c>
      <c r="D692" s="1" t="s">
        <v>74</v>
      </c>
      <c r="E692" s="1" t="s">
        <v>74</v>
      </c>
      <c r="F692" s="1" t="s">
        <v>6581</v>
      </c>
      <c r="G692" s="1" t="s">
        <v>74</v>
      </c>
      <c r="H692" s="1" t="s">
        <v>74</v>
      </c>
      <c r="I692" s="1" t="s">
        <v>6582</v>
      </c>
      <c r="J692" s="1" t="s">
        <v>996</v>
      </c>
      <c r="K692" s="1" t="s">
        <v>74</v>
      </c>
      <c r="L692" s="1" t="s">
        <v>74</v>
      </c>
      <c r="M692" s="1" t="s">
        <v>74</v>
      </c>
      <c r="N692" s="1" t="s">
        <v>74</v>
      </c>
      <c r="O692" s="1" t="s">
        <v>74</v>
      </c>
      <c r="P692" s="1" t="s">
        <v>74</v>
      </c>
      <c r="Q692" s="1" t="s">
        <v>74</v>
      </c>
      <c r="R692" s="1" t="s">
        <v>74</v>
      </c>
      <c r="S692" s="1" t="s">
        <v>74</v>
      </c>
      <c r="T692" s="1" t="s">
        <v>74</v>
      </c>
      <c r="U692" s="1" t="s">
        <v>74</v>
      </c>
      <c r="V692" s="1" t="s">
        <v>6583</v>
      </c>
      <c r="W692" s="1" t="s">
        <v>74</v>
      </c>
      <c r="X692" s="1" t="s">
        <v>74</v>
      </c>
      <c r="Y692" s="1" t="s">
        <v>74</v>
      </c>
      <c r="Z692" s="1" t="s">
        <v>74</v>
      </c>
      <c r="AA692" s="1" t="s">
        <v>6584</v>
      </c>
      <c r="AB692" s="1" t="s">
        <v>6585</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1000</v>
      </c>
      <c r="AP692" s="1" t="s">
        <v>1001</v>
      </c>
      <c r="AQ692" s="1" t="s">
        <v>74</v>
      </c>
      <c r="AR692" s="1" t="s">
        <v>74</v>
      </c>
      <c r="AS692" s="1" t="s">
        <v>74</v>
      </c>
      <c r="AT692" s="1" t="s">
        <v>496</v>
      </c>
      <c r="AU692" s="1">
        <v>2024.0</v>
      </c>
      <c r="AV692" s="1">
        <v>391.0</v>
      </c>
      <c r="AW692" s="1" t="s">
        <v>74</v>
      </c>
      <c r="AX692" s="1" t="s">
        <v>726</v>
      </c>
      <c r="AY692" s="1" t="s">
        <v>74</v>
      </c>
      <c r="AZ692" s="1" t="s">
        <v>74</v>
      </c>
      <c r="BA692" s="1" t="s">
        <v>74</v>
      </c>
      <c r="BB692" s="1" t="s">
        <v>74</v>
      </c>
      <c r="BC692" s="1" t="s">
        <v>74</v>
      </c>
      <c r="BD692" s="1">
        <v>129936.0</v>
      </c>
      <c r="BE692" s="1" t="s">
        <v>6586</v>
      </c>
      <c r="BF692" s="2" t="str">
        <f>HYPERLINK("http://dx.doi.org/10.1016/j.biortech.2023.129936","http://dx.doi.org/10.1016/j.biortech.2023.129936")</f>
        <v>http://dx.doi.org/10.1016/j.biortech.2023.129936</v>
      </c>
      <c r="BG692" s="1" t="s">
        <v>74</v>
      </c>
      <c r="BH692" s="1" t="s">
        <v>1259</v>
      </c>
      <c r="BI692" s="1" t="s">
        <v>74</v>
      </c>
      <c r="BJ692" s="1" t="s">
        <v>74</v>
      </c>
      <c r="BK692" s="1" t="s">
        <v>74</v>
      </c>
      <c r="BL692" s="1" t="s">
        <v>74</v>
      </c>
      <c r="BM692" s="1" t="s">
        <v>74</v>
      </c>
      <c r="BN692" s="1">
        <v>3.9491117E7</v>
      </c>
      <c r="BO692" s="1" t="s">
        <v>74</v>
      </c>
      <c r="BP692" s="1" t="s">
        <v>74</v>
      </c>
      <c r="BQ692" s="1" t="s">
        <v>74</v>
      </c>
      <c r="BR692" s="1" t="s">
        <v>74</v>
      </c>
      <c r="BS692" s="1" t="s">
        <v>6587</v>
      </c>
      <c r="BT692" s="1" t="str">
        <f>HYPERLINK("https%3A%2F%2Fwww.webofscience.com%2Fwos%2Fwoscc%2Ffull-record%2FWOS:001114860000001","View Full Record in Web of Science")</f>
        <v>View Full Record in Web of Science</v>
      </c>
    </row>
    <row r="693" ht="12.75" customHeight="1">
      <c r="A693" s="1" t="s">
        <v>72</v>
      </c>
      <c r="B693" s="1" t="s">
        <v>6588</v>
      </c>
      <c r="C693" s="1" t="s">
        <v>74</v>
      </c>
      <c r="D693" s="1" t="s">
        <v>74</v>
      </c>
      <c r="E693" s="1" t="s">
        <v>74</v>
      </c>
      <c r="F693" s="1" t="s">
        <v>6589</v>
      </c>
      <c r="G693" s="1" t="s">
        <v>74</v>
      </c>
      <c r="H693" s="1" t="s">
        <v>74</v>
      </c>
      <c r="I693" s="1" t="s">
        <v>6590</v>
      </c>
      <c r="J693" s="1" t="s">
        <v>326</v>
      </c>
      <c r="K693" s="1" t="s">
        <v>74</v>
      </c>
      <c r="L693" s="1" t="s">
        <v>74</v>
      </c>
      <c r="M693" s="1" t="s">
        <v>74</v>
      </c>
      <c r="N693" s="1" t="s">
        <v>74</v>
      </c>
      <c r="O693" s="1" t="s">
        <v>74</v>
      </c>
      <c r="P693" s="1" t="s">
        <v>74</v>
      </c>
      <c r="Q693" s="1" t="s">
        <v>74</v>
      </c>
      <c r="R693" s="1" t="s">
        <v>74</v>
      </c>
      <c r="S693" s="1" t="s">
        <v>74</v>
      </c>
      <c r="T693" s="1" t="s">
        <v>74</v>
      </c>
      <c r="U693" s="1" t="s">
        <v>74</v>
      </c>
      <c r="V693" s="1" t="s">
        <v>6591</v>
      </c>
      <c r="W693" s="1" t="s">
        <v>74</v>
      </c>
      <c r="X693" s="1" t="s">
        <v>74</v>
      </c>
      <c r="Y693" s="1" t="s">
        <v>74</v>
      </c>
      <c r="Z693" s="1" t="s">
        <v>74</v>
      </c>
      <c r="AA693" s="1" t="s">
        <v>6592</v>
      </c>
      <c r="AB693" s="1" t="s">
        <v>6593</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330</v>
      </c>
      <c r="AP693" s="1" t="s">
        <v>331</v>
      </c>
      <c r="AQ693" s="1" t="s">
        <v>74</v>
      </c>
      <c r="AR693" s="1" t="s">
        <v>74</v>
      </c>
      <c r="AS693" s="1" t="s">
        <v>74</v>
      </c>
      <c r="AT693" s="1" t="s">
        <v>1467</v>
      </c>
      <c r="AU693" s="1">
        <v>2023.0</v>
      </c>
      <c r="AV693" s="1">
        <v>467.0</v>
      </c>
      <c r="AW693" s="1" t="s">
        <v>74</v>
      </c>
      <c r="AX693" s="1" t="s">
        <v>74</v>
      </c>
      <c r="AY693" s="1" t="s">
        <v>74</v>
      </c>
      <c r="AZ693" s="1" t="s">
        <v>74</v>
      </c>
      <c r="BA693" s="1" t="s">
        <v>74</v>
      </c>
      <c r="BB693" s="1" t="s">
        <v>74</v>
      </c>
      <c r="BC693" s="1" t="s">
        <v>74</v>
      </c>
      <c r="BD693" s="1">
        <v>143083.0</v>
      </c>
      <c r="BE693" s="1" t="s">
        <v>6594</v>
      </c>
      <c r="BF693" s="2" t="str">
        <f>HYPERLINK("http://dx.doi.org/10.1016/j.electacta.2023.143083","http://dx.doi.org/10.1016/j.electacta.2023.143083")</f>
        <v>http://dx.doi.org/10.1016/j.electacta.2023.143083</v>
      </c>
      <c r="BG693" s="1" t="s">
        <v>74</v>
      </c>
      <c r="BH693" s="1" t="s">
        <v>2360</v>
      </c>
      <c r="BI693" s="1" t="s">
        <v>74</v>
      </c>
      <c r="BJ693" s="1" t="s">
        <v>74</v>
      </c>
      <c r="BK693" s="1" t="s">
        <v>74</v>
      </c>
      <c r="BL693" s="1" t="s">
        <v>74</v>
      </c>
      <c r="BM693" s="1" t="s">
        <v>74</v>
      </c>
      <c r="BN693" s="1" t="s">
        <v>74</v>
      </c>
      <c r="BO693" s="1" t="s">
        <v>74</v>
      </c>
      <c r="BP693" s="1" t="s">
        <v>74</v>
      </c>
      <c r="BQ693" s="1" t="s">
        <v>74</v>
      </c>
      <c r="BR693" s="1" t="s">
        <v>74</v>
      </c>
      <c r="BS693" s="1" t="s">
        <v>6595</v>
      </c>
      <c r="BT693" s="1" t="str">
        <f>HYPERLINK("https%3A%2F%2Fwww.webofscience.com%2Fwos%2Fwoscc%2Ffull-record%2FWOS:001080109400001","View Full Record in Web of Science")</f>
        <v>View Full Record in Web of Science</v>
      </c>
    </row>
    <row r="694" ht="12.75" customHeight="1">
      <c r="A694" s="1" t="s">
        <v>72</v>
      </c>
      <c r="B694" s="1" t="s">
        <v>6596</v>
      </c>
      <c r="C694" s="1" t="s">
        <v>74</v>
      </c>
      <c r="D694" s="1" t="s">
        <v>74</v>
      </c>
      <c r="E694" s="1" t="s">
        <v>74</v>
      </c>
      <c r="F694" s="1" t="s">
        <v>6597</v>
      </c>
      <c r="G694" s="1" t="s">
        <v>74</v>
      </c>
      <c r="H694" s="1" t="s">
        <v>74</v>
      </c>
      <c r="I694" s="1" t="s">
        <v>6598</v>
      </c>
      <c r="J694" s="1" t="s">
        <v>1735</v>
      </c>
      <c r="K694" s="1" t="s">
        <v>74</v>
      </c>
      <c r="L694" s="1" t="s">
        <v>74</v>
      </c>
      <c r="M694" s="1" t="s">
        <v>74</v>
      </c>
      <c r="N694" s="1" t="s">
        <v>74</v>
      </c>
      <c r="O694" s="1" t="s">
        <v>74</v>
      </c>
      <c r="P694" s="1" t="s">
        <v>74</v>
      </c>
      <c r="Q694" s="1" t="s">
        <v>74</v>
      </c>
      <c r="R694" s="1" t="s">
        <v>74</v>
      </c>
      <c r="S694" s="1" t="s">
        <v>74</v>
      </c>
      <c r="T694" s="1" t="s">
        <v>74</v>
      </c>
      <c r="U694" s="1" t="s">
        <v>74</v>
      </c>
      <c r="V694" s="1" t="s">
        <v>6599</v>
      </c>
      <c r="W694" s="1" t="s">
        <v>74</v>
      </c>
      <c r="X694" s="1" t="s">
        <v>74</v>
      </c>
      <c r="Y694" s="1" t="s">
        <v>74</v>
      </c>
      <c r="Z694" s="1" t="s">
        <v>74</v>
      </c>
      <c r="AA694" s="1" t="s">
        <v>74</v>
      </c>
      <c r="AB694" s="1" t="s">
        <v>6600</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2107</v>
      </c>
      <c r="AP694" s="1" t="s">
        <v>1739</v>
      </c>
      <c r="AQ694" s="1" t="s">
        <v>74</v>
      </c>
      <c r="AR694" s="1" t="s">
        <v>74</v>
      </c>
      <c r="AS694" s="1" t="s">
        <v>74</v>
      </c>
      <c r="AT694" s="1" t="s">
        <v>187</v>
      </c>
      <c r="AU694" s="1">
        <v>2023.0</v>
      </c>
      <c r="AV694" s="1">
        <v>24.0</v>
      </c>
      <c r="AW694" s="1">
        <v>8.0</v>
      </c>
      <c r="AX694" s="1" t="s">
        <v>74</v>
      </c>
      <c r="AY694" s="1" t="s">
        <v>74</v>
      </c>
      <c r="AZ694" s="1" t="s">
        <v>74</v>
      </c>
      <c r="BA694" s="1" t="s">
        <v>74</v>
      </c>
      <c r="BB694" s="1" t="s">
        <v>74</v>
      </c>
      <c r="BC694" s="1" t="s">
        <v>74</v>
      </c>
      <c r="BD694" s="1">
        <v>7466.0</v>
      </c>
      <c r="BE694" s="1" t="s">
        <v>6601</v>
      </c>
      <c r="BF694" s="2" t="str">
        <f>HYPERLINK("http://dx.doi.org/10.3390/ijms24087466","http://dx.doi.org/10.3390/ijms24087466")</f>
        <v>http://dx.doi.org/10.3390/ijms24087466</v>
      </c>
      <c r="BG694" s="1" t="s">
        <v>74</v>
      </c>
      <c r="BH694" s="1" t="s">
        <v>74</v>
      </c>
      <c r="BI694" s="1" t="s">
        <v>74</v>
      </c>
      <c r="BJ694" s="1" t="s">
        <v>74</v>
      </c>
      <c r="BK694" s="1" t="s">
        <v>74</v>
      </c>
      <c r="BL694" s="1" t="s">
        <v>74</v>
      </c>
      <c r="BM694" s="1" t="s">
        <v>74</v>
      </c>
      <c r="BN694" s="1">
        <v>3.7108629E7</v>
      </c>
      <c r="BO694" s="1" t="s">
        <v>74</v>
      </c>
      <c r="BP694" s="1" t="s">
        <v>74</v>
      </c>
      <c r="BQ694" s="1" t="s">
        <v>74</v>
      </c>
      <c r="BR694" s="1" t="s">
        <v>74</v>
      </c>
      <c r="BS694" s="1" t="s">
        <v>6602</v>
      </c>
      <c r="BT694" s="1" t="str">
        <f>HYPERLINK("https%3A%2F%2Fwww.webofscience.com%2Fwos%2Fwoscc%2Ffull-record%2FWOS:000977665600001","View Full Record in Web of Science")</f>
        <v>View Full Record in Web of Science</v>
      </c>
    </row>
    <row r="695" ht="12.75" customHeight="1">
      <c r="A695" s="1" t="s">
        <v>72</v>
      </c>
      <c r="B695" s="1" t="s">
        <v>6603</v>
      </c>
      <c r="C695" s="1" t="s">
        <v>74</v>
      </c>
      <c r="D695" s="1" t="s">
        <v>74</v>
      </c>
      <c r="E695" s="1" t="s">
        <v>74</v>
      </c>
      <c r="F695" s="1" t="s">
        <v>6604</v>
      </c>
      <c r="G695" s="1" t="s">
        <v>74</v>
      </c>
      <c r="H695" s="1" t="s">
        <v>74</v>
      </c>
      <c r="I695" s="1" t="s">
        <v>6605</v>
      </c>
      <c r="J695" s="1" t="s">
        <v>6606</v>
      </c>
      <c r="K695" s="1" t="s">
        <v>74</v>
      </c>
      <c r="L695" s="1" t="s">
        <v>74</v>
      </c>
      <c r="M695" s="1" t="s">
        <v>74</v>
      </c>
      <c r="N695" s="1" t="s">
        <v>74</v>
      </c>
      <c r="O695" s="1" t="s">
        <v>74</v>
      </c>
      <c r="P695" s="1" t="s">
        <v>74</v>
      </c>
      <c r="Q695" s="1" t="s">
        <v>74</v>
      </c>
      <c r="R695" s="1" t="s">
        <v>74</v>
      </c>
      <c r="S695" s="1" t="s">
        <v>74</v>
      </c>
      <c r="T695" s="1" t="s">
        <v>74</v>
      </c>
      <c r="U695" s="1" t="s">
        <v>74</v>
      </c>
      <c r="V695" s="1" t="s">
        <v>6607</v>
      </c>
      <c r="W695" s="1" t="s">
        <v>74</v>
      </c>
      <c r="X695" s="1" t="s">
        <v>74</v>
      </c>
      <c r="Y695" s="1" t="s">
        <v>74</v>
      </c>
      <c r="Z695" s="1" t="s">
        <v>74</v>
      </c>
      <c r="AA695" s="1" t="s">
        <v>6608</v>
      </c>
      <c r="AB695" s="1" t="s">
        <v>6609</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6610</v>
      </c>
      <c r="AP695" s="1" t="s">
        <v>74</v>
      </c>
      <c r="AQ695" s="1" t="s">
        <v>74</v>
      </c>
      <c r="AR695" s="1" t="s">
        <v>74</v>
      </c>
      <c r="AS695" s="1" t="s">
        <v>74</v>
      </c>
      <c r="AT695" s="1" t="s">
        <v>120</v>
      </c>
      <c r="AU695" s="1">
        <v>2023.0</v>
      </c>
      <c r="AV695" s="1">
        <v>14.0</v>
      </c>
      <c r="AW695" s="1">
        <v>1.0</v>
      </c>
      <c r="AX695" s="1" t="s">
        <v>74</v>
      </c>
      <c r="AY695" s="1" t="s">
        <v>74</v>
      </c>
      <c r="AZ695" s="1" t="s">
        <v>74</v>
      </c>
      <c r="BA695" s="1" t="s">
        <v>74</v>
      </c>
      <c r="BB695" s="1" t="s">
        <v>74</v>
      </c>
      <c r="BC695" s="1" t="s">
        <v>74</v>
      </c>
      <c r="BD695" s="1" t="s">
        <v>6611</v>
      </c>
      <c r="BE695" s="1" t="s">
        <v>6612</v>
      </c>
      <c r="BF695" s="2" t="str">
        <f>HYPERLINK("http://dx.doi.org/10.1128/mbio.03291-22","http://dx.doi.org/10.1128/mbio.03291-22")</f>
        <v>http://dx.doi.org/10.1128/mbio.03291-22</v>
      </c>
      <c r="BG695" s="1" t="s">
        <v>74</v>
      </c>
      <c r="BH695" s="1" t="s">
        <v>74</v>
      </c>
      <c r="BI695" s="1" t="s">
        <v>74</v>
      </c>
      <c r="BJ695" s="1" t="s">
        <v>74</v>
      </c>
      <c r="BK695" s="1" t="s">
        <v>74</v>
      </c>
      <c r="BL695" s="1" t="s">
        <v>74</v>
      </c>
      <c r="BM695" s="1" t="s">
        <v>74</v>
      </c>
      <c r="BN695" s="1">
        <v>3.6744948E7</v>
      </c>
      <c r="BO695" s="1" t="s">
        <v>74</v>
      </c>
      <c r="BP695" s="1" t="s">
        <v>74</v>
      </c>
      <c r="BQ695" s="1" t="s">
        <v>74</v>
      </c>
      <c r="BR695" s="1" t="s">
        <v>74</v>
      </c>
      <c r="BS695" s="1" t="s">
        <v>6613</v>
      </c>
      <c r="BT695" s="1" t="str">
        <f>HYPERLINK("https%3A%2F%2Fwww.webofscience.com%2Fwos%2Fwoscc%2Ffull-record%2FWOS:001191159500002","View Full Record in Web of Science")</f>
        <v>View Full Record in Web of Science</v>
      </c>
    </row>
    <row r="696" ht="12.75" customHeight="1">
      <c r="A696" s="1" t="s">
        <v>72</v>
      </c>
      <c r="B696" s="1" t="s">
        <v>6614</v>
      </c>
      <c r="C696" s="1" t="s">
        <v>74</v>
      </c>
      <c r="D696" s="1" t="s">
        <v>74</v>
      </c>
      <c r="E696" s="1" t="s">
        <v>74</v>
      </c>
      <c r="F696" s="1" t="s">
        <v>6615</v>
      </c>
      <c r="G696" s="1" t="s">
        <v>74</v>
      </c>
      <c r="H696" s="1" t="s">
        <v>74</v>
      </c>
      <c r="I696" s="1" t="s">
        <v>6616</v>
      </c>
      <c r="J696" s="1" t="s">
        <v>2767</v>
      </c>
      <c r="K696" s="1" t="s">
        <v>74</v>
      </c>
      <c r="L696" s="1" t="s">
        <v>74</v>
      </c>
      <c r="M696" s="1" t="s">
        <v>74</v>
      </c>
      <c r="N696" s="1" t="s">
        <v>74</v>
      </c>
      <c r="O696" s="1" t="s">
        <v>74</v>
      </c>
      <c r="P696" s="1" t="s">
        <v>74</v>
      </c>
      <c r="Q696" s="1" t="s">
        <v>74</v>
      </c>
      <c r="R696" s="1" t="s">
        <v>74</v>
      </c>
      <c r="S696" s="1" t="s">
        <v>74</v>
      </c>
      <c r="T696" s="1" t="s">
        <v>74</v>
      </c>
      <c r="U696" s="1" t="s">
        <v>74</v>
      </c>
      <c r="V696" s="1" t="s">
        <v>74</v>
      </c>
      <c r="W696" s="1" t="s">
        <v>74</v>
      </c>
      <c r="X696" s="1" t="s">
        <v>74</v>
      </c>
      <c r="Y696" s="1" t="s">
        <v>74</v>
      </c>
      <c r="Z696" s="1" t="s">
        <v>74</v>
      </c>
      <c r="AA696" s="1" t="s">
        <v>74</v>
      </c>
      <c r="AB696" s="1" t="s">
        <v>74</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2771</v>
      </c>
      <c r="AP696" s="1" t="s">
        <v>2772</v>
      </c>
      <c r="AQ696" s="1" t="s">
        <v>74</v>
      </c>
      <c r="AR696" s="1" t="s">
        <v>74</v>
      </c>
      <c r="AS696" s="1" t="s">
        <v>74</v>
      </c>
      <c r="AT696" s="1" t="s">
        <v>95</v>
      </c>
      <c r="AU696" s="1">
        <v>2022.0</v>
      </c>
      <c r="AV696" s="1">
        <v>131.0</v>
      </c>
      <c r="AW696" s="1" t="s">
        <v>74</v>
      </c>
      <c r="AX696" s="1" t="s">
        <v>74</v>
      </c>
      <c r="AY696" s="1" t="s">
        <v>74</v>
      </c>
      <c r="AZ696" s="1" t="s">
        <v>74</v>
      </c>
      <c r="BA696" s="1" t="s">
        <v>6617</v>
      </c>
      <c r="BB696" s="1">
        <v>1332.0</v>
      </c>
      <c r="BC696" s="1">
        <v>1333.0</v>
      </c>
      <c r="BD696" s="1" t="s">
        <v>74</v>
      </c>
      <c r="BE696" s="1" t="s">
        <v>74</v>
      </c>
      <c r="BF696" s="1" t="s">
        <v>74</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6618</v>
      </c>
      <c r="BT696" s="1" t="str">
        <f>HYPERLINK("https%3A%2F%2Fwww.webofscience.com%2Fwos%2Fwoscc%2Ffull-record%2FWOS:001050952100065","View Full Record in Web of Science")</f>
        <v>View Full Record in Web of Science</v>
      </c>
    </row>
    <row r="697" ht="12.75" customHeight="1">
      <c r="A697" s="1" t="s">
        <v>72</v>
      </c>
      <c r="B697" s="1" t="s">
        <v>6619</v>
      </c>
      <c r="C697" s="1" t="s">
        <v>74</v>
      </c>
      <c r="D697" s="1" t="s">
        <v>74</v>
      </c>
      <c r="E697" s="1" t="s">
        <v>74</v>
      </c>
      <c r="F697" s="1" t="s">
        <v>6620</v>
      </c>
      <c r="G697" s="1" t="s">
        <v>74</v>
      </c>
      <c r="H697" s="1" t="s">
        <v>74</v>
      </c>
      <c r="I697" s="1" t="s">
        <v>6621</v>
      </c>
      <c r="J697" s="1" t="s">
        <v>6622</v>
      </c>
      <c r="K697" s="1" t="s">
        <v>74</v>
      </c>
      <c r="L697" s="1" t="s">
        <v>74</v>
      </c>
      <c r="M697" s="1" t="s">
        <v>74</v>
      </c>
      <c r="N697" s="1" t="s">
        <v>74</v>
      </c>
      <c r="O697" s="1" t="s">
        <v>74</v>
      </c>
      <c r="P697" s="1" t="s">
        <v>74</v>
      </c>
      <c r="Q697" s="1" t="s">
        <v>74</v>
      </c>
      <c r="R697" s="1" t="s">
        <v>74</v>
      </c>
      <c r="S697" s="1" t="s">
        <v>74</v>
      </c>
      <c r="T697" s="1" t="s">
        <v>74</v>
      </c>
      <c r="U697" s="1" t="s">
        <v>74</v>
      </c>
      <c r="V697" s="1" t="s">
        <v>6623</v>
      </c>
      <c r="W697" s="1" t="s">
        <v>74</v>
      </c>
      <c r="X697" s="1" t="s">
        <v>74</v>
      </c>
      <c r="Y697" s="1" t="s">
        <v>74</v>
      </c>
      <c r="Z697" s="1" t="s">
        <v>74</v>
      </c>
      <c r="AA697" s="1" t="s">
        <v>74</v>
      </c>
      <c r="AB697" s="1" t="s">
        <v>6624</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6625</v>
      </c>
      <c r="AP697" s="1" t="s">
        <v>6626</v>
      </c>
      <c r="AQ697" s="1" t="s">
        <v>74</v>
      </c>
      <c r="AR697" s="1" t="s">
        <v>74</v>
      </c>
      <c r="AS697" s="1" t="s">
        <v>74</v>
      </c>
      <c r="AT697" s="1" t="s">
        <v>232</v>
      </c>
      <c r="AU697" s="1">
        <v>2022.0</v>
      </c>
      <c r="AV697" s="1">
        <v>55.0</v>
      </c>
      <c r="AW697" s="1">
        <v>2.0</v>
      </c>
      <c r="AX697" s="1" t="s">
        <v>74</v>
      </c>
      <c r="AY697" s="1" t="s">
        <v>74</v>
      </c>
      <c r="AZ697" s="1" t="s">
        <v>74</v>
      </c>
      <c r="BA697" s="1" t="s">
        <v>74</v>
      </c>
      <c r="BB697" s="1">
        <v>137.0</v>
      </c>
      <c r="BC697" s="1">
        <v>143.0</v>
      </c>
      <c r="BD697" s="1" t="s">
        <v>74</v>
      </c>
      <c r="BE697" s="1" t="s">
        <v>6627</v>
      </c>
      <c r="BF697" s="2" t="str">
        <f>HYPERLINK("http://dx.doi.org/10.1007/s13404-022-00314-y","http://dx.doi.org/10.1007/s13404-022-00314-y")</f>
        <v>http://dx.doi.org/10.1007/s13404-022-00314-y</v>
      </c>
      <c r="BG697" s="1" t="s">
        <v>74</v>
      </c>
      <c r="BH697" s="1" t="s">
        <v>6628</v>
      </c>
      <c r="BI697" s="1" t="s">
        <v>74</v>
      </c>
      <c r="BJ697" s="1" t="s">
        <v>74</v>
      </c>
      <c r="BK697" s="1" t="s">
        <v>74</v>
      </c>
      <c r="BL697" s="1" t="s">
        <v>74</v>
      </c>
      <c r="BM697" s="1" t="s">
        <v>74</v>
      </c>
      <c r="BN697" s="1" t="s">
        <v>74</v>
      </c>
      <c r="BO697" s="1" t="s">
        <v>74</v>
      </c>
      <c r="BP697" s="1" t="s">
        <v>74</v>
      </c>
      <c r="BQ697" s="1" t="s">
        <v>74</v>
      </c>
      <c r="BR697" s="1" t="s">
        <v>74</v>
      </c>
      <c r="BS697" s="1" t="s">
        <v>6629</v>
      </c>
      <c r="BT697" s="1" t="str">
        <f>HYPERLINK("https%3A%2F%2Fwww.webofscience.com%2Fwos%2Fwoscc%2Ffull-record%2FWOS:000815438200001","View Full Record in Web of Science")</f>
        <v>View Full Record in Web of Science</v>
      </c>
    </row>
    <row r="698" ht="12.75" customHeight="1">
      <c r="A698" s="1" t="s">
        <v>72</v>
      </c>
      <c r="B698" s="1" t="s">
        <v>6630</v>
      </c>
      <c r="C698" s="1" t="s">
        <v>74</v>
      </c>
      <c r="D698" s="1" t="s">
        <v>74</v>
      </c>
      <c r="E698" s="1" t="s">
        <v>74</v>
      </c>
      <c r="F698" s="1" t="s">
        <v>6631</v>
      </c>
      <c r="G698" s="1" t="s">
        <v>74</v>
      </c>
      <c r="H698" s="1" t="s">
        <v>74</v>
      </c>
      <c r="I698" s="1" t="s">
        <v>6632</v>
      </c>
      <c r="J698" s="1" t="s">
        <v>6633</v>
      </c>
      <c r="K698" s="1" t="s">
        <v>74</v>
      </c>
      <c r="L698" s="1" t="s">
        <v>74</v>
      </c>
      <c r="M698" s="1" t="s">
        <v>74</v>
      </c>
      <c r="N698" s="1" t="s">
        <v>74</v>
      </c>
      <c r="O698" s="1" t="s">
        <v>74</v>
      </c>
      <c r="P698" s="1" t="s">
        <v>74</v>
      </c>
      <c r="Q698" s="1" t="s">
        <v>74</v>
      </c>
      <c r="R698" s="1" t="s">
        <v>74</v>
      </c>
      <c r="S698" s="1" t="s">
        <v>74</v>
      </c>
      <c r="T698" s="1" t="s">
        <v>74</v>
      </c>
      <c r="U698" s="1" t="s">
        <v>74</v>
      </c>
      <c r="V698" s="1" t="s">
        <v>6634</v>
      </c>
      <c r="W698" s="1" t="s">
        <v>74</v>
      </c>
      <c r="X698" s="1" t="s">
        <v>74</v>
      </c>
      <c r="Y698" s="1" t="s">
        <v>74</v>
      </c>
      <c r="Z698" s="1" t="s">
        <v>74</v>
      </c>
      <c r="AA698" s="1" t="s">
        <v>6635</v>
      </c>
      <c r="AB698" s="1" t="s">
        <v>6636</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6637</v>
      </c>
      <c r="AP698" s="1" t="s">
        <v>74</v>
      </c>
      <c r="AQ698" s="1" t="s">
        <v>74</v>
      </c>
      <c r="AR698" s="1" t="s">
        <v>74</v>
      </c>
      <c r="AS698" s="1" t="s">
        <v>74</v>
      </c>
      <c r="AT698" s="1" t="s">
        <v>74</v>
      </c>
      <c r="AU698" s="1">
        <v>2022.0</v>
      </c>
      <c r="AV698" s="1">
        <v>61.0</v>
      </c>
      <c r="AW698" s="1">
        <v>1.0</v>
      </c>
      <c r="AX698" s="1" t="s">
        <v>74</v>
      </c>
      <c r="AY698" s="1" t="s">
        <v>74</v>
      </c>
      <c r="AZ698" s="1" t="s">
        <v>74</v>
      </c>
      <c r="BA698" s="1" t="s">
        <v>74</v>
      </c>
      <c r="BB698" s="1">
        <v>37.0</v>
      </c>
      <c r="BC698" s="1">
        <v>44.0</v>
      </c>
      <c r="BD698" s="1" t="s">
        <v>74</v>
      </c>
      <c r="BE698" s="1" t="s">
        <v>6638</v>
      </c>
      <c r="BF698" s="2" t="str">
        <f>HYPERLINK("http://dx.doi.org/10.5073/vitis.2022.61.37-44","http://dx.doi.org/10.5073/vitis.2022.61.37-44")</f>
        <v>http://dx.doi.org/10.5073/vitis.2022.61.37-44</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6639</v>
      </c>
      <c r="BT698" s="1" t="str">
        <f>HYPERLINK("https%3A%2F%2Fwww.webofscience.com%2Fwos%2Fwoscc%2Ffull-record%2FWOS:000761084700005","View Full Record in Web of Science")</f>
        <v>View Full Record in Web of Science</v>
      </c>
    </row>
    <row r="699" ht="12.75" customHeight="1">
      <c r="A699" s="1" t="s">
        <v>72</v>
      </c>
      <c r="B699" s="1" t="s">
        <v>6640</v>
      </c>
      <c r="C699" s="1" t="s">
        <v>74</v>
      </c>
      <c r="D699" s="1" t="s">
        <v>74</v>
      </c>
      <c r="E699" s="1" t="s">
        <v>74</v>
      </c>
      <c r="F699" s="1" t="s">
        <v>6641</v>
      </c>
      <c r="G699" s="1" t="s">
        <v>74</v>
      </c>
      <c r="H699" s="1" t="s">
        <v>74</v>
      </c>
      <c r="I699" s="1" t="s">
        <v>6642</v>
      </c>
      <c r="J699" s="1" t="s">
        <v>1509</v>
      </c>
      <c r="K699" s="1" t="s">
        <v>74</v>
      </c>
      <c r="L699" s="1" t="s">
        <v>74</v>
      </c>
      <c r="M699" s="1" t="s">
        <v>74</v>
      </c>
      <c r="N699" s="1" t="s">
        <v>74</v>
      </c>
      <c r="O699" s="1" t="s">
        <v>74</v>
      </c>
      <c r="P699" s="1" t="s">
        <v>74</v>
      </c>
      <c r="Q699" s="1" t="s">
        <v>74</v>
      </c>
      <c r="R699" s="1" t="s">
        <v>74</v>
      </c>
      <c r="S699" s="1" t="s">
        <v>74</v>
      </c>
      <c r="T699" s="1" t="s">
        <v>74</v>
      </c>
      <c r="U699" s="1" t="s">
        <v>74</v>
      </c>
      <c r="V699" s="1" t="s">
        <v>6643</v>
      </c>
      <c r="W699" s="1" t="s">
        <v>74</v>
      </c>
      <c r="X699" s="1" t="s">
        <v>74</v>
      </c>
      <c r="Y699" s="1" t="s">
        <v>74</v>
      </c>
      <c r="Z699" s="1" t="s">
        <v>74</v>
      </c>
      <c r="AA699" s="1" t="s">
        <v>6644</v>
      </c>
      <c r="AB699" s="1" t="s">
        <v>6645</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1510</v>
      </c>
      <c r="AP699" s="1" t="s">
        <v>6646</v>
      </c>
      <c r="AQ699" s="1" t="s">
        <v>74</v>
      </c>
      <c r="AR699" s="1" t="s">
        <v>74</v>
      </c>
      <c r="AS699" s="1" t="s">
        <v>74</v>
      </c>
      <c r="AT699" s="1" t="s">
        <v>596</v>
      </c>
      <c r="AU699" s="1">
        <v>2021.0</v>
      </c>
      <c r="AV699" s="1">
        <v>112.0</v>
      </c>
      <c r="AW699" s="1" t="s">
        <v>74</v>
      </c>
      <c r="AX699" s="1" t="s">
        <v>74</v>
      </c>
      <c r="AY699" s="1" t="s">
        <v>74</v>
      </c>
      <c r="AZ699" s="1" t="s">
        <v>74</v>
      </c>
      <c r="BA699" s="1" t="s">
        <v>74</v>
      </c>
      <c r="BB699" s="1">
        <v>124.0</v>
      </c>
      <c r="BC699" s="1">
        <v>129.0</v>
      </c>
      <c r="BD699" s="1" t="s">
        <v>74</v>
      </c>
      <c r="BE699" s="1" t="s">
        <v>6647</v>
      </c>
      <c r="BF699" s="2" t="str">
        <f>HYPERLINK("http://dx.doi.org/10.1016/j.ijid.2021.09.038","http://dx.doi.org/10.1016/j.ijid.2021.09.038")</f>
        <v>http://dx.doi.org/10.1016/j.ijid.2021.09.038</v>
      </c>
      <c r="BG699" s="1" t="s">
        <v>74</v>
      </c>
      <c r="BH699" s="1" t="s">
        <v>2740</v>
      </c>
      <c r="BI699" s="1" t="s">
        <v>74</v>
      </c>
      <c r="BJ699" s="1" t="s">
        <v>74</v>
      </c>
      <c r="BK699" s="1" t="s">
        <v>74</v>
      </c>
      <c r="BL699" s="1" t="s">
        <v>74</v>
      </c>
      <c r="BM699" s="1" t="s">
        <v>74</v>
      </c>
      <c r="BN699" s="1">
        <v>3.4547488E7</v>
      </c>
      <c r="BO699" s="1" t="s">
        <v>74</v>
      </c>
      <c r="BP699" s="1" t="s">
        <v>74</v>
      </c>
      <c r="BQ699" s="1" t="s">
        <v>74</v>
      </c>
      <c r="BR699" s="1" t="s">
        <v>74</v>
      </c>
      <c r="BS699" s="1" t="s">
        <v>6648</v>
      </c>
      <c r="BT699" s="1" t="str">
        <f>HYPERLINK("https%3A%2F%2Fwww.webofscience.com%2Fwos%2Fwoscc%2Ffull-record%2FWOS:000706527200020","View Full Record in Web of Science")</f>
        <v>View Full Record in Web of Science</v>
      </c>
    </row>
    <row r="700" ht="12.75" customHeight="1">
      <c r="A700" s="1" t="s">
        <v>72</v>
      </c>
      <c r="B700" s="1" t="s">
        <v>6649</v>
      </c>
      <c r="C700" s="1" t="s">
        <v>74</v>
      </c>
      <c r="D700" s="1" t="s">
        <v>74</v>
      </c>
      <c r="E700" s="1" t="s">
        <v>74</v>
      </c>
      <c r="F700" s="1" t="s">
        <v>6650</v>
      </c>
      <c r="G700" s="1" t="s">
        <v>74</v>
      </c>
      <c r="H700" s="1" t="s">
        <v>74</v>
      </c>
      <c r="I700" s="1" t="s">
        <v>6651</v>
      </c>
      <c r="J700" s="1" t="s">
        <v>6652</v>
      </c>
      <c r="K700" s="1" t="s">
        <v>74</v>
      </c>
      <c r="L700" s="1" t="s">
        <v>74</v>
      </c>
      <c r="M700" s="1" t="s">
        <v>74</v>
      </c>
      <c r="N700" s="1" t="s">
        <v>74</v>
      </c>
      <c r="O700" s="1" t="s">
        <v>74</v>
      </c>
      <c r="P700" s="1" t="s">
        <v>74</v>
      </c>
      <c r="Q700" s="1" t="s">
        <v>74</v>
      </c>
      <c r="R700" s="1" t="s">
        <v>74</v>
      </c>
      <c r="S700" s="1" t="s">
        <v>74</v>
      </c>
      <c r="T700" s="1" t="s">
        <v>74</v>
      </c>
      <c r="U700" s="1" t="s">
        <v>74</v>
      </c>
      <c r="V700" s="1" t="s">
        <v>6653</v>
      </c>
      <c r="W700" s="1" t="s">
        <v>74</v>
      </c>
      <c r="X700" s="1" t="s">
        <v>74</v>
      </c>
      <c r="Y700" s="1" t="s">
        <v>74</v>
      </c>
      <c r="Z700" s="1" t="s">
        <v>74</v>
      </c>
      <c r="AA700" s="1" t="s">
        <v>6654</v>
      </c>
      <c r="AB700" s="1" t="s">
        <v>6655</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6656</v>
      </c>
      <c r="AP700" s="1" t="s">
        <v>6657</v>
      </c>
      <c r="AQ700" s="1" t="s">
        <v>74</v>
      </c>
      <c r="AR700" s="1" t="s">
        <v>74</v>
      </c>
      <c r="AS700" s="1" t="s">
        <v>74</v>
      </c>
      <c r="AT700" s="1" t="s">
        <v>6658</v>
      </c>
      <c r="AU700" s="1">
        <v>2021.0</v>
      </c>
      <c r="AV700" s="1">
        <v>50.0</v>
      </c>
      <c r="AW700" s="1">
        <v>4.0</v>
      </c>
      <c r="AX700" s="1" t="s">
        <v>74</v>
      </c>
      <c r="AY700" s="1" t="s">
        <v>74</v>
      </c>
      <c r="AZ700" s="1" t="s">
        <v>74</v>
      </c>
      <c r="BA700" s="1" t="s">
        <v>74</v>
      </c>
      <c r="BB700" s="1">
        <v>441.0</v>
      </c>
      <c r="BC700" s="1">
        <v>468.0</v>
      </c>
      <c r="BD700" s="1" t="s">
        <v>74</v>
      </c>
      <c r="BE700" s="1" t="s">
        <v>6659</v>
      </c>
      <c r="BF700" s="2" t="str">
        <f>HYPERLINK("http://dx.doi.org/10.1080/02102412.2021.1886453","http://dx.doi.org/10.1080/02102412.2021.1886453")</f>
        <v>http://dx.doi.org/10.1080/02102412.2021.1886453</v>
      </c>
      <c r="BG700" s="1" t="s">
        <v>74</v>
      </c>
      <c r="BH700" s="1" t="s">
        <v>5966</v>
      </c>
      <c r="BI700" s="1" t="s">
        <v>74</v>
      </c>
      <c r="BJ700" s="1" t="s">
        <v>74</v>
      </c>
      <c r="BK700" s="1" t="s">
        <v>74</v>
      </c>
      <c r="BL700" s="1" t="s">
        <v>74</v>
      </c>
      <c r="BM700" s="1" t="s">
        <v>74</v>
      </c>
      <c r="BN700" s="1" t="s">
        <v>74</v>
      </c>
      <c r="BO700" s="1" t="s">
        <v>74</v>
      </c>
      <c r="BP700" s="1" t="s">
        <v>74</v>
      </c>
      <c r="BQ700" s="1" t="s">
        <v>74</v>
      </c>
      <c r="BR700" s="1" t="s">
        <v>74</v>
      </c>
      <c r="BS700" s="1" t="s">
        <v>6660</v>
      </c>
      <c r="BT700" s="1" t="str">
        <f>HYPERLINK("https%3A%2F%2Fwww.webofscience.com%2Fwos%2Fwoscc%2Ffull-record%2FWOS:000630935200001","View Full Record in Web of Science")</f>
        <v>View Full Record in Web of Science</v>
      </c>
    </row>
    <row r="701" ht="12.75" customHeight="1">
      <c r="A701" s="1" t="s">
        <v>346</v>
      </c>
      <c r="B701" s="1" t="s">
        <v>6661</v>
      </c>
      <c r="C701" s="1" t="s">
        <v>74</v>
      </c>
      <c r="D701" s="1" t="s">
        <v>74</v>
      </c>
      <c r="E701" s="1" t="s">
        <v>348</v>
      </c>
      <c r="F701" s="1" t="s">
        <v>6662</v>
      </c>
      <c r="G701" s="1" t="s">
        <v>74</v>
      </c>
      <c r="H701" s="1" t="s">
        <v>74</v>
      </c>
      <c r="I701" s="1" t="s">
        <v>6663</v>
      </c>
      <c r="J701" s="1" t="s">
        <v>974</v>
      </c>
      <c r="K701" s="1" t="s">
        <v>74</v>
      </c>
      <c r="L701" s="1" t="s">
        <v>74</v>
      </c>
      <c r="M701" s="1" t="s">
        <v>74</v>
      </c>
      <c r="N701" s="1" t="s">
        <v>74</v>
      </c>
      <c r="O701" s="1" t="s">
        <v>975</v>
      </c>
      <c r="P701" s="1" t="s">
        <v>976</v>
      </c>
      <c r="Q701" s="1" t="s">
        <v>566</v>
      </c>
      <c r="R701" s="1" t="s">
        <v>977</v>
      </c>
      <c r="S701" s="1" t="s">
        <v>74</v>
      </c>
      <c r="T701" s="1" t="s">
        <v>74</v>
      </c>
      <c r="U701" s="1" t="s">
        <v>74</v>
      </c>
      <c r="V701" s="1" t="s">
        <v>6664</v>
      </c>
      <c r="W701" s="1" t="s">
        <v>74</v>
      </c>
      <c r="X701" s="1" t="s">
        <v>74</v>
      </c>
      <c r="Y701" s="1" t="s">
        <v>74</v>
      </c>
      <c r="Z701" s="1" t="s">
        <v>74</v>
      </c>
      <c r="AA701" s="1" t="s">
        <v>74</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74</v>
      </c>
      <c r="AP701" s="1" t="s">
        <v>74</v>
      </c>
      <c r="AQ701" s="1" t="s">
        <v>981</v>
      </c>
      <c r="AR701" s="1" t="s">
        <v>74</v>
      </c>
      <c r="AS701" s="1" t="s">
        <v>74</v>
      </c>
      <c r="AT701" s="1" t="s">
        <v>74</v>
      </c>
      <c r="AU701" s="1">
        <v>2021.0</v>
      </c>
      <c r="AV701" s="1" t="s">
        <v>74</v>
      </c>
      <c r="AW701" s="1" t="s">
        <v>74</v>
      </c>
      <c r="AX701" s="1" t="s">
        <v>74</v>
      </c>
      <c r="AY701" s="1" t="s">
        <v>74</v>
      </c>
      <c r="AZ701" s="1" t="s">
        <v>74</v>
      </c>
      <c r="BA701" s="1" t="s">
        <v>74</v>
      </c>
      <c r="BB701" s="1" t="s">
        <v>74</v>
      </c>
      <c r="BC701" s="1" t="s">
        <v>74</v>
      </c>
      <c r="BD701" s="1" t="s">
        <v>74</v>
      </c>
      <c r="BE701" s="1" t="s">
        <v>6665</v>
      </c>
      <c r="BF701" s="2" t="str">
        <f>HYPERLINK("http://dx.doi.org/10.1109/ICAACCA51523.2021.9465287","http://dx.doi.org/10.1109/ICAACCA51523.2021.9465287")</f>
        <v>http://dx.doi.org/10.1109/ICAACCA51523.2021.9465287</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6666</v>
      </c>
      <c r="BT701" s="1" t="str">
        <f>HYPERLINK("https%3A%2F%2Fwww.webofscience.com%2Fwos%2Fwoscc%2Ffull-record%2FWOS:000855764500099","View Full Record in Web of Science")</f>
        <v>View Full Record in Web of Science</v>
      </c>
    </row>
    <row r="702" ht="12.75" customHeight="1">
      <c r="A702" s="1" t="s">
        <v>72</v>
      </c>
      <c r="B702" s="1" t="s">
        <v>6667</v>
      </c>
      <c r="C702" s="1" t="s">
        <v>74</v>
      </c>
      <c r="D702" s="1" t="s">
        <v>74</v>
      </c>
      <c r="E702" s="1" t="s">
        <v>74</v>
      </c>
      <c r="F702" s="1" t="s">
        <v>6668</v>
      </c>
      <c r="G702" s="1" t="s">
        <v>74</v>
      </c>
      <c r="H702" s="1" t="s">
        <v>74</v>
      </c>
      <c r="I702" s="1" t="s">
        <v>6669</v>
      </c>
      <c r="J702" s="1" t="s">
        <v>6670</v>
      </c>
      <c r="K702" s="1" t="s">
        <v>74</v>
      </c>
      <c r="L702" s="1" t="s">
        <v>74</v>
      </c>
      <c r="M702" s="1" t="s">
        <v>74</v>
      </c>
      <c r="N702" s="1" t="s">
        <v>74</v>
      </c>
      <c r="O702" s="1" t="s">
        <v>74</v>
      </c>
      <c r="P702" s="1" t="s">
        <v>74</v>
      </c>
      <c r="Q702" s="1" t="s">
        <v>74</v>
      </c>
      <c r="R702" s="1" t="s">
        <v>74</v>
      </c>
      <c r="S702" s="1" t="s">
        <v>74</v>
      </c>
      <c r="T702" s="1" t="s">
        <v>74</v>
      </c>
      <c r="U702" s="1" t="s">
        <v>74</v>
      </c>
      <c r="V702" s="1" t="s">
        <v>6671</v>
      </c>
      <c r="W702" s="1" t="s">
        <v>74</v>
      </c>
      <c r="X702" s="1" t="s">
        <v>74</v>
      </c>
      <c r="Y702" s="1" t="s">
        <v>74</v>
      </c>
      <c r="Z702" s="1" t="s">
        <v>74</v>
      </c>
      <c r="AA702" s="1" t="s">
        <v>74</v>
      </c>
      <c r="AB702" s="1" t="s">
        <v>74</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6672</v>
      </c>
      <c r="AP702" s="1" t="s">
        <v>74</v>
      </c>
      <c r="AQ702" s="1" t="s">
        <v>74</v>
      </c>
      <c r="AR702" s="1" t="s">
        <v>74</v>
      </c>
      <c r="AS702" s="1" t="s">
        <v>74</v>
      </c>
      <c r="AT702" s="1" t="s">
        <v>6673</v>
      </c>
      <c r="AU702" s="1">
        <v>2020.0</v>
      </c>
      <c r="AV702" s="1">
        <v>117.0</v>
      </c>
      <c r="AW702" s="1">
        <v>16.0</v>
      </c>
      <c r="AX702" s="1" t="s">
        <v>74</v>
      </c>
      <c r="AY702" s="1" t="s">
        <v>74</v>
      </c>
      <c r="AZ702" s="1" t="s">
        <v>74</v>
      </c>
      <c r="BA702" s="1" t="s">
        <v>74</v>
      </c>
      <c r="BB702" s="1">
        <v>8794.0</v>
      </c>
      <c r="BC702" s="1">
        <v>8803.0</v>
      </c>
      <c r="BD702" s="1" t="s">
        <v>74</v>
      </c>
      <c r="BE702" s="1" t="s">
        <v>6674</v>
      </c>
      <c r="BF702" s="2" t="str">
        <f>HYPERLINK("http://dx.doi.org/10.1073/pnas.1920945117","http://dx.doi.org/10.1073/pnas.1920945117")</f>
        <v>http://dx.doi.org/10.1073/pnas.1920945117</v>
      </c>
      <c r="BG702" s="1" t="s">
        <v>74</v>
      </c>
      <c r="BH702" s="1" t="s">
        <v>74</v>
      </c>
      <c r="BI702" s="1" t="s">
        <v>74</v>
      </c>
      <c r="BJ702" s="1" t="s">
        <v>74</v>
      </c>
      <c r="BK702" s="1" t="s">
        <v>74</v>
      </c>
      <c r="BL702" s="1" t="s">
        <v>74</v>
      </c>
      <c r="BM702" s="1" t="s">
        <v>74</v>
      </c>
      <c r="BN702" s="1">
        <v>3.225331E7</v>
      </c>
      <c r="BO702" s="1" t="s">
        <v>74</v>
      </c>
      <c r="BP702" s="1" t="s">
        <v>74</v>
      </c>
      <c r="BQ702" s="1" t="s">
        <v>74</v>
      </c>
      <c r="BR702" s="1" t="s">
        <v>74</v>
      </c>
      <c r="BS702" s="1" t="s">
        <v>6675</v>
      </c>
      <c r="BT702" s="1" t="str">
        <f>HYPERLINK("https%3A%2F%2Fwww.webofscience.com%2Fwos%2Fwoscc%2Ffull-record%2FWOS:000528260600024","View Full Record in Web of Science")</f>
        <v>View Full Record in Web of Science</v>
      </c>
    </row>
    <row r="703" ht="12.75" customHeight="1">
      <c r="A703" s="1" t="s">
        <v>346</v>
      </c>
      <c r="B703" s="1" t="s">
        <v>6676</v>
      </c>
      <c r="C703" s="1" t="s">
        <v>74</v>
      </c>
      <c r="D703" s="1" t="s">
        <v>74</v>
      </c>
      <c r="E703" s="1" t="s">
        <v>348</v>
      </c>
      <c r="F703" s="1" t="s">
        <v>6677</v>
      </c>
      <c r="G703" s="1" t="s">
        <v>74</v>
      </c>
      <c r="H703" s="1" t="s">
        <v>74</v>
      </c>
      <c r="I703" s="1" t="s">
        <v>6678</v>
      </c>
      <c r="J703" s="1" t="s">
        <v>6679</v>
      </c>
      <c r="K703" s="1" t="s">
        <v>74</v>
      </c>
      <c r="L703" s="1" t="s">
        <v>74</v>
      </c>
      <c r="M703" s="1" t="s">
        <v>74</v>
      </c>
      <c r="N703" s="1" t="s">
        <v>74</v>
      </c>
      <c r="O703" s="1" t="s">
        <v>6680</v>
      </c>
      <c r="P703" s="1" t="s">
        <v>6681</v>
      </c>
      <c r="Q703" s="1" t="s">
        <v>2497</v>
      </c>
      <c r="R703" s="1" t="s">
        <v>6682</v>
      </c>
      <c r="S703" s="1" t="s">
        <v>74</v>
      </c>
      <c r="T703" s="1" t="s">
        <v>74</v>
      </c>
      <c r="U703" s="1" t="s">
        <v>74</v>
      </c>
      <c r="V703" s="1" t="s">
        <v>6683</v>
      </c>
      <c r="W703" s="1" t="s">
        <v>74</v>
      </c>
      <c r="X703" s="1" t="s">
        <v>74</v>
      </c>
      <c r="Y703" s="1" t="s">
        <v>74</v>
      </c>
      <c r="Z703" s="1" t="s">
        <v>74</v>
      </c>
      <c r="AA703" s="1" t="s">
        <v>6684</v>
      </c>
      <c r="AB703" s="1" t="s">
        <v>6685</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74</v>
      </c>
      <c r="AP703" s="1" t="s">
        <v>74</v>
      </c>
      <c r="AQ703" s="1" t="s">
        <v>6686</v>
      </c>
      <c r="AR703" s="1" t="s">
        <v>74</v>
      </c>
      <c r="AS703" s="1" t="s">
        <v>74</v>
      </c>
      <c r="AT703" s="1" t="s">
        <v>74</v>
      </c>
      <c r="AU703" s="1">
        <v>2020.0</v>
      </c>
      <c r="AV703" s="1" t="s">
        <v>74</v>
      </c>
      <c r="AW703" s="1" t="s">
        <v>74</v>
      </c>
      <c r="AX703" s="1" t="s">
        <v>74</v>
      </c>
      <c r="AY703" s="1" t="s">
        <v>74</v>
      </c>
      <c r="AZ703" s="1" t="s">
        <v>74</v>
      </c>
      <c r="BA703" s="1" t="s">
        <v>74</v>
      </c>
      <c r="BB703" s="1">
        <v>17.0</v>
      </c>
      <c r="BC703" s="1">
        <v>22.0</v>
      </c>
      <c r="BD703" s="1" t="s">
        <v>74</v>
      </c>
      <c r="BE703" s="1" t="s">
        <v>6687</v>
      </c>
      <c r="BF703" s="2" t="str">
        <f>HYPERLINK("http://dx.doi.org/10.1109/sacvlc50805.2020.9129861","http://dx.doi.org/10.1109/sacvlc50805.2020.9129861")</f>
        <v>http://dx.doi.org/10.1109/sacvlc50805.2020.9129861</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6688</v>
      </c>
      <c r="BT703" s="1" t="str">
        <f>HYPERLINK("https%3A%2F%2Fwww.webofscience.com%2Fwos%2Fwoscc%2Ffull-record%2FWOS:000856038700004","View Full Record in Web of Science")</f>
        <v>View Full Record in Web of Science</v>
      </c>
    </row>
    <row r="704" ht="12.75" customHeight="1">
      <c r="A704" s="1" t="s">
        <v>72</v>
      </c>
      <c r="B704" s="1" t="s">
        <v>6689</v>
      </c>
      <c r="C704" s="1" t="s">
        <v>74</v>
      </c>
      <c r="D704" s="1" t="s">
        <v>74</v>
      </c>
      <c r="E704" s="1" t="s">
        <v>74</v>
      </c>
      <c r="F704" s="1" t="s">
        <v>6690</v>
      </c>
      <c r="G704" s="1" t="s">
        <v>74</v>
      </c>
      <c r="H704" s="1" t="s">
        <v>74</v>
      </c>
      <c r="I704" s="1" t="s">
        <v>6691</v>
      </c>
      <c r="J704" s="1" t="s">
        <v>6692</v>
      </c>
      <c r="K704" s="1" t="s">
        <v>74</v>
      </c>
      <c r="L704" s="1" t="s">
        <v>74</v>
      </c>
      <c r="M704" s="1" t="s">
        <v>74</v>
      </c>
      <c r="N704" s="1" t="s">
        <v>74</v>
      </c>
      <c r="O704" s="1" t="s">
        <v>74</v>
      </c>
      <c r="P704" s="1" t="s">
        <v>74</v>
      </c>
      <c r="Q704" s="1" t="s">
        <v>74</v>
      </c>
      <c r="R704" s="1" t="s">
        <v>74</v>
      </c>
      <c r="S704" s="1" t="s">
        <v>74</v>
      </c>
      <c r="T704" s="1" t="s">
        <v>74</v>
      </c>
      <c r="U704" s="1" t="s">
        <v>74</v>
      </c>
      <c r="V704" s="1" t="s">
        <v>6693</v>
      </c>
      <c r="W704" s="1" t="s">
        <v>74</v>
      </c>
      <c r="X704" s="1" t="s">
        <v>74</v>
      </c>
      <c r="Y704" s="1" t="s">
        <v>74</v>
      </c>
      <c r="Z704" s="1" t="s">
        <v>74</v>
      </c>
      <c r="AA704" s="1" t="s">
        <v>74</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6694</v>
      </c>
      <c r="AP704" s="1" t="s">
        <v>74</v>
      </c>
      <c r="AQ704" s="1" t="s">
        <v>74</v>
      </c>
      <c r="AR704" s="1" t="s">
        <v>74</v>
      </c>
      <c r="AS704" s="1" t="s">
        <v>74</v>
      </c>
      <c r="AT704" s="1" t="s">
        <v>496</v>
      </c>
      <c r="AU704" s="1">
        <v>2020.0</v>
      </c>
      <c r="AV704" s="1">
        <v>49.0</v>
      </c>
      <c r="AW704" s="1" t="s">
        <v>74</v>
      </c>
      <c r="AX704" s="1" t="s">
        <v>74</v>
      </c>
      <c r="AY704" s="1" t="s">
        <v>74</v>
      </c>
      <c r="AZ704" s="1" t="s">
        <v>74</v>
      </c>
      <c r="BA704" s="1" t="s">
        <v>74</v>
      </c>
      <c r="BB704" s="1">
        <v>3352.0</v>
      </c>
      <c r="BC704" s="1">
        <v>3372.0</v>
      </c>
      <c r="BD704" s="1" t="s">
        <v>74</v>
      </c>
      <c r="BE704" s="1" t="s">
        <v>74</v>
      </c>
      <c r="BF704" s="1" t="s">
        <v>74</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6695</v>
      </c>
      <c r="BT704" s="1" t="str">
        <f>HYPERLINK("https%3A%2F%2Fwww.webofscience.com%2Fwos%2Fwoscc%2Ffull-record%2FWOS:000614864700018","View Full Record in Web of Science")</f>
        <v>View Full Record in Web of Science</v>
      </c>
    </row>
    <row r="705" ht="12.75" customHeight="1">
      <c r="A705" s="1" t="s">
        <v>72</v>
      </c>
      <c r="B705" s="1" t="s">
        <v>6696</v>
      </c>
      <c r="C705" s="1" t="s">
        <v>74</v>
      </c>
      <c r="D705" s="1" t="s">
        <v>74</v>
      </c>
      <c r="E705" s="1" t="s">
        <v>74</v>
      </c>
      <c r="F705" s="1" t="s">
        <v>6697</v>
      </c>
      <c r="G705" s="1" t="s">
        <v>74</v>
      </c>
      <c r="H705" s="1" t="s">
        <v>74</v>
      </c>
      <c r="I705" s="1" t="s">
        <v>6698</v>
      </c>
      <c r="J705" s="1" t="s">
        <v>6699</v>
      </c>
      <c r="K705" s="1" t="s">
        <v>74</v>
      </c>
      <c r="L705" s="1" t="s">
        <v>74</v>
      </c>
      <c r="M705" s="1" t="s">
        <v>74</v>
      </c>
      <c r="N705" s="1" t="s">
        <v>74</v>
      </c>
      <c r="O705" s="1" t="s">
        <v>74</v>
      </c>
      <c r="P705" s="1" t="s">
        <v>74</v>
      </c>
      <c r="Q705" s="1" t="s">
        <v>74</v>
      </c>
      <c r="R705" s="1" t="s">
        <v>74</v>
      </c>
      <c r="S705" s="1" t="s">
        <v>74</v>
      </c>
      <c r="T705" s="1" t="s">
        <v>74</v>
      </c>
      <c r="U705" s="1" t="s">
        <v>74</v>
      </c>
      <c r="V705" s="1" t="s">
        <v>6700</v>
      </c>
      <c r="W705" s="1" t="s">
        <v>74</v>
      </c>
      <c r="X705" s="1" t="s">
        <v>74</v>
      </c>
      <c r="Y705" s="1" t="s">
        <v>74</v>
      </c>
      <c r="Z705" s="1" t="s">
        <v>74</v>
      </c>
      <c r="AA705" s="1" t="s">
        <v>74</v>
      </c>
      <c r="AB705" s="1" t="s">
        <v>604</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6701</v>
      </c>
      <c r="AP705" s="1" t="s">
        <v>6702</v>
      </c>
      <c r="AQ705" s="1" t="s">
        <v>74</v>
      </c>
      <c r="AR705" s="1" t="s">
        <v>74</v>
      </c>
      <c r="AS705" s="1" t="s">
        <v>74</v>
      </c>
      <c r="AT705" s="1" t="s">
        <v>74</v>
      </c>
      <c r="AU705" s="1">
        <v>2020.0</v>
      </c>
      <c r="AV705" s="1">
        <v>32.0</v>
      </c>
      <c r="AW705" s="1">
        <v>2.0</v>
      </c>
      <c r="AX705" s="1" t="s">
        <v>74</v>
      </c>
      <c r="AY705" s="1" t="s">
        <v>74</v>
      </c>
      <c r="AZ705" s="1" t="s">
        <v>74</v>
      </c>
      <c r="BA705" s="1" t="s">
        <v>74</v>
      </c>
      <c r="BB705" s="1">
        <v>139.0</v>
      </c>
      <c r="BC705" s="1">
        <v>144.0</v>
      </c>
      <c r="BD705" s="1" t="s">
        <v>74</v>
      </c>
      <c r="BE705" s="1" t="s">
        <v>74</v>
      </c>
      <c r="BF705" s="1" t="s">
        <v>74</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6703</v>
      </c>
      <c r="BT705" s="1" t="str">
        <f>HYPERLINK("https%3A%2F%2Fwww.webofscience.com%2Fwos%2Fwoscc%2Ffull-record%2FWOS:000530873500008","View Full Record in Web of Science")</f>
        <v>View Full Record in Web of Science</v>
      </c>
    </row>
    <row r="706" ht="12.75" customHeight="1">
      <c r="A706" s="1" t="s">
        <v>72</v>
      </c>
      <c r="B706" s="1" t="s">
        <v>6704</v>
      </c>
      <c r="C706" s="1" t="s">
        <v>74</v>
      </c>
      <c r="D706" s="1" t="s">
        <v>74</v>
      </c>
      <c r="E706" s="1" t="s">
        <v>74</v>
      </c>
      <c r="F706" s="1" t="s">
        <v>6705</v>
      </c>
      <c r="G706" s="1" t="s">
        <v>74</v>
      </c>
      <c r="H706" s="1" t="s">
        <v>74</v>
      </c>
      <c r="I706" s="1" t="s">
        <v>6706</v>
      </c>
      <c r="J706" s="1" t="s">
        <v>6707</v>
      </c>
      <c r="K706" s="1" t="s">
        <v>74</v>
      </c>
      <c r="L706" s="1" t="s">
        <v>74</v>
      </c>
      <c r="M706" s="1" t="s">
        <v>74</v>
      </c>
      <c r="N706" s="1" t="s">
        <v>74</v>
      </c>
      <c r="O706" s="1" t="s">
        <v>74</v>
      </c>
      <c r="P706" s="1" t="s">
        <v>74</v>
      </c>
      <c r="Q706" s="1" t="s">
        <v>74</v>
      </c>
      <c r="R706" s="1" t="s">
        <v>74</v>
      </c>
      <c r="S706" s="1" t="s">
        <v>74</v>
      </c>
      <c r="T706" s="1" t="s">
        <v>74</v>
      </c>
      <c r="U706" s="1" t="s">
        <v>74</v>
      </c>
      <c r="V706" s="1" t="s">
        <v>6708</v>
      </c>
      <c r="W706" s="1" t="s">
        <v>74</v>
      </c>
      <c r="X706" s="1" t="s">
        <v>74</v>
      </c>
      <c r="Y706" s="1" t="s">
        <v>74</v>
      </c>
      <c r="Z706" s="1" t="s">
        <v>74</v>
      </c>
      <c r="AA706" s="1" t="s">
        <v>6709</v>
      </c>
      <c r="AB706" s="1" t="s">
        <v>74</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6710</v>
      </c>
      <c r="AP706" s="1" t="s">
        <v>6711</v>
      </c>
      <c r="AQ706" s="1" t="s">
        <v>74</v>
      </c>
      <c r="AR706" s="1" t="s">
        <v>74</v>
      </c>
      <c r="AS706" s="1" t="s">
        <v>74</v>
      </c>
      <c r="AT706" s="1" t="s">
        <v>647</v>
      </c>
      <c r="AU706" s="1">
        <v>2018.0</v>
      </c>
      <c r="AV706" s="1">
        <v>21.0</v>
      </c>
      <c r="AW706" s="1">
        <v>4.0</v>
      </c>
      <c r="AX706" s="1" t="s">
        <v>74</v>
      </c>
      <c r="AY706" s="1" t="s">
        <v>74</v>
      </c>
      <c r="AZ706" s="1" t="s">
        <v>74</v>
      </c>
      <c r="BA706" s="1" t="s">
        <v>74</v>
      </c>
      <c r="BB706" s="1">
        <v>645.0</v>
      </c>
      <c r="BC706" s="1">
        <v>655.0</v>
      </c>
      <c r="BD706" s="1" t="s">
        <v>74</v>
      </c>
      <c r="BE706" s="1" t="s">
        <v>6712</v>
      </c>
      <c r="BF706" s="2" t="str">
        <f>HYPERLINK("http://dx.doi.org/10.1007/s11252-018-0743-0","http://dx.doi.org/10.1007/s11252-018-0743-0")</f>
        <v>http://dx.doi.org/10.1007/s11252-018-0743-0</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6713</v>
      </c>
      <c r="BT706" s="1" t="str">
        <f>HYPERLINK("https%3A%2F%2Fwww.webofscience.com%2Fwos%2Fwoscc%2Ffull-record%2FWOS:000438128600006","View Full Record in Web of Science")</f>
        <v>View Full Record in Web of Science</v>
      </c>
    </row>
    <row r="707" ht="12.75" customHeight="1">
      <c r="A707" s="1" t="s">
        <v>72</v>
      </c>
      <c r="B707" s="1" t="s">
        <v>6714</v>
      </c>
      <c r="C707" s="1" t="s">
        <v>74</v>
      </c>
      <c r="D707" s="1" t="s">
        <v>74</v>
      </c>
      <c r="E707" s="1" t="s">
        <v>74</v>
      </c>
      <c r="F707" s="1" t="s">
        <v>6715</v>
      </c>
      <c r="G707" s="1" t="s">
        <v>74</v>
      </c>
      <c r="H707" s="1" t="s">
        <v>74</v>
      </c>
      <c r="I707" s="1" t="s">
        <v>6716</v>
      </c>
      <c r="J707" s="1" t="s">
        <v>1017</v>
      </c>
      <c r="K707" s="1" t="s">
        <v>74</v>
      </c>
      <c r="L707" s="1" t="s">
        <v>74</v>
      </c>
      <c r="M707" s="1" t="s">
        <v>74</v>
      </c>
      <c r="N707" s="1" t="s">
        <v>74</v>
      </c>
      <c r="O707" s="1" t="s">
        <v>74</v>
      </c>
      <c r="P707" s="1" t="s">
        <v>74</v>
      </c>
      <c r="Q707" s="1" t="s">
        <v>74</v>
      </c>
      <c r="R707" s="1" t="s">
        <v>74</v>
      </c>
      <c r="S707" s="1" t="s">
        <v>74</v>
      </c>
      <c r="T707" s="1" t="s">
        <v>74</v>
      </c>
      <c r="U707" s="1" t="s">
        <v>74</v>
      </c>
      <c r="V707" s="1" t="s">
        <v>6717</v>
      </c>
      <c r="W707" s="1" t="s">
        <v>74</v>
      </c>
      <c r="X707" s="1" t="s">
        <v>74</v>
      </c>
      <c r="Y707" s="1" t="s">
        <v>74</v>
      </c>
      <c r="Z707" s="1" t="s">
        <v>74</v>
      </c>
      <c r="AA707" s="1" t="s">
        <v>6718</v>
      </c>
      <c r="AB707" s="1" t="s">
        <v>6719</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1019</v>
      </c>
      <c r="AP707" s="1" t="s">
        <v>74</v>
      </c>
      <c r="AQ707" s="1" t="s">
        <v>74</v>
      </c>
      <c r="AR707" s="1" t="s">
        <v>74</v>
      </c>
      <c r="AS707" s="1" t="s">
        <v>74</v>
      </c>
      <c r="AT707" s="1" t="s">
        <v>3129</v>
      </c>
      <c r="AU707" s="1">
        <v>2018.0</v>
      </c>
      <c r="AV707" s="1">
        <v>9.0</v>
      </c>
      <c r="AW707" s="1" t="s">
        <v>74</v>
      </c>
      <c r="AX707" s="1" t="s">
        <v>74</v>
      </c>
      <c r="AY707" s="1" t="s">
        <v>74</v>
      </c>
      <c r="AZ707" s="1" t="s">
        <v>74</v>
      </c>
      <c r="BA707" s="1" t="s">
        <v>74</v>
      </c>
      <c r="BB707" s="1" t="s">
        <v>74</v>
      </c>
      <c r="BC707" s="1" t="s">
        <v>74</v>
      </c>
      <c r="BD707" s="1">
        <v>1460.0</v>
      </c>
      <c r="BE707" s="1" t="s">
        <v>6720</v>
      </c>
      <c r="BF707" s="2" t="str">
        <f>HYPERLINK("http://dx.doi.org/10.3389/fmicb.2018.01460","http://dx.doi.org/10.3389/fmicb.2018.01460")</f>
        <v>http://dx.doi.org/10.3389/fmicb.2018.01460</v>
      </c>
      <c r="BG707" s="1" t="s">
        <v>74</v>
      </c>
      <c r="BH707" s="1" t="s">
        <v>74</v>
      </c>
      <c r="BI707" s="1" t="s">
        <v>74</v>
      </c>
      <c r="BJ707" s="1" t="s">
        <v>74</v>
      </c>
      <c r="BK707" s="1" t="s">
        <v>74</v>
      </c>
      <c r="BL707" s="1" t="s">
        <v>74</v>
      </c>
      <c r="BM707" s="1" t="s">
        <v>74</v>
      </c>
      <c r="BN707" s="1">
        <v>3.001861E7</v>
      </c>
      <c r="BO707" s="1" t="s">
        <v>74</v>
      </c>
      <c r="BP707" s="1" t="s">
        <v>74</v>
      </c>
      <c r="BQ707" s="1" t="s">
        <v>74</v>
      </c>
      <c r="BR707" s="1" t="s">
        <v>74</v>
      </c>
      <c r="BS707" s="1" t="s">
        <v>6721</v>
      </c>
      <c r="BT707" s="1" t="str">
        <f>HYPERLINK("https%3A%2F%2Fwww.webofscience.com%2Fwos%2Fwoscc%2Ffull-record%2FWOS:000437183900001","View Full Record in Web of Science")</f>
        <v>View Full Record in Web of Science</v>
      </c>
    </row>
    <row r="708" ht="12.75" customHeight="1">
      <c r="A708" s="1" t="s">
        <v>72</v>
      </c>
      <c r="B708" s="1" t="s">
        <v>2142</v>
      </c>
      <c r="C708" s="1" t="s">
        <v>74</v>
      </c>
      <c r="D708" s="1" t="s">
        <v>74</v>
      </c>
      <c r="E708" s="1" t="s">
        <v>74</v>
      </c>
      <c r="F708" s="1" t="s">
        <v>3119</v>
      </c>
      <c r="G708" s="1" t="s">
        <v>74</v>
      </c>
      <c r="H708" s="1" t="s">
        <v>74</v>
      </c>
      <c r="I708" s="1" t="s">
        <v>6722</v>
      </c>
      <c r="J708" s="1" t="s">
        <v>6723</v>
      </c>
      <c r="K708" s="1" t="s">
        <v>74</v>
      </c>
      <c r="L708" s="1" t="s">
        <v>74</v>
      </c>
      <c r="M708" s="1" t="s">
        <v>74</v>
      </c>
      <c r="N708" s="1" t="s">
        <v>74</v>
      </c>
      <c r="O708" s="1" t="s">
        <v>74</v>
      </c>
      <c r="P708" s="1" t="s">
        <v>74</v>
      </c>
      <c r="Q708" s="1" t="s">
        <v>74</v>
      </c>
      <c r="R708" s="1" t="s">
        <v>74</v>
      </c>
      <c r="S708" s="1" t="s">
        <v>74</v>
      </c>
      <c r="T708" s="1" t="s">
        <v>74</v>
      </c>
      <c r="U708" s="1" t="s">
        <v>74</v>
      </c>
      <c r="V708" s="1" t="s">
        <v>6724</v>
      </c>
      <c r="W708" s="1" t="s">
        <v>74</v>
      </c>
      <c r="X708" s="1" t="s">
        <v>74</v>
      </c>
      <c r="Y708" s="1" t="s">
        <v>74</v>
      </c>
      <c r="Z708" s="1" t="s">
        <v>74</v>
      </c>
      <c r="AA708" s="1" t="s">
        <v>74</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6725</v>
      </c>
      <c r="AP708" s="1" t="s">
        <v>6726</v>
      </c>
      <c r="AQ708" s="1" t="s">
        <v>74</v>
      </c>
      <c r="AR708" s="1" t="s">
        <v>74</v>
      </c>
      <c r="AS708" s="1" t="s">
        <v>74</v>
      </c>
      <c r="AT708" s="1" t="s">
        <v>461</v>
      </c>
      <c r="AU708" s="1">
        <v>2017.0</v>
      </c>
      <c r="AV708" s="1">
        <v>44.0</v>
      </c>
      <c r="AW708" s="1">
        <v>5.0</v>
      </c>
      <c r="AX708" s="1" t="s">
        <v>74</v>
      </c>
      <c r="AY708" s="1" t="s">
        <v>74</v>
      </c>
      <c r="AZ708" s="1" t="s">
        <v>74</v>
      </c>
      <c r="BA708" s="1" t="s">
        <v>74</v>
      </c>
      <c r="BB708" s="1">
        <v>13.0</v>
      </c>
      <c r="BC708" s="1">
        <v>29.0</v>
      </c>
      <c r="BD708" s="1" t="s">
        <v>74</v>
      </c>
      <c r="BE708" s="1" t="s">
        <v>6727</v>
      </c>
      <c r="BF708" s="2" t="str">
        <f>HYPERLINK("http://dx.doi.org/10.1177/0094582X16683374","http://dx.doi.org/10.1177/0094582X16683374")</f>
        <v>http://dx.doi.org/10.1177/0094582X16683374</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6728</v>
      </c>
      <c r="BT708" s="1" t="str">
        <f>HYPERLINK("https%3A%2F%2Fwww.webofscience.com%2Fwos%2Fwoscc%2Ffull-record%2FWOS:000406599400002","View Full Record in Web of Science")</f>
        <v>View Full Record in Web of Science</v>
      </c>
    </row>
    <row r="709" ht="12.75" customHeight="1">
      <c r="A709" s="1" t="s">
        <v>72</v>
      </c>
      <c r="B709" s="1" t="s">
        <v>6729</v>
      </c>
      <c r="C709" s="1" t="s">
        <v>74</v>
      </c>
      <c r="D709" s="1" t="s">
        <v>74</v>
      </c>
      <c r="E709" s="1" t="s">
        <v>74</v>
      </c>
      <c r="F709" s="1" t="s">
        <v>6730</v>
      </c>
      <c r="G709" s="1" t="s">
        <v>74</v>
      </c>
      <c r="H709" s="1" t="s">
        <v>74</v>
      </c>
      <c r="I709" s="1" t="s">
        <v>6731</v>
      </c>
      <c r="J709" s="1" t="s">
        <v>6732</v>
      </c>
      <c r="K709" s="1" t="s">
        <v>74</v>
      </c>
      <c r="L709" s="1" t="s">
        <v>74</v>
      </c>
      <c r="M709" s="1" t="s">
        <v>74</v>
      </c>
      <c r="N709" s="1" t="s">
        <v>74</v>
      </c>
      <c r="O709" s="1" t="s">
        <v>74</v>
      </c>
      <c r="P709" s="1" t="s">
        <v>74</v>
      </c>
      <c r="Q709" s="1" t="s">
        <v>74</v>
      </c>
      <c r="R709" s="1" t="s">
        <v>74</v>
      </c>
      <c r="S709" s="1" t="s">
        <v>74</v>
      </c>
      <c r="T709" s="1" t="s">
        <v>74</v>
      </c>
      <c r="U709" s="1" t="s">
        <v>74</v>
      </c>
      <c r="V709" s="1" t="s">
        <v>6733</v>
      </c>
      <c r="W709" s="1" t="s">
        <v>74</v>
      </c>
      <c r="X709" s="1" t="s">
        <v>74</v>
      </c>
      <c r="Y709" s="1" t="s">
        <v>74</v>
      </c>
      <c r="Z709" s="1" t="s">
        <v>74</v>
      </c>
      <c r="AA709" s="1" t="s">
        <v>6734</v>
      </c>
      <c r="AB709" s="1" t="s">
        <v>6735</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6736</v>
      </c>
      <c r="AP709" s="1" t="s">
        <v>6737</v>
      </c>
      <c r="AQ709" s="1" t="s">
        <v>74</v>
      </c>
      <c r="AR709" s="1" t="s">
        <v>74</v>
      </c>
      <c r="AS709" s="1" t="s">
        <v>74</v>
      </c>
      <c r="AT709" s="1" t="s">
        <v>187</v>
      </c>
      <c r="AU709" s="1">
        <v>2016.0</v>
      </c>
      <c r="AV709" s="1">
        <v>103.0</v>
      </c>
      <c r="AW709" s="1" t="s">
        <v>74</v>
      </c>
      <c r="AX709" s="1" t="s">
        <v>74</v>
      </c>
      <c r="AY709" s="1" t="s">
        <v>74</v>
      </c>
      <c r="AZ709" s="1" t="s">
        <v>74</v>
      </c>
      <c r="BA709" s="1" t="s">
        <v>74</v>
      </c>
      <c r="BB709" s="1">
        <v>222.0</v>
      </c>
      <c r="BC709" s="1">
        <v>235.0</v>
      </c>
      <c r="BD709" s="1" t="s">
        <v>74</v>
      </c>
      <c r="BE709" s="1" t="s">
        <v>6738</v>
      </c>
      <c r="BF709" s="2" t="str">
        <f>HYPERLINK("http://dx.doi.org/10.1016/j.neuropharm.2015.12.018","http://dx.doi.org/10.1016/j.neuropharm.2015.12.018")</f>
        <v>http://dx.doi.org/10.1016/j.neuropharm.2015.12.018</v>
      </c>
      <c r="BG709" s="1" t="s">
        <v>74</v>
      </c>
      <c r="BH709" s="1" t="s">
        <v>74</v>
      </c>
      <c r="BI709" s="1" t="s">
        <v>74</v>
      </c>
      <c r="BJ709" s="1" t="s">
        <v>74</v>
      </c>
      <c r="BK709" s="1" t="s">
        <v>74</v>
      </c>
      <c r="BL709" s="1" t="s">
        <v>74</v>
      </c>
      <c r="BM709" s="1" t="s">
        <v>74</v>
      </c>
      <c r="BN709" s="1">
        <v>2.6714288E7</v>
      </c>
      <c r="BO709" s="1" t="s">
        <v>74</v>
      </c>
      <c r="BP709" s="1" t="s">
        <v>74</v>
      </c>
      <c r="BQ709" s="1" t="s">
        <v>74</v>
      </c>
      <c r="BR709" s="1" t="s">
        <v>74</v>
      </c>
      <c r="BS709" s="1" t="s">
        <v>6739</v>
      </c>
      <c r="BT709" s="1" t="str">
        <f>HYPERLINK("https%3A%2F%2Fwww.webofscience.com%2Fwos%2Fwoscc%2Ffull-record%2FWOS:000371098800020","View Full Record in Web of Science")</f>
        <v>View Full Record in Web of Science</v>
      </c>
    </row>
    <row r="710" ht="12.75" customHeight="1">
      <c r="A710" s="1" t="s">
        <v>72</v>
      </c>
      <c r="B710" s="1" t="s">
        <v>6740</v>
      </c>
      <c r="C710" s="1" t="s">
        <v>74</v>
      </c>
      <c r="D710" s="1" t="s">
        <v>74</v>
      </c>
      <c r="E710" s="1" t="s">
        <v>74</v>
      </c>
      <c r="F710" s="1" t="s">
        <v>6741</v>
      </c>
      <c r="G710" s="1" t="s">
        <v>74</v>
      </c>
      <c r="H710" s="1" t="s">
        <v>74</v>
      </c>
      <c r="I710" s="1" t="s">
        <v>6742</v>
      </c>
      <c r="J710" s="1" t="s">
        <v>6743</v>
      </c>
      <c r="K710" s="1" t="s">
        <v>74</v>
      </c>
      <c r="L710" s="1" t="s">
        <v>74</v>
      </c>
      <c r="M710" s="1" t="s">
        <v>74</v>
      </c>
      <c r="N710" s="1" t="s">
        <v>74</v>
      </c>
      <c r="O710" s="1" t="s">
        <v>74</v>
      </c>
      <c r="P710" s="1" t="s">
        <v>74</v>
      </c>
      <c r="Q710" s="1" t="s">
        <v>74</v>
      </c>
      <c r="R710" s="1" t="s">
        <v>74</v>
      </c>
      <c r="S710" s="1" t="s">
        <v>74</v>
      </c>
      <c r="T710" s="1" t="s">
        <v>74</v>
      </c>
      <c r="U710" s="1" t="s">
        <v>74</v>
      </c>
      <c r="V710" s="1" t="s">
        <v>6744</v>
      </c>
      <c r="W710" s="1" t="s">
        <v>74</v>
      </c>
      <c r="X710" s="1" t="s">
        <v>74</v>
      </c>
      <c r="Y710" s="1" t="s">
        <v>74</v>
      </c>
      <c r="Z710" s="1" t="s">
        <v>74</v>
      </c>
      <c r="AA710" s="1" t="s">
        <v>74</v>
      </c>
      <c r="AB710" s="1" t="s">
        <v>6745</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6746</v>
      </c>
      <c r="AP710" s="1" t="s">
        <v>6747</v>
      </c>
      <c r="AQ710" s="1" t="s">
        <v>74</v>
      </c>
      <c r="AR710" s="1" t="s">
        <v>74</v>
      </c>
      <c r="AS710" s="1" t="s">
        <v>74</v>
      </c>
      <c r="AT710" s="1" t="s">
        <v>164</v>
      </c>
      <c r="AU710" s="1">
        <v>2015.0</v>
      </c>
      <c r="AV710" s="1">
        <v>86.0</v>
      </c>
      <c r="AW710" s="1">
        <v>1.0</v>
      </c>
      <c r="AX710" s="1" t="s">
        <v>74</v>
      </c>
      <c r="AY710" s="1" t="s">
        <v>74</v>
      </c>
      <c r="AZ710" s="1" t="s">
        <v>74</v>
      </c>
      <c r="BA710" s="1" t="s">
        <v>74</v>
      </c>
      <c r="BB710" s="1">
        <v>894.0</v>
      </c>
      <c r="BC710" s="1">
        <v>901.0</v>
      </c>
      <c r="BD710" s="1" t="s">
        <v>74</v>
      </c>
      <c r="BE710" s="1" t="s">
        <v>6748</v>
      </c>
      <c r="BF710" s="2" t="str">
        <f>HYPERLINK("http://dx.doi.org/10.1111/cbdd.12469","http://dx.doi.org/10.1111/cbdd.12469")</f>
        <v>http://dx.doi.org/10.1111/cbdd.12469</v>
      </c>
      <c r="BG710" s="1" t="s">
        <v>74</v>
      </c>
      <c r="BH710" s="1" t="s">
        <v>74</v>
      </c>
      <c r="BI710" s="1" t="s">
        <v>74</v>
      </c>
      <c r="BJ710" s="1" t="s">
        <v>74</v>
      </c>
      <c r="BK710" s="1" t="s">
        <v>74</v>
      </c>
      <c r="BL710" s="1" t="s">
        <v>74</v>
      </c>
      <c r="BM710" s="1" t="s">
        <v>74</v>
      </c>
      <c r="BN710" s="1">
        <v>2.5359714E7</v>
      </c>
      <c r="BO710" s="1" t="s">
        <v>74</v>
      </c>
      <c r="BP710" s="1" t="s">
        <v>74</v>
      </c>
      <c r="BQ710" s="1" t="s">
        <v>74</v>
      </c>
      <c r="BR710" s="1" t="s">
        <v>74</v>
      </c>
      <c r="BS710" s="1" t="s">
        <v>6749</v>
      </c>
      <c r="BT710" s="1" t="str">
        <f>HYPERLINK("https%3A%2F%2Fwww.webofscience.com%2Fwos%2Fwoscc%2Ffull-record%2FWOS:000356362300009","View Full Record in Web of Science")</f>
        <v>View Full Record in Web of Science</v>
      </c>
    </row>
    <row r="711" ht="12.75" customHeight="1">
      <c r="A711" s="1" t="s">
        <v>72</v>
      </c>
      <c r="B711" s="1" t="s">
        <v>6750</v>
      </c>
      <c r="C711" s="1" t="s">
        <v>74</v>
      </c>
      <c r="D711" s="1" t="s">
        <v>74</v>
      </c>
      <c r="E711" s="1" t="s">
        <v>74</v>
      </c>
      <c r="F711" s="1" t="s">
        <v>6751</v>
      </c>
      <c r="G711" s="1" t="s">
        <v>74</v>
      </c>
      <c r="H711" s="1" t="s">
        <v>74</v>
      </c>
      <c r="I711" s="1" t="s">
        <v>6752</v>
      </c>
      <c r="J711" s="1" t="s">
        <v>6753</v>
      </c>
      <c r="K711" s="1" t="s">
        <v>74</v>
      </c>
      <c r="L711" s="1" t="s">
        <v>74</v>
      </c>
      <c r="M711" s="1" t="s">
        <v>74</v>
      </c>
      <c r="N711" s="1" t="s">
        <v>74</v>
      </c>
      <c r="O711" s="1" t="s">
        <v>74</v>
      </c>
      <c r="P711" s="1" t="s">
        <v>74</v>
      </c>
      <c r="Q711" s="1" t="s">
        <v>74</v>
      </c>
      <c r="R711" s="1" t="s">
        <v>74</v>
      </c>
      <c r="S711" s="1" t="s">
        <v>74</v>
      </c>
      <c r="T711" s="1" t="s">
        <v>74</v>
      </c>
      <c r="U711" s="1" t="s">
        <v>74</v>
      </c>
      <c r="V711" s="1" t="s">
        <v>6754</v>
      </c>
      <c r="W711" s="1" t="s">
        <v>74</v>
      </c>
      <c r="X711" s="1" t="s">
        <v>74</v>
      </c>
      <c r="Y711" s="1" t="s">
        <v>74</v>
      </c>
      <c r="Z711" s="1" t="s">
        <v>74</v>
      </c>
      <c r="AA711" s="1" t="s">
        <v>6755</v>
      </c>
      <c r="AB711" s="1" t="s">
        <v>6756</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6757</v>
      </c>
      <c r="AP711" s="1" t="s">
        <v>74</v>
      </c>
      <c r="AQ711" s="1" t="s">
        <v>74</v>
      </c>
      <c r="AR711" s="1" t="s">
        <v>74</v>
      </c>
      <c r="AS711" s="1" t="s">
        <v>74</v>
      </c>
      <c r="AT711" s="1" t="s">
        <v>1307</v>
      </c>
      <c r="AU711" s="1">
        <v>2015.0</v>
      </c>
      <c r="AV711" s="1">
        <v>14.0</v>
      </c>
      <c r="AW711" s="1">
        <v>3.0</v>
      </c>
      <c r="AX711" s="1" t="s">
        <v>74</v>
      </c>
      <c r="AY711" s="1" t="s">
        <v>74</v>
      </c>
      <c r="AZ711" s="1" t="s">
        <v>74</v>
      </c>
      <c r="BA711" s="1" t="s">
        <v>74</v>
      </c>
      <c r="BB711" s="1">
        <v>1055.0</v>
      </c>
      <c r="BC711" s="1">
        <v>1065.0</v>
      </c>
      <c r="BD711" s="1" t="s">
        <v>74</v>
      </c>
      <c r="BE711" s="1" t="s">
        <v>74</v>
      </c>
      <c r="BF711" s="1" t="s">
        <v>74</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6758</v>
      </c>
      <c r="BT711" s="1" t="str">
        <f>HYPERLINK("https%3A%2F%2Fwww.webofscience.com%2Fwos%2Fwoscc%2Ffull-record%2FWOS:000369827500022","View Full Record in Web of Science")</f>
        <v>View Full Record in Web of Science</v>
      </c>
    </row>
    <row r="712" ht="12.75" customHeight="1">
      <c r="A712" s="1" t="s">
        <v>72</v>
      </c>
      <c r="B712" s="1" t="s">
        <v>6759</v>
      </c>
      <c r="C712" s="1" t="s">
        <v>74</v>
      </c>
      <c r="D712" s="1" t="s">
        <v>74</v>
      </c>
      <c r="E712" s="1" t="s">
        <v>74</v>
      </c>
      <c r="F712" s="1" t="s">
        <v>6760</v>
      </c>
      <c r="G712" s="1" t="s">
        <v>74</v>
      </c>
      <c r="H712" s="1" t="s">
        <v>74</v>
      </c>
      <c r="I712" s="1" t="s">
        <v>6761</v>
      </c>
      <c r="J712" s="1" t="s">
        <v>6762</v>
      </c>
      <c r="K712" s="1" t="s">
        <v>74</v>
      </c>
      <c r="L712" s="1" t="s">
        <v>74</v>
      </c>
      <c r="M712" s="1" t="s">
        <v>74</v>
      </c>
      <c r="N712" s="1" t="s">
        <v>74</v>
      </c>
      <c r="O712" s="1" t="s">
        <v>74</v>
      </c>
      <c r="P712" s="1" t="s">
        <v>74</v>
      </c>
      <c r="Q712" s="1" t="s">
        <v>74</v>
      </c>
      <c r="R712" s="1" t="s">
        <v>74</v>
      </c>
      <c r="S712" s="1" t="s">
        <v>74</v>
      </c>
      <c r="T712" s="1" t="s">
        <v>74</v>
      </c>
      <c r="U712" s="1" t="s">
        <v>74</v>
      </c>
      <c r="V712" s="1" t="s">
        <v>6763</v>
      </c>
      <c r="W712" s="1" t="s">
        <v>74</v>
      </c>
      <c r="X712" s="1" t="s">
        <v>74</v>
      </c>
      <c r="Y712" s="1" t="s">
        <v>74</v>
      </c>
      <c r="Z712" s="1" t="s">
        <v>74</v>
      </c>
      <c r="AA712" s="1" t="s">
        <v>74</v>
      </c>
      <c r="AB712" s="1" t="s">
        <v>74</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6764</v>
      </c>
      <c r="AP712" s="1" t="s">
        <v>74</v>
      </c>
      <c r="AQ712" s="1" t="s">
        <v>74</v>
      </c>
      <c r="AR712" s="1" t="s">
        <v>74</v>
      </c>
      <c r="AS712" s="1" t="s">
        <v>74</v>
      </c>
      <c r="AT712" s="1" t="s">
        <v>74</v>
      </c>
      <c r="AU712" s="1">
        <v>2015.0</v>
      </c>
      <c r="AV712" s="1">
        <v>35.0</v>
      </c>
      <c r="AW712" s="1">
        <v>2.0</v>
      </c>
      <c r="AX712" s="1" t="s">
        <v>74</v>
      </c>
      <c r="AY712" s="1" t="s">
        <v>74</v>
      </c>
      <c r="AZ712" s="1" t="s">
        <v>74</v>
      </c>
      <c r="BA712" s="1" t="s">
        <v>74</v>
      </c>
      <c r="BB712" s="1">
        <v>327.0</v>
      </c>
      <c r="BC712" s="1">
        <v>345.0</v>
      </c>
      <c r="BD712" s="1" t="s">
        <v>74</v>
      </c>
      <c r="BE712" s="1" t="s">
        <v>74</v>
      </c>
      <c r="BF712" s="1" t="s">
        <v>74</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6765</v>
      </c>
      <c r="BT712" s="1" t="str">
        <f>HYPERLINK("https%3A%2F%2Fwww.webofscience.com%2Fwos%2Fwoscc%2Ffull-record%2FWOS:000361271100004","View Full Record in Web of Science")</f>
        <v>View Full Record in Web of Science</v>
      </c>
    </row>
    <row r="713" ht="12.75" customHeight="1">
      <c r="A713" s="1" t="s">
        <v>72</v>
      </c>
      <c r="B713" s="1" t="s">
        <v>6766</v>
      </c>
      <c r="C713" s="1" t="s">
        <v>74</v>
      </c>
      <c r="D713" s="1" t="s">
        <v>74</v>
      </c>
      <c r="E713" s="1" t="s">
        <v>74</v>
      </c>
      <c r="F713" s="1" t="s">
        <v>6767</v>
      </c>
      <c r="G713" s="1" t="s">
        <v>74</v>
      </c>
      <c r="H713" s="1" t="s">
        <v>74</v>
      </c>
      <c r="I713" s="1" t="s">
        <v>6768</v>
      </c>
      <c r="J713" s="1" t="s">
        <v>1440</v>
      </c>
      <c r="K713" s="1" t="s">
        <v>74</v>
      </c>
      <c r="L713" s="1" t="s">
        <v>74</v>
      </c>
      <c r="M713" s="1" t="s">
        <v>74</v>
      </c>
      <c r="N713" s="1" t="s">
        <v>74</v>
      </c>
      <c r="O713" s="1" t="s">
        <v>74</v>
      </c>
      <c r="P713" s="1" t="s">
        <v>74</v>
      </c>
      <c r="Q713" s="1" t="s">
        <v>74</v>
      </c>
      <c r="R713" s="1" t="s">
        <v>74</v>
      </c>
      <c r="S713" s="1" t="s">
        <v>74</v>
      </c>
      <c r="T713" s="1" t="s">
        <v>74</v>
      </c>
      <c r="U713" s="1" t="s">
        <v>74</v>
      </c>
      <c r="V713" s="1" t="s">
        <v>6769</v>
      </c>
      <c r="W713" s="1" t="s">
        <v>74</v>
      </c>
      <c r="X713" s="1" t="s">
        <v>74</v>
      </c>
      <c r="Y713" s="1" t="s">
        <v>74</v>
      </c>
      <c r="Z713" s="1" t="s">
        <v>74</v>
      </c>
      <c r="AA713" s="1" t="s">
        <v>6770</v>
      </c>
      <c r="AB713" s="1" t="s">
        <v>6771</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1443</v>
      </c>
      <c r="AP713" s="1" t="s">
        <v>1444</v>
      </c>
      <c r="AQ713" s="1" t="s">
        <v>74</v>
      </c>
      <c r="AR713" s="1" t="s">
        <v>74</v>
      </c>
      <c r="AS713" s="1" t="s">
        <v>74</v>
      </c>
      <c r="AT713" s="1" t="s">
        <v>647</v>
      </c>
      <c r="AU713" s="1">
        <v>2014.0</v>
      </c>
      <c r="AV713" s="1">
        <v>142.0</v>
      </c>
      <c r="AW713" s="1">
        <v>8.0</v>
      </c>
      <c r="AX713" s="1" t="s">
        <v>74</v>
      </c>
      <c r="AY713" s="1" t="s">
        <v>74</v>
      </c>
      <c r="AZ713" s="1" t="s">
        <v>74</v>
      </c>
      <c r="BA713" s="1" t="s">
        <v>74</v>
      </c>
      <c r="BB713" s="1">
        <v>1069.0</v>
      </c>
      <c r="BC713" s="1">
        <v>1075.0</v>
      </c>
      <c r="BD713" s="1" t="s">
        <v>74</v>
      </c>
      <c r="BE713" s="1" t="s">
        <v>6772</v>
      </c>
      <c r="BF713" s="2" t="str">
        <f>HYPERLINK("http://dx.doi.org/10.4067/S0034-98872014000800016","http://dx.doi.org/10.4067/S0034-98872014000800016")</f>
        <v>http://dx.doi.org/10.4067/S0034-98872014000800016</v>
      </c>
      <c r="BG713" s="1" t="s">
        <v>74</v>
      </c>
      <c r="BH713" s="1" t="s">
        <v>74</v>
      </c>
      <c r="BI713" s="1" t="s">
        <v>74</v>
      </c>
      <c r="BJ713" s="1" t="s">
        <v>74</v>
      </c>
      <c r="BK713" s="1" t="s">
        <v>74</v>
      </c>
      <c r="BL713" s="1" t="s">
        <v>74</v>
      </c>
      <c r="BM713" s="1" t="s">
        <v>74</v>
      </c>
      <c r="BN713" s="1">
        <v>2.5424681E7</v>
      </c>
      <c r="BO713" s="1" t="s">
        <v>74</v>
      </c>
      <c r="BP713" s="1" t="s">
        <v>74</v>
      </c>
      <c r="BQ713" s="1" t="s">
        <v>74</v>
      </c>
      <c r="BR713" s="1" t="s">
        <v>74</v>
      </c>
      <c r="BS713" s="1" t="s">
        <v>6773</v>
      </c>
      <c r="BT713" s="1" t="str">
        <f>HYPERLINK("https%3A%2F%2Fwww.webofscience.com%2Fwos%2Fwoscc%2Ffull-record%2FWOS:000342602500016","View Full Record in Web of Science")</f>
        <v>View Full Record in Web of Science</v>
      </c>
    </row>
    <row r="714" ht="12.75" customHeight="1">
      <c r="A714" s="1" t="s">
        <v>72</v>
      </c>
      <c r="B714" s="1" t="s">
        <v>6774</v>
      </c>
      <c r="C714" s="1" t="s">
        <v>74</v>
      </c>
      <c r="D714" s="1" t="s">
        <v>74</v>
      </c>
      <c r="E714" s="1" t="s">
        <v>74</v>
      </c>
      <c r="F714" s="1" t="s">
        <v>6775</v>
      </c>
      <c r="G714" s="1" t="s">
        <v>74</v>
      </c>
      <c r="H714" s="1" t="s">
        <v>74</v>
      </c>
      <c r="I714" s="1" t="s">
        <v>6776</v>
      </c>
      <c r="J714" s="1" t="s">
        <v>6777</v>
      </c>
      <c r="K714" s="1" t="s">
        <v>74</v>
      </c>
      <c r="L714" s="1" t="s">
        <v>74</v>
      </c>
      <c r="M714" s="1" t="s">
        <v>74</v>
      </c>
      <c r="N714" s="1" t="s">
        <v>74</v>
      </c>
      <c r="O714" s="1" t="s">
        <v>74</v>
      </c>
      <c r="P714" s="1" t="s">
        <v>74</v>
      </c>
      <c r="Q714" s="1" t="s">
        <v>74</v>
      </c>
      <c r="R714" s="1" t="s">
        <v>74</v>
      </c>
      <c r="S714" s="1" t="s">
        <v>74</v>
      </c>
      <c r="T714" s="1" t="s">
        <v>74</v>
      </c>
      <c r="U714" s="1" t="s">
        <v>74</v>
      </c>
      <c r="V714" s="1" t="s">
        <v>74</v>
      </c>
      <c r="W714" s="1" t="s">
        <v>74</v>
      </c>
      <c r="X714" s="1" t="s">
        <v>74</v>
      </c>
      <c r="Y714" s="1" t="s">
        <v>74</v>
      </c>
      <c r="Z714" s="1" t="s">
        <v>74</v>
      </c>
      <c r="AA714" s="1" t="s">
        <v>6778</v>
      </c>
      <c r="AB714" s="1" t="s">
        <v>6779</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6780</v>
      </c>
      <c r="AP714" s="1" t="s">
        <v>6781</v>
      </c>
      <c r="AQ714" s="1" t="s">
        <v>74</v>
      </c>
      <c r="AR714" s="1" t="s">
        <v>74</v>
      </c>
      <c r="AS714" s="1" t="s">
        <v>74</v>
      </c>
      <c r="AT714" s="1" t="s">
        <v>83</v>
      </c>
      <c r="AU714" s="1">
        <v>2014.0</v>
      </c>
      <c r="AV714" s="1">
        <v>46.0</v>
      </c>
      <c r="AW714" s="1">
        <v>3.0</v>
      </c>
      <c r="AX714" s="1" t="s">
        <v>74</v>
      </c>
      <c r="AY714" s="1" t="s">
        <v>74</v>
      </c>
      <c r="AZ714" s="1" t="s">
        <v>74</v>
      </c>
      <c r="BA714" s="1" t="s">
        <v>74</v>
      </c>
      <c r="BB714" s="1">
        <v>143.0</v>
      </c>
      <c r="BC714" s="1">
        <v>150.0</v>
      </c>
      <c r="BD714" s="1" t="s">
        <v>74</v>
      </c>
      <c r="BE714" s="1" t="s">
        <v>6782</v>
      </c>
      <c r="BF714" s="2" t="str">
        <f>HYPERLINK("http://dx.doi.org/10.1002/kin.20834","http://dx.doi.org/10.1002/kin.20834")</f>
        <v>http://dx.doi.org/10.1002/kin.20834</v>
      </c>
      <c r="BG714" s="1" t="s">
        <v>74</v>
      </c>
      <c r="BH714" s="1" t="s">
        <v>74</v>
      </c>
      <c r="BI714" s="1" t="s">
        <v>74</v>
      </c>
      <c r="BJ714" s="1" t="s">
        <v>74</v>
      </c>
      <c r="BK714" s="1" t="s">
        <v>74</v>
      </c>
      <c r="BL714" s="1" t="s">
        <v>74</v>
      </c>
      <c r="BM714" s="1" t="s">
        <v>74</v>
      </c>
      <c r="BN714" s="1" t="s">
        <v>74</v>
      </c>
      <c r="BO714" s="1" t="s">
        <v>74</v>
      </c>
      <c r="BP714" s="1" t="s">
        <v>74</v>
      </c>
      <c r="BQ714" s="1" t="s">
        <v>74</v>
      </c>
      <c r="BR714" s="1" t="s">
        <v>74</v>
      </c>
      <c r="BS714" s="1" t="s">
        <v>6783</v>
      </c>
      <c r="BT714" s="1" t="str">
        <f>HYPERLINK("https%3A%2F%2Fwww.webofscience.com%2Fwos%2Fwoscc%2Ffull-record%2FWOS:000331192400001","View Full Record in Web of Science")</f>
        <v>View Full Record in Web of Science</v>
      </c>
    </row>
    <row r="715" ht="12.75" customHeight="1">
      <c r="A715" s="1" t="s">
        <v>72</v>
      </c>
      <c r="B715" s="1" t="s">
        <v>6784</v>
      </c>
      <c r="C715" s="1" t="s">
        <v>74</v>
      </c>
      <c r="D715" s="1" t="s">
        <v>74</v>
      </c>
      <c r="E715" s="1" t="s">
        <v>74</v>
      </c>
      <c r="F715" s="1" t="s">
        <v>6785</v>
      </c>
      <c r="G715" s="1" t="s">
        <v>74</v>
      </c>
      <c r="H715" s="1" t="s">
        <v>74</v>
      </c>
      <c r="I715" s="1" t="s">
        <v>6786</v>
      </c>
      <c r="J715" s="1" t="s">
        <v>6162</v>
      </c>
      <c r="K715" s="1" t="s">
        <v>74</v>
      </c>
      <c r="L715" s="1" t="s">
        <v>74</v>
      </c>
      <c r="M715" s="1" t="s">
        <v>74</v>
      </c>
      <c r="N715" s="1" t="s">
        <v>74</v>
      </c>
      <c r="O715" s="1" t="s">
        <v>74</v>
      </c>
      <c r="P715" s="1" t="s">
        <v>74</v>
      </c>
      <c r="Q715" s="1" t="s">
        <v>74</v>
      </c>
      <c r="R715" s="1" t="s">
        <v>74</v>
      </c>
      <c r="S715" s="1" t="s">
        <v>74</v>
      </c>
      <c r="T715" s="1" t="s">
        <v>74</v>
      </c>
      <c r="U715" s="1" t="s">
        <v>74</v>
      </c>
      <c r="V715" s="1" t="s">
        <v>6787</v>
      </c>
      <c r="W715" s="1" t="s">
        <v>74</v>
      </c>
      <c r="X715" s="1" t="s">
        <v>74</v>
      </c>
      <c r="Y715" s="1" t="s">
        <v>74</v>
      </c>
      <c r="Z715" s="1" t="s">
        <v>74</v>
      </c>
      <c r="AA715" s="1" t="s">
        <v>6788</v>
      </c>
      <c r="AB715" s="1" t="s">
        <v>6789</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6166</v>
      </c>
      <c r="AP715" s="1" t="s">
        <v>6167</v>
      </c>
      <c r="AQ715" s="1" t="s">
        <v>74</v>
      </c>
      <c r="AR715" s="1" t="s">
        <v>74</v>
      </c>
      <c r="AS715" s="1" t="s">
        <v>74</v>
      </c>
      <c r="AT715" s="1" t="s">
        <v>83</v>
      </c>
      <c r="AU715" s="1">
        <v>2014.0</v>
      </c>
      <c r="AV715" s="1">
        <v>27.0</v>
      </c>
      <c r="AW715" s="1">
        <v>3.0</v>
      </c>
      <c r="AX715" s="1" t="s">
        <v>74</v>
      </c>
      <c r="AY715" s="1" t="s">
        <v>74</v>
      </c>
      <c r="AZ715" s="1" t="s">
        <v>74</v>
      </c>
      <c r="BA715" s="1" t="s">
        <v>74</v>
      </c>
      <c r="BB715" s="1">
        <v>241.0</v>
      </c>
      <c r="BC715" s="1">
        <v>248.0</v>
      </c>
      <c r="BD715" s="1" t="s">
        <v>74</v>
      </c>
      <c r="BE715" s="1" t="s">
        <v>6790</v>
      </c>
      <c r="BF715" s="2" t="str">
        <f>HYPERLINK("http://dx.doi.org/10.1002/pts.2014","http://dx.doi.org/10.1002/pts.2014")</f>
        <v>http://dx.doi.org/10.1002/pts.2014</v>
      </c>
      <c r="BG715" s="1" t="s">
        <v>74</v>
      </c>
      <c r="BH715" s="1" t="s">
        <v>74</v>
      </c>
      <c r="BI715" s="1" t="s">
        <v>74</v>
      </c>
      <c r="BJ715" s="1" t="s">
        <v>74</v>
      </c>
      <c r="BK715" s="1" t="s">
        <v>74</v>
      </c>
      <c r="BL715" s="1" t="s">
        <v>74</v>
      </c>
      <c r="BM715" s="1" t="s">
        <v>74</v>
      </c>
      <c r="BN715" s="1" t="s">
        <v>74</v>
      </c>
      <c r="BO715" s="1" t="s">
        <v>74</v>
      </c>
      <c r="BP715" s="1" t="s">
        <v>74</v>
      </c>
      <c r="BQ715" s="1" t="s">
        <v>74</v>
      </c>
      <c r="BR715" s="1" t="s">
        <v>74</v>
      </c>
      <c r="BS715" s="1" t="s">
        <v>6791</v>
      </c>
      <c r="BT715" s="1" t="str">
        <f>HYPERLINK("https%3A%2F%2Fwww.webofscience.com%2Fwos%2Fwoscc%2Ffull-record%2FWOS:000331112700007","View Full Record in Web of Science")</f>
        <v>View Full Record in Web of Science</v>
      </c>
    </row>
    <row r="716" ht="12.75" customHeight="1">
      <c r="A716" s="1" t="s">
        <v>380</v>
      </c>
      <c r="B716" s="1" t="s">
        <v>6792</v>
      </c>
      <c r="C716" s="1" t="s">
        <v>74</v>
      </c>
      <c r="D716" s="1" t="s">
        <v>6793</v>
      </c>
      <c r="E716" s="1" t="s">
        <v>74</v>
      </c>
      <c r="F716" s="1" t="s">
        <v>6794</v>
      </c>
      <c r="G716" s="1" t="s">
        <v>74</v>
      </c>
      <c r="H716" s="1" t="s">
        <v>74</v>
      </c>
      <c r="I716" s="1" t="s">
        <v>6795</v>
      </c>
      <c r="J716" s="1" t="s">
        <v>6796</v>
      </c>
      <c r="K716" s="1" t="s">
        <v>74</v>
      </c>
      <c r="L716" s="1" t="s">
        <v>74</v>
      </c>
      <c r="M716" s="1" t="s">
        <v>74</v>
      </c>
      <c r="N716" s="1" t="s">
        <v>74</v>
      </c>
      <c r="O716" s="1" t="s">
        <v>74</v>
      </c>
      <c r="P716" s="1" t="s">
        <v>74</v>
      </c>
      <c r="Q716" s="1" t="s">
        <v>74</v>
      </c>
      <c r="R716" s="1" t="s">
        <v>74</v>
      </c>
      <c r="S716" s="1" t="s">
        <v>74</v>
      </c>
      <c r="T716" s="1" t="s">
        <v>74</v>
      </c>
      <c r="U716" s="1" t="s">
        <v>74</v>
      </c>
      <c r="V716" s="1" t="s">
        <v>74</v>
      </c>
      <c r="W716" s="1" t="s">
        <v>74</v>
      </c>
      <c r="X716" s="1" t="s">
        <v>74</v>
      </c>
      <c r="Y716" s="1" t="s">
        <v>74</v>
      </c>
      <c r="Z716" s="1" t="s">
        <v>74</v>
      </c>
      <c r="AA716" s="1" t="s">
        <v>6797</v>
      </c>
      <c r="AB716" s="1" t="s">
        <v>821</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74</v>
      </c>
      <c r="AP716" s="1" t="s">
        <v>74</v>
      </c>
      <c r="AQ716" s="1" t="s">
        <v>6798</v>
      </c>
      <c r="AR716" s="1" t="s">
        <v>74</v>
      </c>
      <c r="AS716" s="1" t="s">
        <v>74</v>
      </c>
      <c r="AT716" s="1" t="s">
        <v>74</v>
      </c>
      <c r="AU716" s="1">
        <v>2014.0</v>
      </c>
      <c r="AV716" s="1" t="s">
        <v>74</v>
      </c>
      <c r="AW716" s="1" t="s">
        <v>74</v>
      </c>
      <c r="AX716" s="1" t="s">
        <v>74</v>
      </c>
      <c r="AY716" s="1" t="s">
        <v>74</v>
      </c>
      <c r="AZ716" s="1" t="s">
        <v>74</v>
      </c>
      <c r="BA716" s="1" t="s">
        <v>74</v>
      </c>
      <c r="BB716" s="1">
        <v>69.0</v>
      </c>
      <c r="BC716" s="1">
        <v>76.0</v>
      </c>
      <c r="BD716" s="1" t="s">
        <v>74</v>
      </c>
      <c r="BE716" s="1" t="s">
        <v>6799</v>
      </c>
      <c r="BF716" s="2" t="str">
        <f>HYPERLINK("http://dx.doi.org/10.1016/B978-0-12-404738-9.00008-8","http://dx.doi.org/10.1016/B978-0-12-404738-9.00008-8")</f>
        <v>http://dx.doi.org/10.1016/B978-0-12-404738-9.00008-8</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6800</v>
      </c>
      <c r="BT716" s="1" t="str">
        <f>HYPERLINK("https%3A%2F%2Fwww.webofscience.com%2Fwos%2Fwoscc%2Ffull-record%2FWOS:000337295200009","View Full Record in Web of Science")</f>
        <v>View Full Record in Web of Science</v>
      </c>
    </row>
    <row r="717" ht="12.75" customHeight="1">
      <c r="A717" s="1" t="s">
        <v>72</v>
      </c>
      <c r="B717" s="1" t="s">
        <v>6801</v>
      </c>
      <c r="C717" s="1" t="s">
        <v>74</v>
      </c>
      <c r="D717" s="1" t="s">
        <v>74</v>
      </c>
      <c r="E717" s="1" t="s">
        <v>74</v>
      </c>
      <c r="F717" s="1" t="s">
        <v>6802</v>
      </c>
      <c r="G717" s="1" t="s">
        <v>74</v>
      </c>
      <c r="H717" s="1" t="s">
        <v>74</v>
      </c>
      <c r="I717" s="1" t="s">
        <v>6803</v>
      </c>
      <c r="J717" s="1" t="s">
        <v>6804</v>
      </c>
      <c r="K717" s="1" t="s">
        <v>74</v>
      </c>
      <c r="L717" s="1" t="s">
        <v>74</v>
      </c>
      <c r="M717" s="1" t="s">
        <v>74</v>
      </c>
      <c r="N717" s="1" t="s">
        <v>74</v>
      </c>
      <c r="O717" s="1" t="s">
        <v>74</v>
      </c>
      <c r="P717" s="1" t="s">
        <v>74</v>
      </c>
      <c r="Q717" s="1" t="s">
        <v>74</v>
      </c>
      <c r="R717" s="1" t="s">
        <v>74</v>
      </c>
      <c r="S717" s="1" t="s">
        <v>74</v>
      </c>
      <c r="T717" s="1" t="s">
        <v>74</v>
      </c>
      <c r="U717" s="1" t="s">
        <v>74</v>
      </c>
      <c r="V717" s="1" t="s">
        <v>6805</v>
      </c>
      <c r="W717" s="1" t="s">
        <v>74</v>
      </c>
      <c r="X717" s="1" t="s">
        <v>74</v>
      </c>
      <c r="Y717" s="1" t="s">
        <v>74</v>
      </c>
      <c r="Z717" s="1" t="s">
        <v>74</v>
      </c>
      <c r="AA717" s="1" t="s">
        <v>6806</v>
      </c>
      <c r="AB717" s="1" t="s">
        <v>6807</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6808</v>
      </c>
      <c r="AP717" s="1" t="s">
        <v>6809</v>
      </c>
      <c r="AQ717" s="1" t="s">
        <v>74</v>
      </c>
      <c r="AR717" s="1" t="s">
        <v>74</v>
      </c>
      <c r="AS717" s="1" t="s">
        <v>74</v>
      </c>
      <c r="AT717" s="1" t="s">
        <v>596</v>
      </c>
      <c r="AU717" s="1">
        <v>2013.0</v>
      </c>
      <c r="AV717" s="1">
        <v>54.0</v>
      </c>
      <c r="AW717" s="1">
        <v>1.0</v>
      </c>
      <c r="AX717" s="1" t="s">
        <v>74</v>
      </c>
      <c r="AY717" s="1" t="s">
        <v>74</v>
      </c>
      <c r="AZ717" s="1" t="s">
        <v>74</v>
      </c>
      <c r="BA717" s="1" t="s">
        <v>74</v>
      </c>
      <c r="BB717" s="1">
        <v>397.0</v>
      </c>
      <c r="BC717" s="1">
        <v>405.0</v>
      </c>
      <c r="BD717" s="1" t="s">
        <v>74</v>
      </c>
      <c r="BE717" s="1" t="s">
        <v>6810</v>
      </c>
      <c r="BF717" s="2" t="str">
        <f>HYPERLINK("http://dx.doi.org/10.1016/j.foodres.2013.07.042","http://dx.doi.org/10.1016/j.foodres.2013.07.042")</f>
        <v>http://dx.doi.org/10.1016/j.foodres.2013.07.042</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6811</v>
      </c>
      <c r="BT717" s="1" t="str">
        <f>HYPERLINK("https%3A%2F%2Fwww.webofscience.com%2Fwos%2Fwoscc%2Ffull-record%2FWOS:000329377700049","View Full Record in Web of Science")</f>
        <v>View Full Record in Web of Science</v>
      </c>
    </row>
    <row r="718" ht="12.75" customHeight="1">
      <c r="A718" s="1" t="s">
        <v>72</v>
      </c>
      <c r="B718" s="1" t="s">
        <v>6812</v>
      </c>
      <c r="C718" s="1" t="s">
        <v>74</v>
      </c>
      <c r="D718" s="1" t="s">
        <v>74</v>
      </c>
      <c r="E718" s="1" t="s">
        <v>74</v>
      </c>
      <c r="F718" s="1" t="s">
        <v>6813</v>
      </c>
      <c r="G718" s="1" t="s">
        <v>74</v>
      </c>
      <c r="H718" s="1" t="s">
        <v>74</v>
      </c>
      <c r="I718" s="1" t="s">
        <v>6814</v>
      </c>
      <c r="J718" s="1" t="s">
        <v>3615</v>
      </c>
      <c r="K718" s="1" t="s">
        <v>74</v>
      </c>
      <c r="L718" s="1" t="s">
        <v>74</v>
      </c>
      <c r="M718" s="1" t="s">
        <v>74</v>
      </c>
      <c r="N718" s="1" t="s">
        <v>74</v>
      </c>
      <c r="O718" s="1" t="s">
        <v>74</v>
      </c>
      <c r="P718" s="1" t="s">
        <v>74</v>
      </c>
      <c r="Q718" s="1" t="s">
        <v>74</v>
      </c>
      <c r="R718" s="1" t="s">
        <v>74</v>
      </c>
      <c r="S718" s="1" t="s">
        <v>74</v>
      </c>
      <c r="T718" s="1" t="s">
        <v>74</v>
      </c>
      <c r="U718" s="1" t="s">
        <v>74</v>
      </c>
      <c r="V718" s="1" t="s">
        <v>6815</v>
      </c>
      <c r="W718" s="1" t="s">
        <v>74</v>
      </c>
      <c r="X718" s="1" t="s">
        <v>74</v>
      </c>
      <c r="Y718" s="1" t="s">
        <v>74</v>
      </c>
      <c r="Z718" s="1" t="s">
        <v>74</v>
      </c>
      <c r="AA718" s="1" t="s">
        <v>6816</v>
      </c>
      <c r="AB718" s="1" t="s">
        <v>6817</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3619</v>
      </c>
      <c r="AP718" s="1" t="s">
        <v>74</v>
      </c>
      <c r="AQ718" s="1" t="s">
        <v>74</v>
      </c>
      <c r="AR718" s="1" t="s">
        <v>74</v>
      </c>
      <c r="AS718" s="1" t="s">
        <v>74</v>
      </c>
      <c r="AT718" s="1" t="s">
        <v>791</v>
      </c>
      <c r="AU718" s="1">
        <v>2012.0</v>
      </c>
      <c r="AV718" s="1">
        <v>49.0</v>
      </c>
      <c r="AW718" s="1">
        <v>11.0</v>
      </c>
      <c r="AX718" s="1" t="s">
        <v>74</v>
      </c>
      <c r="AY718" s="1" t="s">
        <v>74</v>
      </c>
      <c r="AZ718" s="1" t="s">
        <v>74</v>
      </c>
      <c r="BA718" s="1" t="s">
        <v>74</v>
      </c>
      <c r="BB718" s="1">
        <v>1538.0</v>
      </c>
      <c r="BC718" s="1">
        <v>1543.0</v>
      </c>
      <c r="BD718" s="1" t="s">
        <v>74</v>
      </c>
      <c r="BE718" s="1" t="s">
        <v>6818</v>
      </c>
      <c r="BF718" s="2" t="str">
        <f>HYPERLINK("http://dx.doi.org/10.1016/j.asr.2012.02.019","http://dx.doi.org/10.1016/j.asr.2012.02.019")</f>
        <v>http://dx.doi.org/10.1016/j.asr.2012.02.019</v>
      </c>
      <c r="BG718" s="1" t="s">
        <v>74</v>
      </c>
      <c r="BH718" s="1" t="s">
        <v>74</v>
      </c>
      <c r="BI718" s="1" t="s">
        <v>74</v>
      </c>
      <c r="BJ718" s="1" t="s">
        <v>74</v>
      </c>
      <c r="BK718" s="1" t="s">
        <v>74</v>
      </c>
      <c r="BL718" s="1" t="s">
        <v>74</v>
      </c>
      <c r="BM718" s="1" t="s">
        <v>74</v>
      </c>
      <c r="BN718" s="1" t="s">
        <v>74</v>
      </c>
      <c r="BO718" s="1" t="s">
        <v>74</v>
      </c>
      <c r="BP718" s="1" t="s">
        <v>74</v>
      </c>
      <c r="BQ718" s="1" t="s">
        <v>74</v>
      </c>
      <c r="BR718" s="1" t="s">
        <v>74</v>
      </c>
      <c r="BS718" s="1" t="s">
        <v>6819</v>
      </c>
      <c r="BT718" s="1" t="str">
        <f>HYPERLINK("https%3A%2F%2Fwww.webofscience.com%2Fwos%2Fwoscc%2Ffull-record%2FWOS:000304502000002","View Full Record in Web of Science")</f>
        <v>View Full Record in Web of Science</v>
      </c>
    </row>
    <row r="719" ht="12.75" customHeight="1">
      <c r="A719" s="1" t="s">
        <v>380</v>
      </c>
      <c r="B719" s="1" t="s">
        <v>6820</v>
      </c>
      <c r="C719" s="1" t="s">
        <v>74</v>
      </c>
      <c r="D719" s="1" t="s">
        <v>6821</v>
      </c>
      <c r="E719" s="1" t="s">
        <v>74</v>
      </c>
      <c r="F719" s="1" t="s">
        <v>6822</v>
      </c>
      <c r="G719" s="1" t="s">
        <v>74</v>
      </c>
      <c r="H719" s="1" t="s">
        <v>74</v>
      </c>
      <c r="I719" s="1" t="s">
        <v>6823</v>
      </c>
      <c r="J719" s="1" t="s">
        <v>6824</v>
      </c>
      <c r="K719" s="1" t="s">
        <v>74</v>
      </c>
      <c r="L719" s="1" t="s">
        <v>74</v>
      </c>
      <c r="M719" s="1" t="s">
        <v>74</v>
      </c>
      <c r="N719" s="1" t="s">
        <v>74</v>
      </c>
      <c r="O719" s="1" t="s">
        <v>74</v>
      </c>
      <c r="P719" s="1" t="s">
        <v>74</v>
      </c>
      <c r="Q719" s="1" t="s">
        <v>74</v>
      </c>
      <c r="R719" s="1" t="s">
        <v>74</v>
      </c>
      <c r="S719" s="1" t="s">
        <v>74</v>
      </c>
      <c r="T719" s="1" t="s">
        <v>74</v>
      </c>
      <c r="U719" s="1" t="s">
        <v>74</v>
      </c>
      <c r="V719" s="1" t="s">
        <v>74</v>
      </c>
      <c r="W719" s="1" t="s">
        <v>74</v>
      </c>
      <c r="X719" s="1" t="s">
        <v>74</v>
      </c>
      <c r="Y719" s="1" t="s">
        <v>74</v>
      </c>
      <c r="Z719" s="1" t="s">
        <v>74</v>
      </c>
      <c r="AA719" s="1" t="s">
        <v>74</v>
      </c>
      <c r="AB719" s="1" t="s">
        <v>74</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74</v>
      </c>
      <c r="AP719" s="1" t="s">
        <v>74</v>
      </c>
      <c r="AQ719" s="1" t="s">
        <v>6825</v>
      </c>
      <c r="AR719" s="1" t="s">
        <v>74</v>
      </c>
      <c r="AS719" s="1" t="s">
        <v>74</v>
      </c>
      <c r="AT719" s="1" t="s">
        <v>74</v>
      </c>
      <c r="AU719" s="1">
        <v>2011.0</v>
      </c>
      <c r="AV719" s="1" t="s">
        <v>74</v>
      </c>
      <c r="AW719" s="1" t="s">
        <v>74</v>
      </c>
      <c r="AX719" s="1" t="s">
        <v>74</v>
      </c>
      <c r="AY719" s="1" t="s">
        <v>74</v>
      </c>
      <c r="AZ719" s="1" t="s">
        <v>74</v>
      </c>
      <c r="BA719" s="1" t="s">
        <v>74</v>
      </c>
      <c r="BB719" s="1">
        <v>399.0</v>
      </c>
      <c r="BC719" s="1">
        <v>430.0</v>
      </c>
      <c r="BD719" s="1" t="s">
        <v>74</v>
      </c>
      <c r="BE719" s="1" t="s">
        <v>74</v>
      </c>
      <c r="BF719" s="1" t="s">
        <v>74</v>
      </c>
      <c r="BG719" s="1" t="s">
        <v>6826</v>
      </c>
      <c r="BH719" s="1" t="s">
        <v>74</v>
      </c>
      <c r="BI719" s="1" t="s">
        <v>74</v>
      </c>
      <c r="BJ719" s="1" t="s">
        <v>74</v>
      </c>
      <c r="BK719" s="1" t="s">
        <v>74</v>
      </c>
      <c r="BL719" s="1" t="s">
        <v>74</v>
      </c>
      <c r="BM719" s="1" t="s">
        <v>74</v>
      </c>
      <c r="BN719" s="1" t="s">
        <v>74</v>
      </c>
      <c r="BO719" s="1" t="s">
        <v>74</v>
      </c>
      <c r="BP719" s="1" t="s">
        <v>74</v>
      </c>
      <c r="BQ719" s="1" t="s">
        <v>74</v>
      </c>
      <c r="BR719" s="1" t="s">
        <v>74</v>
      </c>
      <c r="BS719" s="1" t="s">
        <v>6827</v>
      </c>
      <c r="BT719" s="1" t="str">
        <f>HYPERLINK("https%3A%2F%2Fwww.webofscience.com%2Fwos%2Fwoscc%2Ffull-record%2FWOS:000385161700022","View Full Record in Web of Science")</f>
        <v>View Full Record in Web of Science</v>
      </c>
    </row>
    <row r="720" ht="12.75" customHeight="1">
      <c r="A720" s="1" t="s">
        <v>72</v>
      </c>
      <c r="B720" s="1" t="s">
        <v>6828</v>
      </c>
      <c r="C720" s="1" t="s">
        <v>74</v>
      </c>
      <c r="D720" s="1" t="s">
        <v>74</v>
      </c>
      <c r="E720" s="1" t="s">
        <v>74</v>
      </c>
      <c r="F720" s="1" t="s">
        <v>6829</v>
      </c>
      <c r="G720" s="1" t="s">
        <v>74</v>
      </c>
      <c r="H720" s="1" t="s">
        <v>74</v>
      </c>
      <c r="I720" s="1" t="s">
        <v>6830</v>
      </c>
      <c r="J720" s="1" t="s">
        <v>6831</v>
      </c>
      <c r="K720" s="1" t="s">
        <v>74</v>
      </c>
      <c r="L720" s="1" t="s">
        <v>74</v>
      </c>
      <c r="M720" s="1" t="s">
        <v>74</v>
      </c>
      <c r="N720" s="1" t="s">
        <v>74</v>
      </c>
      <c r="O720" s="1" t="s">
        <v>6832</v>
      </c>
      <c r="P720" s="1" t="s">
        <v>6833</v>
      </c>
      <c r="Q720" s="1" t="s">
        <v>2497</v>
      </c>
      <c r="R720" s="1" t="s">
        <v>74</v>
      </c>
      <c r="S720" s="1" t="s">
        <v>74</v>
      </c>
      <c r="T720" s="1" t="s">
        <v>74</v>
      </c>
      <c r="U720" s="1" t="s">
        <v>74</v>
      </c>
      <c r="V720" s="1" t="s">
        <v>6834</v>
      </c>
      <c r="W720" s="1" t="s">
        <v>74</v>
      </c>
      <c r="X720" s="1" t="s">
        <v>74</v>
      </c>
      <c r="Y720" s="1" t="s">
        <v>74</v>
      </c>
      <c r="Z720" s="1" t="s">
        <v>74</v>
      </c>
      <c r="AA720" s="1" t="s">
        <v>6835</v>
      </c>
      <c r="AB720" s="1" t="s">
        <v>6836</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6837</v>
      </c>
      <c r="AP720" s="1" t="s">
        <v>6838</v>
      </c>
      <c r="AQ720" s="1" t="s">
        <v>74</v>
      </c>
      <c r="AR720" s="1" t="s">
        <v>74</v>
      </c>
      <c r="AS720" s="1" t="s">
        <v>74</v>
      </c>
      <c r="AT720" s="1" t="s">
        <v>74</v>
      </c>
      <c r="AU720" s="1">
        <v>2010.0</v>
      </c>
      <c r="AV720" s="1">
        <v>521.0</v>
      </c>
      <c r="AW720" s="1" t="s">
        <v>74</v>
      </c>
      <c r="AX720" s="1" t="s">
        <v>74</v>
      </c>
      <c r="AY720" s="1" t="s">
        <v>74</v>
      </c>
      <c r="AZ720" s="1" t="s">
        <v>74</v>
      </c>
      <c r="BA720" s="1" t="s">
        <v>74</v>
      </c>
      <c r="BB720" s="1">
        <v>279.0</v>
      </c>
      <c r="BC720" s="1">
        <v>287.0</v>
      </c>
      <c r="BD720" s="1" t="s">
        <v>74</v>
      </c>
      <c r="BE720" s="1" t="s">
        <v>6839</v>
      </c>
      <c r="BF720" s="2" t="str">
        <f>HYPERLINK("http://dx.doi.org/10.1080/15421401003715835","http://dx.doi.org/10.1080/15421401003715835")</f>
        <v>http://dx.doi.org/10.1080/15421401003715835</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6840</v>
      </c>
      <c r="BT720" s="1" t="str">
        <f>HYPERLINK("https%3A%2F%2Fwww.webofscience.com%2Fwos%2Fwoscc%2Ffull-record%2FWOS:000278163100026","View Full Record in Web of Science")</f>
        <v>View Full Record in Web of Science</v>
      </c>
    </row>
    <row r="721" ht="12.75" customHeight="1">
      <c r="A721" s="1" t="s">
        <v>72</v>
      </c>
      <c r="B721" s="1" t="s">
        <v>6841</v>
      </c>
      <c r="C721" s="1" t="s">
        <v>74</v>
      </c>
      <c r="D721" s="1" t="s">
        <v>74</v>
      </c>
      <c r="E721" s="1" t="s">
        <v>74</v>
      </c>
      <c r="F721" s="1" t="s">
        <v>6842</v>
      </c>
      <c r="G721" s="1" t="s">
        <v>74</v>
      </c>
      <c r="H721" s="1" t="s">
        <v>74</v>
      </c>
      <c r="I721" s="1" t="s">
        <v>6843</v>
      </c>
      <c r="J721" s="1" t="s">
        <v>6844</v>
      </c>
      <c r="K721" s="1" t="s">
        <v>74</v>
      </c>
      <c r="L721" s="1" t="s">
        <v>74</v>
      </c>
      <c r="M721" s="1" t="s">
        <v>74</v>
      </c>
      <c r="N721" s="1" t="s">
        <v>74</v>
      </c>
      <c r="O721" s="1" t="s">
        <v>74</v>
      </c>
      <c r="P721" s="1" t="s">
        <v>74</v>
      </c>
      <c r="Q721" s="1" t="s">
        <v>74</v>
      </c>
      <c r="R721" s="1" t="s">
        <v>74</v>
      </c>
      <c r="S721" s="1" t="s">
        <v>74</v>
      </c>
      <c r="T721" s="1" t="s">
        <v>74</v>
      </c>
      <c r="U721" s="1" t="s">
        <v>74</v>
      </c>
      <c r="V721" s="1" t="s">
        <v>6845</v>
      </c>
      <c r="W721" s="1" t="s">
        <v>74</v>
      </c>
      <c r="X721" s="1" t="s">
        <v>74</v>
      </c>
      <c r="Y721" s="1" t="s">
        <v>74</v>
      </c>
      <c r="Z721" s="1" t="s">
        <v>74</v>
      </c>
      <c r="AA721" s="1" t="s">
        <v>6846</v>
      </c>
      <c r="AB721" s="1" t="s">
        <v>6847</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6848</v>
      </c>
      <c r="AP721" s="1" t="s">
        <v>6849</v>
      </c>
      <c r="AQ721" s="1" t="s">
        <v>74</v>
      </c>
      <c r="AR721" s="1" t="s">
        <v>74</v>
      </c>
      <c r="AS721" s="1" t="s">
        <v>74</v>
      </c>
      <c r="AT721" s="1" t="s">
        <v>107</v>
      </c>
      <c r="AU721" s="1">
        <v>2009.0</v>
      </c>
      <c r="AV721" s="1">
        <v>26.0</v>
      </c>
      <c r="AW721" s="1">
        <v>3.0</v>
      </c>
      <c r="AX721" s="1" t="s">
        <v>74</v>
      </c>
      <c r="AY721" s="1" t="s">
        <v>74</v>
      </c>
      <c r="AZ721" s="1" t="s">
        <v>74</v>
      </c>
      <c r="BA721" s="1" t="s">
        <v>74</v>
      </c>
      <c r="BB721" s="1">
        <v>328.0</v>
      </c>
      <c r="BC721" s="1">
        <v>332.0</v>
      </c>
      <c r="BD721" s="1" t="s">
        <v>74</v>
      </c>
      <c r="BE721" s="1" t="s">
        <v>6850</v>
      </c>
      <c r="BF721" s="2" t="str">
        <f>HYPERLINK("http://dx.doi.org/10.1016/j.fm.2008.12.001","http://dx.doi.org/10.1016/j.fm.2008.12.001")</f>
        <v>http://dx.doi.org/10.1016/j.fm.2008.12.001</v>
      </c>
      <c r="BG721" s="1" t="s">
        <v>74</v>
      </c>
      <c r="BH721" s="1" t="s">
        <v>74</v>
      </c>
      <c r="BI721" s="1" t="s">
        <v>74</v>
      </c>
      <c r="BJ721" s="1" t="s">
        <v>74</v>
      </c>
      <c r="BK721" s="1" t="s">
        <v>74</v>
      </c>
      <c r="BL721" s="1" t="s">
        <v>74</v>
      </c>
      <c r="BM721" s="1" t="s">
        <v>74</v>
      </c>
      <c r="BN721" s="1">
        <v>1.9269577E7</v>
      </c>
      <c r="BO721" s="1" t="s">
        <v>74</v>
      </c>
      <c r="BP721" s="1" t="s">
        <v>74</v>
      </c>
      <c r="BQ721" s="1" t="s">
        <v>74</v>
      </c>
      <c r="BR721" s="1" t="s">
        <v>74</v>
      </c>
      <c r="BS721" s="1" t="s">
        <v>6851</v>
      </c>
      <c r="BT721" s="1" t="str">
        <f>HYPERLINK("https%3A%2F%2Fwww.webofscience.com%2Fwos%2Fwoscc%2Ffull-record%2FWOS:000264633100016","View Full Record in Web of Science")</f>
        <v>View Full Record in Web of Science</v>
      </c>
    </row>
    <row r="722" ht="12.75" customHeight="1">
      <c r="A722" s="1" t="s">
        <v>72</v>
      </c>
      <c r="B722" s="1" t="s">
        <v>6852</v>
      </c>
      <c r="C722" s="1" t="s">
        <v>74</v>
      </c>
      <c r="D722" s="1" t="s">
        <v>74</v>
      </c>
      <c r="E722" s="1" t="s">
        <v>74</v>
      </c>
      <c r="F722" s="1" t="s">
        <v>6852</v>
      </c>
      <c r="G722" s="1" t="s">
        <v>74</v>
      </c>
      <c r="H722" s="1" t="s">
        <v>74</v>
      </c>
      <c r="I722" s="1" t="s">
        <v>6853</v>
      </c>
      <c r="J722" s="1" t="s">
        <v>6854</v>
      </c>
      <c r="K722" s="1" t="s">
        <v>74</v>
      </c>
      <c r="L722" s="1" t="s">
        <v>74</v>
      </c>
      <c r="M722" s="1" t="s">
        <v>74</v>
      </c>
      <c r="N722" s="1" t="s">
        <v>74</v>
      </c>
      <c r="O722" s="1" t="s">
        <v>74</v>
      </c>
      <c r="P722" s="1" t="s">
        <v>74</v>
      </c>
      <c r="Q722" s="1" t="s">
        <v>74</v>
      </c>
      <c r="R722" s="1" t="s">
        <v>74</v>
      </c>
      <c r="S722" s="1" t="s">
        <v>74</v>
      </c>
      <c r="T722" s="1" t="s">
        <v>74</v>
      </c>
      <c r="U722" s="1" t="s">
        <v>74</v>
      </c>
      <c r="V722" s="1" t="s">
        <v>6855</v>
      </c>
      <c r="W722" s="1" t="s">
        <v>74</v>
      </c>
      <c r="X722" s="1" t="s">
        <v>74</v>
      </c>
      <c r="Y722" s="1" t="s">
        <v>74</v>
      </c>
      <c r="Z722" s="1" t="s">
        <v>74</v>
      </c>
      <c r="AA722" s="1" t="s">
        <v>1540</v>
      </c>
      <c r="AB722" s="1" t="s">
        <v>5266</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6856</v>
      </c>
      <c r="AP722" s="1" t="s">
        <v>6857</v>
      </c>
      <c r="AQ722" s="1" t="s">
        <v>74</v>
      </c>
      <c r="AR722" s="1" t="s">
        <v>74</v>
      </c>
      <c r="AS722" s="1" t="s">
        <v>74</v>
      </c>
      <c r="AT722" s="1" t="s">
        <v>74</v>
      </c>
      <c r="AU722" s="1">
        <v>2004.0</v>
      </c>
      <c r="AV722" s="1">
        <v>10.0</v>
      </c>
      <c r="AW722" s="1">
        <v>30.0</v>
      </c>
      <c r="AX722" s="1" t="s">
        <v>74</v>
      </c>
      <c r="AY722" s="1" t="s">
        <v>74</v>
      </c>
      <c r="AZ722" s="1" t="s">
        <v>74</v>
      </c>
      <c r="BA722" s="1" t="s">
        <v>74</v>
      </c>
      <c r="BB722" s="1">
        <v>3769.0</v>
      </c>
      <c r="BC722" s="1">
        <v>3777.0</v>
      </c>
      <c r="BD722" s="1" t="s">
        <v>74</v>
      </c>
      <c r="BE722" s="1" t="s">
        <v>6858</v>
      </c>
      <c r="BF722" s="2" t="str">
        <f>HYPERLINK("http://dx.doi.org/10.2174/1381612043382620","http://dx.doi.org/10.2174/1381612043382620")</f>
        <v>http://dx.doi.org/10.2174/1381612043382620</v>
      </c>
      <c r="BG722" s="1" t="s">
        <v>74</v>
      </c>
      <c r="BH722" s="1" t="s">
        <v>74</v>
      </c>
      <c r="BI722" s="1" t="s">
        <v>74</v>
      </c>
      <c r="BJ722" s="1" t="s">
        <v>74</v>
      </c>
      <c r="BK722" s="1" t="s">
        <v>74</v>
      </c>
      <c r="BL722" s="1" t="s">
        <v>74</v>
      </c>
      <c r="BM722" s="1" t="s">
        <v>74</v>
      </c>
      <c r="BN722" s="1">
        <v>1.557907E7</v>
      </c>
      <c r="BO722" s="1" t="s">
        <v>74</v>
      </c>
      <c r="BP722" s="1" t="s">
        <v>74</v>
      </c>
      <c r="BQ722" s="1" t="s">
        <v>74</v>
      </c>
      <c r="BR722" s="1" t="s">
        <v>74</v>
      </c>
      <c r="BS722" s="1" t="s">
        <v>6859</v>
      </c>
      <c r="BT722" s="1" t="str">
        <f>HYPERLINK("https%3A%2F%2Fwww.webofscience.com%2Fwos%2Fwoscc%2Ffull-record%2FWOS:000224542300007","View Full Record in Web of Science")</f>
        <v>View Full Record in Web of Science</v>
      </c>
    </row>
    <row r="723" ht="12.75" customHeight="1">
      <c r="A723" s="1" t="s">
        <v>72</v>
      </c>
      <c r="B723" s="1" t="s">
        <v>6860</v>
      </c>
      <c r="C723" s="1" t="s">
        <v>74</v>
      </c>
      <c r="D723" s="1" t="s">
        <v>74</v>
      </c>
      <c r="E723" s="1" t="s">
        <v>74</v>
      </c>
      <c r="F723" s="1" t="s">
        <v>6860</v>
      </c>
      <c r="G723" s="1" t="s">
        <v>74</v>
      </c>
      <c r="H723" s="1" t="s">
        <v>74</v>
      </c>
      <c r="I723" s="1" t="s">
        <v>6861</v>
      </c>
      <c r="J723" s="1" t="s">
        <v>3373</v>
      </c>
      <c r="K723" s="1" t="s">
        <v>74</v>
      </c>
      <c r="L723" s="1" t="s">
        <v>74</v>
      </c>
      <c r="M723" s="1" t="s">
        <v>74</v>
      </c>
      <c r="N723" s="1" t="s">
        <v>74</v>
      </c>
      <c r="O723" s="1" t="s">
        <v>74</v>
      </c>
      <c r="P723" s="1" t="s">
        <v>74</v>
      </c>
      <c r="Q723" s="1" t="s">
        <v>74</v>
      </c>
      <c r="R723" s="1" t="s">
        <v>74</v>
      </c>
      <c r="S723" s="1" t="s">
        <v>74</v>
      </c>
      <c r="T723" s="1" t="s">
        <v>74</v>
      </c>
      <c r="U723" s="1" t="s">
        <v>74</v>
      </c>
      <c r="V723" s="1" t="s">
        <v>6862</v>
      </c>
      <c r="W723" s="1" t="s">
        <v>74</v>
      </c>
      <c r="X723" s="1" t="s">
        <v>74</v>
      </c>
      <c r="Y723" s="1" t="s">
        <v>74</v>
      </c>
      <c r="Z723" s="1" t="s">
        <v>74</v>
      </c>
      <c r="AA723" s="1" t="s">
        <v>6863</v>
      </c>
      <c r="AB723" s="1" t="s">
        <v>74</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3376</v>
      </c>
      <c r="AP723" s="1" t="s">
        <v>3377</v>
      </c>
      <c r="AQ723" s="1" t="s">
        <v>74</v>
      </c>
      <c r="AR723" s="1" t="s">
        <v>74</v>
      </c>
      <c r="AS723" s="1" t="s">
        <v>74</v>
      </c>
      <c r="AT723" s="1" t="s">
        <v>647</v>
      </c>
      <c r="AU723" s="1">
        <v>2003.0</v>
      </c>
      <c r="AV723" s="1">
        <v>46.0</v>
      </c>
      <c r="AW723" s="1">
        <v>17.0</v>
      </c>
      <c r="AX723" s="1" t="s">
        <v>74</v>
      </c>
      <c r="AY723" s="1" t="s">
        <v>74</v>
      </c>
      <c r="AZ723" s="1" t="s">
        <v>74</v>
      </c>
      <c r="BA723" s="1" t="s">
        <v>74</v>
      </c>
      <c r="BB723" s="1">
        <v>3279.0</v>
      </c>
      <c r="BC723" s="1">
        <v>3289.0</v>
      </c>
      <c r="BD723" s="1" t="s">
        <v>74</v>
      </c>
      <c r="BE723" s="1" t="s">
        <v>6864</v>
      </c>
      <c r="BF723" s="2" t="str">
        <f>HYPERLINK("http://dx.doi.org/10.1016/S0017-9310(03)00125-X","http://dx.doi.org/10.1016/S0017-9310(03)00125-X")</f>
        <v>http://dx.doi.org/10.1016/S0017-9310(03)00125-X</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6865</v>
      </c>
      <c r="BT723" s="1" t="str">
        <f>HYPERLINK("https%3A%2F%2Fwww.webofscience.com%2Fwos%2Fwoscc%2Ffull-record%2FWOS:000183675100014","View Full Record in Web of Science")</f>
        <v>View Full Record in Web of Science</v>
      </c>
    </row>
    <row r="724" ht="12.75" customHeight="1">
      <c r="A724" s="1" t="s">
        <v>72</v>
      </c>
      <c r="B724" s="1" t="s">
        <v>6866</v>
      </c>
      <c r="C724" s="1" t="s">
        <v>74</v>
      </c>
      <c r="D724" s="1" t="s">
        <v>74</v>
      </c>
      <c r="E724" s="1" t="s">
        <v>74</v>
      </c>
      <c r="F724" s="1" t="s">
        <v>6866</v>
      </c>
      <c r="G724" s="1" t="s">
        <v>74</v>
      </c>
      <c r="H724" s="1" t="s">
        <v>74</v>
      </c>
      <c r="I724" s="1" t="s">
        <v>6867</v>
      </c>
      <c r="J724" s="1" t="s">
        <v>6868</v>
      </c>
      <c r="K724" s="1" t="s">
        <v>74</v>
      </c>
      <c r="L724" s="1" t="s">
        <v>74</v>
      </c>
      <c r="M724" s="1" t="s">
        <v>74</v>
      </c>
      <c r="N724" s="1" t="s">
        <v>74</v>
      </c>
      <c r="O724" s="1" t="s">
        <v>74</v>
      </c>
      <c r="P724" s="1" t="s">
        <v>74</v>
      </c>
      <c r="Q724" s="1" t="s">
        <v>74</v>
      </c>
      <c r="R724" s="1" t="s">
        <v>74</v>
      </c>
      <c r="S724" s="1" t="s">
        <v>74</v>
      </c>
      <c r="T724" s="1" t="s">
        <v>74</v>
      </c>
      <c r="U724" s="1" t="s">
        <v>74</v>
      </c>
      <c r="V724" s="1" t="s">
        <v>6869</v>
      </c>
      <c r="W724" s="1" t="s">
        <v>74</v>
      </c>
      <c r="X724" s="1" t="s">
        <v>74</v>
      </c>
      <c r="Y724" s="1" t="s">
        <v>74</v>
      </c>
      <c r="Z724" s="1" t="s">
        <v>74</v>
      </c>
      <c r="AA724" s="1" t="s">
        <v>74</v>
      </c>
      <c r="AB724" s="1" t="s">
        <v>74</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6870</v>
      </c>
      <c r="AP724" s="1" t="s">
        <v>74</v>
      </c>
      <c r="AQ724" s="1" t="s">
        <v>74</v>
      </c>
      <c r="AR724" s="1" t="s">
        <v>74</v>
      </c>
      <c r="AS724" s="1" t="s">
        <v>74</v>
      </c>
      <c r="AT724" s="1" t="s">
        <v>74</v>
      </c>
      <c r="AU724" s="1">
        <v>2002.0</v>
      </c>
      <c r="AV724" s="1">
        <v>90.0</v>
      </c>
      <c r="AW724" s="1">
        <v>2.0</v>
      </c>
      <c r="AX724" s="1" t="s">
        <v>74</v>
      </c>
      <c r="AY724" s="1" t="s">
        <v>74</v>
      </c>
      <c r="AZ724" s="1" t="s">
        <v>74</v>
      </c>
      <c r="BA724" s="1" t="s">
        <v>74</v>
      </c>
      <c r="BB724" s="1">
        <v>251.0</v>
      </c>
      <c r="BC724" s="1">
        <v>266.0</v>
      </c>
      <c r="BD724" s="1" t="s">
        <v>74</v>
      </c>
      <c r="BE724" s="1" t="s">
        <v>74</v>
      </c>
      <c r="BF724" s="1" t="s">
        <v>74</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6871</v>
      </c>
      <c r="BT724" s="1" t="str">
        <f>HYPERLINK("https%3A%2F%2Fwww.webofscience.com%2Fwos%2Fwoscc%2Ffull-record%2FWOS:000176987500006","View Full Record in Web of Science")</f>
        <v>View Full Record in Web of Science</v>
      </c>
    </row>
    <row r="725" ht="12.75" customHeight="1">
      <c r="A725" s="1" t="s">
        <v>72</v>
      </c>
      <c r="B725" s="1" t="s">
        <v>6872</v>
      </c>
      <c r="C725" s="1" t="s">
        <v>74</v>
      </c>
      <c r="D725" s="1" t="s">
        <v>74</v>
      </c>
      <c r="E725" s="1" t="s">
        <v>74</v>
      </c>
      <c r="F725" s="1" t="s">
        <v>6872</v>
      </c>
      <c r="G725" s="1" t="s">
        <v>74</v>
      </c>
      <c r="H725" s="1" t="s">
        <v>74</v>
      </c>
      <c r="I725" s="1" t="s">
        <v>6873</v>
      </c>
      <c r="J725" s="1" t="s">
        <v>2569</v>
      </c>
      <c r="K725" s="1" t="s">
        <v>74</v>
      </c>
      <c r="L725" s="1" t="s">
        <v>74</v>
      </c>
      <c r="M725" s="1" t="s">
        <v>74</v>
      </c>
      <c r="N725" s="1" t="s">
        <v>74</v>
      </c>
      <c r="O725" s="1" t="s">
        <v>74</v>
      </c>
      <c r="P725" s="1" t="s">
        <v>74</v>
      </c>
      <c r="Q725" s="1" t="s">
        <v>74</v>
      </c>
      <c r="R725" s="1" t="s">
        <v>74</v>
      </c>
      <c r="S725" s="1" t="s">
        <v>74</v>
      </c>
      <c r="T725" s="1" t="s">
        <v>74</v>
      </c>
      <c r="U725" s="1" t="s">
        <v>74</v>
      </c>
      <c r="V725" s="1" t="s">
        <v>6874</v>
      </c>
      <c r="W725" s="1" t="s">
        <v>74</v>
      </c>
      <c r="X725" s="1" t="s">
        <v>74</v>
      </c>
      <c r="Y725" s="1" t="s">
        <v>74</v>
      </c>
      <c r="Z725" s="1" t="s">
        <v>74</v>
      </c>
      <c r="AA725" s="1" t="s">
        <v>74</v>
      </c>
      <c r="AB725" s="1" t="s">
        <v>74</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2573</v>
      </c>
      <c r="AP725" s="1" t="s">
        <v>2574</v>
      </c>
      <c r="AQ725" s="1" t="s">
        <v>74</v>
      </c>
      <c r="AR725" s="1" t="s">
        <v>74</v>
      </c>
      <c r="AS725" s="1" t="s">
        <v>74</v>
      </c>
      <c r="AT725" s="1" t="s">
        <v>1020</v>
      </c>
      <c r="AU725" s="1">
        <v>2000.0</v>
      </c>
      <c r="AV725" s="1">
        <v>164.0</v>
      </c>
      <c r="AW725" s="1" t="s">
        <v>428</v>
      </c>
      <c r="AX725" s="1" t="s">
        <v>74</v>
      </c>
      <c r="AY725" s="1" t="s">
        <v>74</v>
      </c>
      <c r="AZ725" s="1" t="s">
        <v>74</v>
      </c>
      <c r="BA725" s="1" t="s">
        <v>74</v>
      </c>
      <c r="BB725" s="1">
        <v>77.0</v>
      </c>
      <c r="BC725" s="1">
        <v>84.0</v>
      </c>
      <c r="BD725" s="1" t="s">
        <v>74</v>
      </c>
      <c r="BE725" s="1" t="s">
        <v>6875</v>
      </c>
      <c r="BF725" s="2" t="str">
        <f>HYPERLINK("http://dx.doi.org/10.1016/S1381-1169(00)00343-5","http://dx.doi.org/10.1016/S1381-1169(00)00343-5")</f>
        <v>http://dx.doi.org/10.1016/S1381-1169(00)00343-5</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6876</v>
      </c>
      <c r="BT725" s="1" t="str">
        <f>HYPERLINK("https%3A%2F%2Fwww.webofscience.com%2Fwos%2Fwoscc%2Ffull-record%2FWOS:000166078400008","View Full Record in Web of Science")</f>
        <v>View Full Record in Web of Science</v>
      </c>
    </row>
    <row r="726" ht="12.75" customHeight="1">
      <c r="A726" s="1" t="s">
        <v>72</v>
      </c>
      <c r="B726" s="1" t="s">
        <v>6877</v>
      </c>
      <c r="C726" s="1" t="s">
        <v>74</v>
      </c>
      <c r="D726" s="1" t="s">
        <v>74</v>
      </c>
      <c r="E726" s="1" t="s">
        <v>74</v>
      </c>
      <c r="F726" s="1" t="s">
        <v>6877</v>
      </c>
      <c r="G726" s="1" t="s">
        <v>74</v>
      </c>
      <c r="H726" s="1" t="s">
        <v>74</v>
      </c>
      <c r="I726" s="1" t="s">
        <v>6878</v>
      </c>
      <c r="J726" s="1" t="s">
        <v>1618</v>
      </c>
      <c r="K726" s="1" t="s">
        <v>74</v>
      </c>
      <c r="L726" s="1" t="s">
        <v>74</v>
      </c>
      <c r="M726" s="1" t="s">
        <v>74</v>
      </c>
      <c r="N726" s="1" t="s">
        <v>74</v>
      </c>
      <c r="O726" s="1" t="s">
        <v>74</v>
      </c>
      <c r="P726" s="1" t="s">
        <v>74</v>
      </c>
      <c r="Q726" s="1" t="s">
        <v>74</v>
      </c>
      <c r="R726" s="1" t="s">
        <v>74</v>
      </c>
      <c r="S726" s="1" t="s">
        <v>74</v>
      </c>
      <c r="T726" s="1" t="s">
        <v>74</v>
      </c>
      <c r="U726" s="1" t="s">
        <v>74</v>
      </c>
      <c r="V726" s="1" t="s">
        <v>6879</v>
      </c>
      <c r="W726" s="1" t="s">
        <v>74</v>
      </c>
      <c r="X726" s="1" t="s">
        <v>74</v>
      </c>
      <c r="Y726" s="1" t="s">
        <v>74</v>
      </c>
      <c r="Z726" s="1" t="s">
        <v>74</v>
      </c>
      <c r="AA726" s="1" t="s">
        <v>74</v>
      </c>
      <c r="AB726" s="1" t="s">
        <v>467</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1620</v>
      </c>
      <c r="AP726" s="1" t="s">
        <v>74</v>
      </c>
      <c r="AQ726" s="1" t="s">
        <v>74</v>
      </c>
      <c r="AR726" s="1" t="s">
        <v>74</v>
      </c>
      <c r="AS726" s="1" t="s">
        <v>74</v>
      </c>
      <c r="AT726" s="1" t="s">
        <v>74</v>
      </c>
      <c r="AU726" s="1">
        <v>1998.0</v>
      </c>
      <c r="AV726" s="1">
        <v>56.0</v>
      </c>
      <c r="AW726" s="1">
        <v>4.0</v>
      </c>
      <c r="AX726" s="1" t="s">
        <v>74</v>
      </c>
      <c r="AY726" s="1" t="s">
        <v>74</v>
      </c>
      <c r="AZ726" s="1" t="s">
        <v>74</v>
      </c>
      <c r="BA726" s="1" t="s">
        <v>74</v>
      </c>
      <c r="BB726" s="1">
        <v>231.0</v>
      </c>
      <c r="BC726" s="1">
        <v>235.0</v>
      </c>
      <c r="BD726" s="1" t="s">
        <v>74</v>
      </c>
      <c r="BE726" s="1" t="s">
        <v>6880</v>
      </c>
      <c r="BF726" s="2" t="str">
        <f>HYPERLINK("http://dx.doi.org/10.1023/A:1019042003685","http://dx.doi.org/10.1023/A:1019042003685")</f>
        <v>http://dx.doi.org/10.1023/A:1019042003685</v>
      </c>
      <c r="BG726" s="1" t="s">
        <v>74</v>
      </c>
      <c r="BH726" s="1" t="s">
        <v>74</v>
      </c>
      <c r="BI726" s="1" t="s">
        <v>74</v>
      </c>
      <c r="BJ726" s="1" t="s">
        <v>74</v>
      </c>
      <c r="BK726" s="1" t="s">
        <v>74</v>
      </c>
      <c r="BL726" s="1" t="s">
        <v>74</v>
      </c>
      <c r="BM726" s="1" t="s">
        <v>74</v>
      </c>
      <c r="BN726" s="1" t="s">
        <v>74</v>
      </c>
      <c r="BO726" s="1" t="s">
        <v>74</v>
      </c>
      <c r="BP726" s="1" t="s">
        <v>74</v>
      </c>
      <c r="BQ726" s="1" t="s">
        <v>74</v>
      </c>
      <c r="BR726" s="1" t="s">
        <v>74</v>
      </c>
      <c r="BS726" s="1" t="s">
        <v>6881</v>
      </c>
      <c r="BT726" s="1" t="str">
        <f>HYPERLINK("https%3A%2F%2Fwww.webofscience.com%2Fwos%2Fwoscc%2Ffull-record%2FWOS:000078510300012","View Full Record in Web of Science")</f>
        <v>View Full Record in Web of Science</v>
      </c>
    </row>
    <row r="727" ht="12.75" customHeight="1">
      <c r="A727" s="1" t="s">
        <v>72</v>
      </c>
      <c r="B727" s="1" t="s">
        <v>6882</v>
      </c>
      <c r="C727" s="1" t="s">
        <v>74</v>
      </c>
      <c r="D727" s="1" t="s">
        <v>74</v>
      </c>
      <c r="E727" s="1" t="s">
        <v>74</v>
      </c>
      <c r="F727" s="1" t="s">
        <v>6882</v>
      </c>
      <c r="G727" s="1" t="s">
        <v>74</v>
      </c>
      <c r="H727" s="1" t="s">
        <v>74</v>
      </c>
      <c r="I727" s="1" t="s">
        <v>6883</v>
      </c>
      <c r="J727" s="1" t="s">
        <v>326</v>
      </c>
      <c r="K727" s="1" t="s">
        <v>74</v>
      </c>
      <c r="L727" s="1" t="s">
        <v>74</v>
      </c>
      <c r="M727" s="1" t="s">
        <v>74</v>
      </c>
      <c r="N727" s="1" t="s">
        <v>74</v>
      </c>
      <c r="O727" s="1" t="s">
        <v>74</v>
      </c>
      <c r="P727" s="1" t="s">
        <v>74</v>
      </c>
      <c r="Q727" s="1" t="s">
        <v>74</v>
      </c>
      <c r="R727" s="1" t="s">
        <v>74</v>
      </c>
      <c r="S727" s="1" t="s">
        <v>74</v>
      </c>
      <c r="T727" s="1" t="s">
        <v>74</v>
      </c>
      <c r="U727" s="1" t="s">
        <v>74</v>
      </c>
      <c r="V727" s="1" t="s">
        <v>6884</v>
      </c>
      <c r="W727" s="1" t="s">
        <v>74</v>
      </c>
      <c r="X727" s="1" t="s">
        <v>74</v>
      </c>
      <c r="Y727" s="1" t="s">
        <v>74</v>
      </c>
      <c r="Z727" s="1" t="s">
        <v>74</v>
      </c>
      <c r="AA727" s="1" t="s">
        <v>74</v>
      </c>
      <c r="AB727" s="1" t="s">
        <v>74</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330</v>
      </c>
      <c r="AP727" s="1" t="s">
        <v>74</v>
      </c>
      <c r="AQ727" s="1" t="s">
        <v>74</v>
      </c>
      <c r="AR727" s="1" t="s">
        <v>74</v>
      </c>
      <c r="AS727" s="1" t="s">
        <v>74</v>
      </c>
      <c r="AT727" s="1" t="s">
        <v>74</v>
      </c>
      <c r="AU727" s="1">
        <v>1998.0</v>
      </c>
      <c r="AV727" s="1">
        <v>44.0</v>
      </c>
      <c r="AW727" s="1" t="s">
        <v>6885</v>
      </c>
      <c r="AX727" s="1" t="s">
        <v>74</v>
      </c>
      <c r="AY727" s="1" t="s">
        <v>74</v>
      </c>
      <c r="AZ727" s="1" t="s">
        <v>74</v>
      </c>
      <c r="BA727" s="1" t="s">
        <v>74</v>
      </c>
      <c r="BB727" s="1">
        <v>1491.0</v>
      </c>
      <c r="BC727" s="1">
        <v>1497.0</v>
      </c>
      <c r="BD727" s="1" t="s">
        <v>74</v>
      </c>
      <c r="BE727" s="1" t="s">
        <v>6886</v>
      </c>
      <c r="BF727" s="2" t="str">
        <f>HYPERLINK("http://dx.doi.org/10.1016/S0013-4686(98)00272-2","http://dx.doi.org/10.1016/S0013-4686(98)00272-2")</f>
        <v>http://dx.doi.org/10.1016/S0013-4686(98)00272-2</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6887</v>
      </c>
      <c r="BT727" s="1" t="str">
        <f>HYPERLINK("https%3A%2F%2Fwww.webofscience.com%2Fwos%2Fwoscc%2Ffull-record%2FWOS:000077559300025","View Full Record in Web of Science")</f>
        <v>View Full Record in Web of Science</v>
      </c>
    </row>
    <row r="728" ht="12.75" customHeight="1">
      <c r="A728" s="1" t="s">
        <v>72</v>
      </c>
      <c r="B728" s="1" t="s">
        <v>6888</v>
      </c>
      <c r="C728" s="1" t="s">
        <v>74</v>
      </c>
      <c r="D728" s="1" t="s">
        <v>74</v>
      </c>
      <c r="E728" s="1" t="s">
        <v>74</v>
      </c>
      <c r="F728" s="1" t="s">
        <v>6888</v>
      </c>
      <c r="G728" s="1" t="s">
        <v>74</v>
      </c>
      <c r="H728" s="1" t="s">
        <v>74</v>
      </c>
      <c r="I728" s="1" t="s">
        <v>6889</v>
      </c>
      <c r="J728" s="1" t="s">
        <v>6890</v>
      </c>
      <c r="K728" s="1" t="s">
        <v>74</v>
      </c>
      <c r="L728" s="1" t="s">
        <v>74</v>
      </c>
      <c r="M728" s="1" t="s">
        <v>74</v>
      </c>
      <c r="N728" s="1" t="s">
        <v>74</v>
      </c>
      <c r="O728" s="1" t="s">
        <v>74</v>
      </c>
      <c r="P728" s="1" t="s">
        <v>74</v>
      </c>
      <c r="Q728" s="1" t="s">
        <v>74</v>
      </c>
      <c r="R728" s="1" t="s">
        <v>74</v>
      </c>
      <c r="S728" s="1" t="s">
        <v>74</v>
      </c>
      <c r="T728" s="1" t="s">
        <v>74</v>
      </c>
      <c r="U728" s="1" t="s">
        <v>74</v>
      </c>
      <c r="V728" s="1" t="s">
        <v>6891</v>
      </c>
      <c r="W728" s="1" t="s">
        <v>74</v>
      </c>
      <c r="X728" s="1" t="s">
        <v>74</v>
      </c>
      <c r="Y728" s="1" t="s">
        <v>74</v>
      </c>
      <c r="Z728" s="1" t="s">
        <v>74</v>
      </c>
      <c r="AA728" s="1" t="s">
        <v>74</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6892</v>
      </c>
      <c r="AP728" s="1" t="s">
        <v>6893</v>
      </c>
      <c r="AQ728" s="1" t="s">
        <v>74</v>
      </c>
      <c r="AR728" s="1" t="s">
        <v>74</v>
      </c>
      <c r="AS728" s="1" t="s">
        <v>74</v>
      </c>
      <c r="AT728" s="1" t="s">
        <v>554</v>
      </c>
      <c r="AU728" s="1">
        <v>1997.0</v>
      </c>
      <c r="AV728" s="1">
        <v>46.0</v>
      </c>
      <c r="AW728" s="1">
        <v>6.0</v>
      </c>
      <c r="AX728" s="1" t="s">
        <v>74</v>
      </c>
      <c r="AY728" s="1" t="s">
        <v>74</v>
      </c>
      <c r="AZ728" s="1" t="s">
        <v>74</v>
      </c>
      <c r="BA728" s="1" t="s">
        <v>74</v>
      </c>
      <c r="BB728" s="1">
        <v>644.0</v>
      </c>
      <c r="BC728" s="1">
        <v>649.0</v>
      </c>
      <c r="BD728" s="1" t="s">
        <v>74</v>
      </c>
      <c r="BE728" s="1" t="s">
        <v>6894</v>
      </c>
      <c r="BF728" s="2" t="str">
        <f>HYPERLINK("http://dx.doi.org/10.1016/S0026-0495(97)90007-X","http://dx.doi.org/10.1016/S0026-0495(97)90007-X")</f>
        <v>http://dx.doi.org/10.1016/S0026-0495(97)90007-X</v>
      </c>
      <c r="BG728" s="1" t="s">
        <v>74</v>
      </c>
      <c r="BH728" s="1" t="s">
        <v>74</v>
      </c>
      <c r="BI728" s="1" t="s">
        <v>74</v>
      </c>
      <c r="BJ728" s="1" t="s">
        <v>74</v>
      </c>
      <c r="BK728" s="1" t="s">
        <v>74</v>
      </c>
      <c r="BL728" s="1" t="s">
        <v>74</v>
      </c>
      <c r="BM728" s="1" t="s">
        <v>74</v>
      </c>
      <c r="BN728" s="1">
        <v>9186299.0</v>
      </c>
      <c r="BO728" s="1" t="s">
        <v>74</v>
      </c>
      <c r="BP728" s="1" t="s">
        <v>74</v>
      </c>
      <c r="BQ728" s="1" t="s">
        <v>74</v>
      </c>
      <c r="BR728" s="1" t="s">
        <v>74</v>
      </c>
      <c r="BS728" s="1" t="s">
        <v>6895</v>
      </c>
      <c r="BT728" s="1" t="str">
        <f>HYPERLINK("https%3A%2F%2Fwww.webofscience.com%2Fwos%2Fwoscc%2Ffull-record%2FWOS:A1997XC87300008","View Full Record in Web of Science")</f>
        <v>View Full Record in Web of Science</v>
      </c>
    </row>
    <row r="729" ht="12.75" customHeight="1">
      <c r="A729" s="1" t="s">
        <v>72</v>
      </c>
      <c r="B729" s="1" t="s">
        <v>6896</v>
      </c>
      <c r="C729" s="1" t="s">
        <v>74</v>
      </c>
      <c r="D729" s="1" t="s">
        <v>74</v>
      </c>
      <c r="E729" s="1" t="s">
        <v>74</v>
      </c>
      <c r="F729" s="1" t="s">
        <v>6896</v>
      </c>
      <c r="G729" s="1" t="s">
        <v>74</v>
      </c>
      <c r="H729" s="1" t="s">
        <v>74</v>
      </c>
      <c r="I729" s="1" t="s">
        <v>6897</v>
      </c>
      <c r="J729" s="1" t="s">
        <v>326</v>
      </c>
      <c r="K729" s="1" t="s">
        <v>74</v>
      </c>
      <c r="L729" s="1" t="s">
        <v>74</v>
      </c>
      <c r="M729" s="1" t="s">
        <v>74</v>
      </c>
      <c r="N729" s="1" t="s">
        <v>74</v>
      </c>
      <c r="O729" s="1" t="s">
        <v>74</v>
      </c>
      <c r="P729" s="1" t="s">
        <v>74</v>
      </c>
      <c r="Q729" s="1" t="s">
        <v>74</v>
      </c>
      <c r="R729" s="1" t="s">
        <v>74</v>
      </c>
      <c r="S729" s="1" t="s">
        <v>74</v>
      </c>
      <c r="T729" s="1" t="s">
        <v>74</v>
      </c>
      <c r="U729" s="1" t="s">
        <v>74</v>
      </c>
      <c r="V729" s="1" t="s">
        <v>6898</v>
      </c>
      <c r="W729" s="1" t="s">
        <v>74</v>
      </c>
      <c r="X729" s="1" t="s">
        <v>74</v>
      </c>
      <c r="Y729" s="1" t="s">
        <v>74</v>
      </c>
      <c r="Z729" s="1" t="s">
        <v>74</v>
      </c>
      <c r="AA729" s="1" t="s">
        <v>6899</v>
      </c>
      <c r="AB729" s="1" t="s">
        <v>74</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330</v>
      </c>
      <c r="AP729" s="1" t="s">
        <v>74</v>
      </c>
      <c r="AQ729" s="1" t="s">
        <v>74</v>
      </c>
      <c r="AR729" s="1" t="s">
        <v>74</v>
      </c>
      <c r="AS729" s="1" t="s">
        <v>74</v>
      </c>
      <c r="AT729" s="1" t="s">
        <v>74</v>
      </c>
      <c r="AU729" s="1">
        <v>1997.0</v>
      </c>
      <c r="AV729" s="1">
        <v>42.0</v>
      </c>
      <c r="AW729" s="1">
        <v>2.0</v>
      </c>
      <c r="AX729" s="1" t="s">
        <v>74</v>
      </c>
      <c r="AY729" s="1" t="s">
        <v>74</v>
      </c>
      <c r="AZ729" s="1" t="s">
        <v>74</v>
      </c>
      <c r="BA729" s="1" t="s">
        <v>74</v>
      </c>
      <c r="BB729" s="1">
        <v>197.0</v>
      </c>
      <c r="BC729" s="1">
        <v>202.0</v>
      </c>
      <c r="BD729" s="1" t="s">
        <v>74</v>
      </c>
      <c r="BE729" s="1" t="s">
        <v>6900</v>
      </c>
      <c r="BF729" s="2" t="str">
        <f>HYPERLINK("http://dx.doi.org/10.1016/0013-4686(96)00144-2","http://dx.doi.org/10.1016/0013-4686(96)00144-2")</f>
        <v>http://dx.doi.org/10.1016/0013-4686(96)00144-2</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6901</v>
      </c>
      <c r="BT729" s="1" t="str">
        <f>HYPERLINK("https%3A%2F%2Fwww.webofscience.com%2Fwos%2Fwoscc%2Ffull-record%2FWOS:A1997VT64100004","View Full Record in Web of Science")</f>
        <v>View Full Record in Web of Science</v>
      </c>
    </row>
    <row r="730" ht="12.75" customHeight="1">
      <c r="A730" s="1" t="s">
        <v>72</v>
      </c>
      <c r="B730" s="1" t="s">
        <v>6902</v>
      </c>
      <c r="C730" s="1" t="s">
        <v>74</v>
      </c>
      <c r="D730" s="1" t="s">
        <v>74</v>
      </c>
      <c r="E730" s="1" t="s">
        <v>74</v>
      </c>
      <c r="F730" s="1" t="s">
        <v>6902</v>
      </c>
      <c r="G730" s="1" t="s">
        <v>74</v>
      </c>
      <c r="H730" s="1" t="s">
        <v>74</v>
      </c>
      <c r="I730" s="1" t="s">
        <v>6903</v>
      </c>
      <c r="J730" s="1" t="s">
        <v>6904</v>
      </c>
      <c r="K730" s="1" t="s">
        <v>74</v>
      </c>
      <c r="L730" s="1" t="s">
        <v>74</v>
      </c>
      <c r="M730" s="1" t="s">
        <v>74</v>
      </c>
      <c r="N730" s="1" t="s">
        <v>74</v>
      </c>
      <c r="O730" s="1" t="s">
        <v>74</v>
      </c>
      <c r="P730" s="1" t="s">
        <v>74</v>
      </c>
      <c r="Q730" s="1" t="s">
        <v>74</v>
      </c>
      <c r="R730" s="1" t="s">
        <v>74</v>
      </c>
      <c r="S730" s="1" t="s">
        <v>74</v>
      </c>
      <c r="T730" s="1" t="s">
        <v>74</v>
      </c>
      <c r="U730" s="1" t="s">
        <v>74</v>
      </c>
      <c r="V730" s="1" t="s">
        <v>74</v>
      </c>
      <c r="W730" s="1" t="s">
        <v>74</v>
      </c>
      <c r="X730" s="1" t="s">
        <v>74</v>
      </c>
      <c r="Y730" s="1" t="s">
        <v>74</v>
      </c>
      <c r="Z730" s="1" t="s">
        <v>74</v>
      </c>
      <c r="AA730" s="1" t="s">
        <v>6905</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6906</v>
      </c>
      <c r="AP730" s="1" t="s">
        <v>74</v>
      </c>
      <c r="AQ730" s="1" t="s">
        <v>74</v>
      </c>
      <c r="AR730" s="1" t="s">
        <v>74</v>
      </c>
      <c r="AS730" s="1" t="s">
        <v>74</v>
      </c>
      <c r="AT730" s="1" t="s">
        <v>698</v>
      </c>
      <c r="AU730" s="1">
        <v>1994.0</v>
      </c>
      <c r="AV730" s="1">
        <v>22.0</v>
      </c>
      <c r="AW730" s="1">
        <v>12.0</v>
      </c>
      <c r="AX730" s="1" t="s">
        <v>74</v>
      </c>
      <c r="AY730" s="1" t="s">
        <v>74</v>
      </c>
      <c r="AZ730" s="1" t="s">
        <v>74</v>
      </c>
      <c r="BA730" s="1" t="s">
        <v>74</v>
      </c>
      <c r="BB730" s="1">
        <v>887.0</v>
      </c>
      <c r="BC730" s="1">
        <v>890.0</v>
      </c>
      <c r="BD730" s="1" t="s">
        <v>74</v>
      </c>
      <c r="BE730" s="1" t="s">
        <v>74</v>
      </c>
      <c r="BF730" s="1" t="s">
        <v>74</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6907</v>
      </c>
      <c r="BT730" s="1" t="str">
        <f>HYPERLINK("https%3A%2F%2Fwww.webofscience.com%2Fwos%2Fwoscc%2Ffull-record%2FWOS:A1994QB74900021","View Full Record in Web of Science")</f>
        <v>View Full Record in Web of Science</v>
      </c>
    </row>
    <row r="731" ht="12.75" customHeight="1">
      <c r="A731" s="1" t="s">
        <v>72</v>
      </c>
      <c r="B731" s="1" t="s">
        <v>6908</v>
      </c>
      <c r="C731" s="1" t="s">
        <v>74</v>
      </c>
      <c r="D731" s="1" t="s">
        <v>74</v>
      </c>
      <c r="E731" s="1" t="s">
        <v>74</v>
      </c>
      <c r="F731" s="1" t="s">
        <v>6908</v>
      </c>
      <c r="G731" s="1" t="s">
        <v>74</v>
      </c>
      <c r="H731" s="1" t="s">
        <v>74</v>
      </c>
      <c r="I731" s="1" t="s">
        <v>6909</v>
      </c>
      <c r="J731" s="1" t="s">
        <v>5721</v>
      </c>
      <c r="K731" s="1" t="s">
        <v>74</v>
      </c>
      <c r="L731" s="1" t="s">
        <v>74</v>
      </c>
      <c r="M731" s="1" t="s">
        <v>74</v>
      </c>
      <c r="N731" s="1" t="s">
        <v>74</v>
      </c>
      <c r="O731" s="1" t="s">
        <v>74</v>
      </c>
      <c r="P731" s="1" t="s">
        <v>74</v>
      </c>
      <c r="Q731" s="1" t="s">
        <v>74</v>
      </c>
      <c r="R731" s="1" t="s">
        <v>74</v>
      </c>
      <c r="S731" s="1" t="s">
        <v>74</v>
      </c>
      <c r="T731" s="1" t="s">
        <v>74</v>
      </c>
      <c r="U731" s="1" t="s">
        <v>74</v>
      </c>
      <c r="V731" s="1" t="s">
        <v>6910</v>
      </c>
      <c r="W731" s="1" t="s">
        <v>74</v>
      </c>
      <c r="X731" s="1" t="s">
        <v>74</v>
      </c>
      <c r="Y731" s="1" t="s">
        <v>74</v>
      </c>
      <c r="Z731" s="1" t="s">
        <v>74</v>
      </c>
      <c r="AA731" s="1" t="s">
        <v>74</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5725</v>
      </c>
      <c r="AP731" s="1" t="s">
        <v>5726</v>
      </c>
      <c r="AQ731" s="1" t="s">
        <v>74</v>
      </c>
      <c r="AR731" s="1" t="s">
        <v>74</v>
      </c>
      <c r="AS731" s="1" t="s">
        <v>74</v>
      </c>
      <c r="AT731" s="1" t="s">
        <v>74</v>
      </c>
      <c r="AU731" s="1">
        <v>1984.0</v>
      </c>
      <c r="AV731" s="1">
        <v>49.0</v>
      </c>
      <c r="AW731" s="1">
        <v>1.0</v>
      </c>
      <c r="AX731" s="1" t="s">
        <v>74</v>
      </c>
      <c r="AY731" s="1" t="s">
        <v>74</v>
      </c>
      <c r="AZ731" s="1" t="s">
        <v>74</v>
      </c>
      <c r="BA731" s="1" t="s">
        <v>74</v>
      </c>
      <c r="BB731" s="1">
        <v>14.0</v>
      </c>
      <c r="BC731" s="1" t="s">
        <v>1164</v>
      </c>
      <c r="BD731" s="1" t="s">
        <v>74</v>
      </c>
      <c r="BE731" s="1" t="s">
        <v>6911</v>
      </c>
      <c r="BF731" s="2" t="str">
        <f>HYPERLINK("http://dx.doi.org/10.1111/j.1365-2621.1984.tb13657.x","http://dx.doi.org/10.1111/j.1365-2621.1984.tb13657.x")</f>
        <v>http://dx.doi.org/10.1111/j.1365-2621.1984.tb13657.x</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6912</v>
      </c>
      <c r="BT731" s="1" t="str">
        <f>HYPERLINK("https%3A%2F%2Fwww.webofscience.com%2Fwos%2Fwoscc%2Ffull-record%2FWOS:A1984SD41600004","View Full Record in Web of Science")</f>
        <v>View Full Record in Web of Science</v>
      </c>
    </row>
    <row r="732" ht="12.75" customHeight="1">
      <c r="A732" s="1" t="s">
        <v>72</v>
      </c>
      <c r="B732" s="1" t="s">
        <v>6913</v>
      </c>
      <c r="C732" s="1" t="s">
        <v>74</v>
      </c>
      <c r="D732" s="1" t="s">
        <v>74</v>
      </c>
      <c r="E732" s="1" t="s">
        <v>74</v>
      </c>
      <c r="F732" s="1" t="s">
        <v>6914</v>
      </c>
      <c r="G732" s="1" t="s">
        <v>74</v>
      </c>
      <c r="H732" s="1" t="s">
        <v>74</v>
      </c>
      <c r="I732" s="1" t="s">
        <v>6915</v>
      </c>
      <c r="J732" s="1" t="s">
        <v>6916</v>
      </c>
      <c r="K732" s="1" t="s">
        <v>74</v>
      </c>
      <c r="L732" s="1" t="s">
        <v>74</v>
      </c>
      <c r="M732" s="1" t="s">
        <v>74</v>
      </c>
      <c r="N732" s="1" t="s">
        <v>74</v>
      </c>
      <c r="O732" s="1" t="s">
        <v>74</v>
      </c>
      <c r="P732" s="1" t="s">
        <v>74</v>
      </c>
      <c r="Q732" s="1" t="s">
        <v>74</v>
      </c>
      <c r="R732" s="1" t="s">
        <v>74</v>
      </c>
      <c r="S732" s="1" t="s">
        <v>74</v>
      </c>
      <c r="T732" s="1" t="s">
        <v>74</v>
      </c>
      <c r="U732" s="1" t="s">
        <v>74</v>
      </c>
      <c r="V732" s="1" t="s">
        <v>6917</v>
      </c>
      <c r="W732" s="1" t="s">
        <v>74</v>
      </c>
      <c r="X732" s="1" t="s">
        <v>74</v>
      </c>
      <c r="Y732" s="1" t="s">
        <v>74</v>
      </c>
      <c r="Z732" s="1" t="s">
        <v>74</v>
      </c>
      <c r="AA732" s="1" t="s">
        <v>6918</v>
      </c>
      <c r="AB732" s="1" t="s">
        <v>74</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6919</v>
      </c>
      <c r="AP732" s="1" t="s">
        <v>6920</v>
      </c>
      <c r="AQ732" s="1" t="s">
        <v>74</v>
      </c>
      <c r="AR732" s="1" t="s">
        <v>74</v>
      </c>
      <c r="AS732" s="1" t="s">
        <v>74</v>
      </c>
      <c r="AT732" s="1" t="s">
        <v>187</v>
      </c>
      <c r="AU732" s="1">
        <v>2025.0</v>
      </c>
      <c r="AV732" s="1">
        <v>371.0</v>
      </c>
      <c r="AW732" s="1" t="s">
        <v>74</v>
      </c>
      <c r="AX732" s="1" t="s">
        <v>74</v>
      </c>
      <c r="AY732" s="1" t="s">
        <v>74</v>
      </c>
      <c r="AZ732" s="1" t="s">
        <v>74</v>
      </c>
      <c r="BA732" s="1" t="s">
        <v>74</v>
      </c>
      <c r="BB732" s="1" t="s">
        <v>74</v>
      </c>
      <c r="BC732" s="1" t="s">
        <v>74</v>
      </c>
      <c r="BD732" s="1">
        <v>117717.0</v>
      </c>
      <c r="BE732" s="1" t="s">
        <v>6921</v>
      </c>
      <c r="BF732" s="2" t="str">
        <f>HYPERLINK("http://dx.doi.org/10.1016/j.socscimed.2025.117717","http://dx.doi.org/10.1016/j.socscimed.2025.117717")</f>
        <v>http://dx.doi.org/10.1016/j.socscimed.2025.117717</v>
      </c>
      <c r="BG732" s="1" t="s">
        <v>74</v>
      </c>
      <c r="BH732" s="1" t="s">
        <v>2046</v>
      </c>
      <c r="BI732" s="1" t="s">
        <v>74</v>
      </c>
      <c r="BJ732" s="1" t="s">
        <v>74</v>
      </c>
      <c r="BK732" s="1" t="s">
        <v>74</v>
      </c>
      <c r="BL732" s="1" t="s">
        <v>74</v>
      </c>
      <c r="BM732" s="1" t="s">
        <v>74</v>
      </c>
      <c r="BN732" s="1">
        <v>4.0023898E7</v>
      </c>
      <c r="BO732" s="1" t="s">
        <v>74</v>
      </c>
      <c r="BP732" s="1" t="s">
        <v>74</v>
      </c>
      <c r="BQ732" s="1" t="s">
        <v>74</v>
      </c>
      <c r="BR732" s="1" t="s">
        <v>74</v>
      </c>
      <c r="BS732" s="1" t="s">
        <v>6922</v>
      </c>
      <c r="BT732" s="1" t="str">
        <f>HYPERLINK("https%3A%2F%2Fwww.webofscience.com%2Fwos%2Fwoscc%2Ffull-record%2FWOS:001437849600001","View Full Record in Web of Science")</f>
        <v>View Full Record in Web of Science</v>
      </c>
    </row>
    <row r="733" ht="12.75" customHeight="1">
      <c r="A733" s="1" t="s">
        <v>72</v>
      </c>
      <c r="B733" s="1" t="s">
        <v>6923</v>
      </c>
      <c r="C733" s="1" t="s">
        <v>74</v>
      </c>
      <c r="D733" s="1" t="s">
        <v>74</v>
      </c>
      <c r="E733" s="1" t="s">
        <v>74</v>
      </c>
      <c r="F733" s="1" t="s">
        <v>6924</v>
      </c>
      <c r="G733" s="1" t="s">
        <v>74</v>
      </c>
      <c r="H733" s="1" t="s">
        <v>74</v>
      </c>
      <c r="I733" s="1" t="s">
        <v>6925</v>
      </c>
      <c r="J733" s="1" t="s">
        <v>4553</v>
      </c>
      <c r="K733" s="1" t="s">
        <v>74</v>
      </c>
      <c r="L733" s="1" t="s">
        <v>74</v>
      </c>
      <c r="M733" s="1" t="s">
        <v>74</v>
      </c>
      <c r="N733" s="1" t="s">
        <v>74</v>
      </c>
      <c r="O733" s="1" t="s">
        <v>74</v>
      </c>
      <c r="P733" s="1" t="s">
        <v>74</v>
      </c>
      <c r="Q733" s="1" t="s">
        <v>74</v>
      </c>
      <c r="R733" s="1" t="s">
        <v>74</v>
      </c>
      <c r="S733" s="1" t="s">
        <v>74</v>
      </c>
      <c r="T733" s="1" t="s">
        <v>74</v>
      </c>
      <c r="U733" s="1" t="s">
        <v>74</v>
      </c>
      <c r="V733" s="1" t="s">
        <v>6926</v>
      </c>
      <c r="W733" s="1" t="s">
        <v>74</v>
      </c>
      <c r="X733" s="1" t="s">
        <v>74</v>
      </c>
      <c r="Y733" s="1" t="s">
        <v>74</v>
      </c>
      <c r="Z733" s="1" t="s">
        <v>74</v>
      </c>
      <c r="AA733" s="1" t="s">
        <v>4587</v>
      </c>
      <c r="AB733" s="1" t="s">
        <v>4556</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4557</v>
      </c>
      <c r="AP733" s="1" t="s">
        <v>4558</v>
      </c>
      <c r="AQ733" s="1" t="s">
        <v>74</v>
      </c>
      <c r="AR733" s="1" t="s">
        <v>74</v>
      </c>
      <c r="AS733" s="1" t="s">
        <v>74</v>
      </c>
      <c r="AT733" s="1" t="s">
        <v>6927</v>
      </c>
      <c r="AU733" s="1">
        <v>2025.0</v>
      </c>
      <c r="AV733" s="1" t="s">
        <v>74</v>
      </c>
      <c r="AW733" s="1" t="s">
        <v>74</v>
      </c>
      <c r="AX733" s="1" t="s">
        <v>74</v>
      </c>
      <c r="AY733" s="1" t="s">
        <v>74</v>
      </c>
      <c r="AZ733" s="1" t="s">
        <v>74</v>
      </c>
      <c r="BA733" s="1" t="s">
        <v>74</v>
      </c>
      <c r="BB733" s="1" t="s">
        <v>74</v>
      </c>
      <c r="BC733" s="1" t="s">
        <v>74</v>
      </c>
      <c r="BD733" s="1" t="s">
        <v>74</v>
      </c>
      <c r="BE733" s="1" t="s">
        <v>6928</v>
      </c>
      <c r="BF733" s="2" t="str">
        <f>HYPERLINK("http://dx.doi.org/10.1089/tmj.2024.0317","http://dx.doi.org/10.1089/tmj.2024.0317")</f>
        <v>http://dx.doi.org/10.1089/tmj.2024.0317</v>
      </c>
      <c r="BG733" s="1" t="s">
        <v>74</v>
      </c>
      <c r="BH733" s="1" t="s">
        <v>85</v>
      </c>
      <c r="BI733" s="1" t="s">
        <v>74</v>
      </c>
      <c r="BJ733" s="1" t="s">
        <v>74</v>
      </c>
      <c r="BK733" s="1" t="s">
        <v>74</v>
      </c>
      <c r="BL733" s="1" t="s">
        <v>74</v>
      </c>
      <c r="BM733" s="1" t="s">
        <v>74</v>
      </c>
      <c r="BN733" s="1">
        <v>3.9882756E7</v>
      </c>
      <c r="BO733" s="1" t="s">
        <v>74</v>
      </c>
      <c r="BP733" s="1" t="s">
        <v>74</v>
      </c>
      <c r="BQ733" s="1" t="s">
        <v>74</v>
      </c>
      <c r="BR733" s="1" t="s">
        <v>74</v>
      </c>
      <c r="BS733" s="1" t="s">
        <v>6929</v>
      </c>
      <c r="BT733" s="1" t="str">
        <f>HYPERLINK("https%3A%2F%2Fwww.webofscience.com%2Fwos%2Fwoscc%2Ffull-record%2FWOS:001410859500001","View Full Record in Web of Science")</f>
        <v>View Full Record in Web of Science</v>
      </c>
    </row>
    <row r="734" ht="12.75" customHeight="1">
      <c r="A734" s="1" t="s">
        <v>475</v>
      </c>
      <c r="B734" s="1" t="s">
        <v>6930</v>
      </c>
      <c r="C734" s="1" t="s">
        <v>74</v>
      </c>
      <c r="D734" s="1" t="s">
        <v>6931</v>
      </c>
      <c r="E734" s="1" t="s">
        <v>74</v>
      </c>
      <c r="F734" s="1" t="s">
        <v>6932</v>
      </c>
      <c r="G734" s="1" t="s">
        <v>74</v>
      </c>
      <c r="H734" s="1" t="s">
        <v>74</v>
      </c>
      <c r="I734" s="1" t="s">
        <v>6933</v>
      </c>
      <c r="J734" s="1" t="s">
        <v>6934</v>
      </c>
      <c r="K734" s="1" t="s">
        <v>6935</v>
      </c>
      <c r="L734" s="1" t="s">
        <v>74</v>
      </c>
      <c r="M734" s="1" t="s">
        <v>74</v>
      </c>
      <c r="N734" s="1" t="s">
        <v>74</v>
      </c>
      <c r="O734" s="1" t="s">
        <v>74</v>
      </c>
      <c r="P734" s="1" t="s">
        <v>74</v>
      </c>
      <c r="Q734" s="1" t="s">
        <v>74</v>
      </c>
      <c r="R734" s="1" t="s">
        <v>74</v>
      </c>
      <c r="S734" s="1" t="s">
        <v>74</v>
      </c>
      <c r="T734" s="1" t="s">
        <v>74</v>
      </c>
      <c r="U734" s="1" t="s">
        <v>74</v>
      </c>
      <c r="V734" s="1" t="s">
        <v>6936</v>
      </c>
      <c r="W734" s="1" t="s">
        <v>74</v>
      </c>
      <c r="X734" s="1" t="s">
        <v>74</v>
      </c>
      <c r="Y734" s="1" t="s">
        <v>74</v>
      </c>
      <c r="Z734" s="1" t="s">
        <v>74</v>
      </c>
      <c r="AA734" s="1" t="s">
        <v>74</v>
      </c>
      <c r="AB734" s="1" t="s">
        <v>74</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6937</v>
      </c>
      <c r="AP734" s="1" t="s">
        <v>74</v>
      </c>
      <c r="AQ734" s="1" t="s">
        <v>6938</v>
      </c>
      <c r="AR734" s="1" t="s">
        <v>74</v>
      </c>
      <c r="AS734" s="1" t="s">
        <v>74</v>
      </c>
      <c r="AT734" s="1" t="s">
        <v>74</v>
      </c>
      <c r="AU734" s="1">
        <v>2024.0</v>
      </c>
      <c r="AV734" s="1">
        <v>697.0</v>
      </c>
      <c r="AW734" s="1" t="s">
        <v>74</v>
      </c>
      <c r="AX734" s="1" t="s">
        <v>74</v>
      </c>
      <c r="AY734" s="1" t="s">
        <v>74</v>
      </c>
      <c r="AZ734" s="1" t="s">
        <v>74</v>
      </c>
      <c r="BA734" s="1" t="s">
        <v>74</v>
      </c>
      <c r="BB734" s="1">
        <v>269.0</v>
      </c>
      <c r="BC734" s="1">
        <v>291.0</v>
      </c>
      <c r="BD734" s="1" t="s">
        <v>74</v>
      </c>
      <c r="BE734" s="1" t="s">
        <v>6939</v>
      </c>
      <c r="BF734" s="2" t="str">
        <f>HYPERLINK("http://dx.doi.org/10.1016/bs.mie.2024.01.017","http://dx.doi.org/10.1016/bs.mie.2024.01.017")</f>
        <v>http://dx.doi.org/10.1016/bs.mie.2024.01.017</v>
      </c>
      <c r="BG734" s="1" t="s">
        <v>74</v>
      </c>
      <c r="BH734" s="1" t="s">
        <v>74</v>
      </c>
      <c r="BI734" s="1" t="s">
        <v>74</v>
      </c>
      <c r="BJ734" s="1" t="s">
        <v>74</v>
      </c>
      <c r="BK734" s="1" t="s">
        <v>74</v>
      </c>
      <c r="BL734" s="1" t="s">
        <v>74</v>
      </c>
      <c r="BM734" s="1" t="s">
        <v>74</v>
      </c>
      <c r="BN734" s="1">
        <v>3.8816126E7</v>
      </c>
      <c r="BO734" s="1" t="s">
        <v>74</v>
      </c>
      <c r="BP734" s="1" t="s">
        <v>74</v>
      </c>
      <c r="BQ734" s="1" t="s">
        <v>74</v>
      </c>
      <c r="BR734" s="1" t="s">
        <v>74</v>
      </c>
      <c r="BS734" s="1" t="s">
        <v>6940</v>
      </c>
      <c r="BT734" s="1" t="str">
        <f>HYPERLINK("https%3A%2F%2Fwww.webofscience.com%2Fwos%2Fwoscc%2Ffull-record%2FWOS:001297377800012","View Full Record in Web of Science")</f>
        <v>View Full Record in Web of Science</v>
      </c>
    </row>
    <row r="735" ht="12.75" customHeight="1">
      <c r="A735" s="1" t="s">
        <v>72</v>
      </c>
      <c r="B735" s="1" t="s">
        <v>6941</v>
      </c>
      <c r="C735" s="1" t="s">
        <v>74</v>
      </c>
      <c r="D735" s="1" t="s">
        <v>74</v>
      </c>
      <c r="E735" s="1" t="s">
        <v>74</v>
      </c>
      <c r="F735" s="1" t="s">
        <v>6942</v>
      </c>
      <c r="G735" s="1" t="s">
        <v>74</v>
      </c>
      <c r="H735" s="1" t="s">
        <v>74</v>
      </c>
      <c r="I735" s="1" t="s">
        <v>6943</v>
      </c>
      <c r="J735" s="1" t="s">
        <v>6944</v>
      </c>
      <c r="K735" s="1" t="s">
        <v>74</v>
      </c>
      <c r="L735" s="1" t="s">
        <v>74</v>
      </c>
      <c r="M735" s="1" t="s">
        <v>74</v>
      </c>
      <c r="N735" s="1" t="s">
        <v>74</v>
      </c>
      <c r="O735" s="1" t="s">
        <v>74</v>
      </c>
      <c r="P735" s="1" t="s">
        <v>74</v>
      </c>
      <c r="Q735" s="1" t="s">
        <v>74</v>
      </c>
      <c r="R735" s="1" t="s">
        <v>74</v>
      </c>
      <c r="S735" s="1" t="s">
        <v>74</v>
      </c>
      <c r="T735" s="1" t="s">
        <v>74</v>
      </c>
      <c r="U735" s="1" t="s">
        <v>74</v>
      </c>
      <c r="V735" s="1" t="s">
        <v>6945</v>
      </c>
      <c r="W735" s="1" t="s">
        <v>74</v>
      </c>
      <c r="X735" s="1" t="s">
        <v>74</v>
      </c>
      <c r="Y735" s="1" t="s">
        <v>74</v>
      </c>
      <c r="Z735" s="1" t="s">
        <v>74</v>
      </c>
      <c r="AA735" s="1" t="s">
        <v>6946</v>
      </c>
      <c r="AB735" s="1" t="s">
        <v>6947</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74</v>
      </c>
      <c r="AP735" s="1" t="s">
        <v>6948</v>
      </c>
      <c r="AQ735" s="1" t="s">
        <v>74</v>
      </c>
      <c r="AR735" s="1" t="s">
        <v>74</v>
      </c>
      <c r="AS735" s="1" t="s">
        <v>74</v>
      </c>
      <c r="AT735" s="1" t="s">
        <v>74</v>
      </c>
      <c r="AU735" s="1">
        <v>2024.0</v>
      </c>
      <c r="AV735" s="1">
        <v>5.0</v>
      </c>
      <c r="AW735" s="1" t="s">
        <v>74</v>
      </c>
      <c r="AX735" s="1" t="s">
        <v>74</v>
      </c>
      <c r="AY735" s="1" t="s">
        <v>74</v>
      </c>
      <c r="AZ735" s="1" t="s">
        <v>74</v>
      </c>
      <c r="BA735" s="1" t="s">
        <v>74</v>
      </c>
      <c r="BB735" s="1">
        <v>5323.0</v>
      </c>
      <c r="BC735" s="1">
        <v>5336.0</v>
      </c>
      <c r="BD735" s="1" t="s">
        <v>74</v>
      </c>
      <c r="BE735" s="1" t="s">
        <v>6949</v>
      </c>
      <c r="BF735" s="2" t="str">
        <f>HYPERLINK("http://dx.doi.org/10.1109/OJCOMS.2024.3449633","http://dx.doi.org/10.1109/OJCOMS.2024.3449633")</f>
        <v>http://dx.doi.org/10.1109/OJCOMS.2024.3449633</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6950</v>
      </c>
      <c r="BT735" s="1" t="str">
        <f>HYPERLINK("https%3A%2F%2Fwww.webofscience.com%2Fwos%2Fwoscc%2Ffull-record%2FWOS:001308212800006","View Full Record in Web of Science")</f>
        <v>View Full Record in Web of Science</v>
      </c>
    </row>
    <row r="736" ht="12.75" customHeight="1">
      <c r="A736" s="1" t="s">
        <v>72</v>
      </c>
      <c r="B736" s="1" t="s">
        <v>6951</v>
      </c>
      <c r="C736" s="1" t="s">
        <v>74</v>
      </c>
      <c r="D736" s="1" t="s">
        <v>74</v>
      </c>
      <c r="E736" s="1" t="s">
        <v>74</v>
      </c>
      <c r="F736" s="1" t="s">
        <v>6952</v>
      </c>
      <c r="G736" s="1" t="s">
        <v>74</v>
      </c>
      <c r="H736" s="1" t="s">
        <v>74</v>
      </c>
      <c r="I736" s="1" t="s">
        <v>6953</v>
      </c>
      <c r="J736" s="1" t="s">
        <v>6954</v>
      </c>
      <c r="K736" s="1" t="s">
        <v>74</v>
      </c>
      <c r="L736" s="1" t="s">
        <v>74</v>
      </c>
      <c r="M736" s="1" t="s">
        <v>74</v>
      </c>
      <c r="N736" s="1" t="s">
        <v>74</v>
      </c>
      <c r="O736" s="1" t="s">
        <v>74</v>
      </c>
      <c r="P736" s="1" t="s">
        <v>74</v>
      </c>
      <c r="Q736" s="1" t="s">
        <v>74</v>
      </c>
      <c r="R736" s="1" t="s">
        <v>74</v>
      </c>
      <c r="S736" s="1" t="s">
        <v>74</v>
      </c>
      <c r="T736" s="1" t="s">
        <v>74</v>
      </c>
      <c r="U736" s="1" t="s">
        <v>74</v>
      </c>
      <c r="V736" s="1" t="s">
        <v>6955</v>
      </c>
      <c r="W736" s="1" t="s">
        <v>74</v>
      </c>
      <c r="X736" s="1" t="s">
        <v>74</v>
      </c>
      <c r="Y736" s="1" t="s">
        <v>74</v>
      </c>
      <c r="Z736" s="1" t="s">
        <v>74</v>
      </c>
      <c r="AA736" s="1" t="s">
        <v>6956</v>
      </c>
      <c r="AB736" s="1" t="s">
        <v>6957</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6958</v>
      </c>
      <c r="AP736" s="1" t="s">
        <v>74</v>
      </c>
      <c r="AQ736" s="1" t="s">
        <v>74</v>
      </c>
      <c r="AR736" s="1" t="s">
        <v>74</v>
      </c>
      <c r="AS736" s="1" t="s">
        <v>74</v>
      </c>
      <c r="AT736" s="1" t="s">
        <v>4111</v>
      </c>
      <c r="AU736" s="1">
        <v>2023.0</v>
      </c>
      <c r="AV736" s="1">
        <v>9.0</v>
      </c>
      <c r="AW736" s="1">
        <v>1.0</v>
      </c>
      <c r="AX736" s="1" t="s">
        <v>74</v>
      </c>
      <c r="AY736" s="1" t="s">
        <v>74</v>
      </c>
      <c r="AZ736" s="1" t="s">
        <v>74</v>
      </c>
      <c r="BA736" s="1" t="s">
        <v>74</v>
      </c>
      <c r="BB736" s="1" t="s">
        <v>74</v>
      </c>
      <c r="BC736" s="1" t="s">
        <v>74</v>
      </c>
      <c r="BD736" s="1">
        <v>2221100.0</v>
      </c>
      <c r="BE736" s="1" t="s">
        <v>6959</v>
      </c>
      <c r="BF736" s="2" t="str">
        <f>HYPERLINK("http://dx.doi.org/10.1080/23311886.2023.2221100","http://dx.doi.org/10.1080/23311886.2023.2221100")</f>
        <v>http://dx.doi.org/10.1080/23311886.2023.2221100</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6960</v>
      </c>
      <c r="BT736" s="1" t="str">
        <f>HYPERLINK("https%3A%2F%2Fwww.webofscience.com%2Fwos%2Fwoscc%2Ffull-record%2FWOS:001004678100001","View Full Record in Web of Science")</f>
        <v>View Full Record in Web of Science</v>
      </c>
    </row>
    <row r="737" ht="12.75" customHeight="1">
      <c r="A737" s="1" t="s">
        <v>72</v>
      </c>
      <c r="B737" s="1" t="s">
        <v>6961</v>
      </c>
      <c r="C737" s="1" t="s">
        <v>74</v>
      </c>
      <c r="D737" s="1" t="s">
        <v>74</v>
      </c>
      <c r="E737" s="1" t="s">
        <v>74</v>
      </c>
      <c r="F737" s="1" t="s">
        <v>6962</v>
      </c>
      <c r="G737" s="1" t="s">
        <v>74</v>
      </c>
      <c r="H737" s="1" t="s">
        <v>74</v>
      </c>
      <c r="I737" s="1" t="s">
        <v>6963</v>
      </c>
      <c r="J737" s="1" t="s">
        <v>4602</v>
      </c>
      <c r="K737" s="1" t="s">
        <v>74</v>
      </c>
      <c r="L737" s="1" t="s">
        <v>74</v>
      </c>
      <c r="M737" s="1" t="s">
        <v>74</v>
      </c>
      <c r="N737" s="1" t="s">
        <v>74</v>
      </c>
      <c r="O737" s="1" t="s">
        <v>74</v>
      </c>
      <c r="P737" s="1" t="s">
        <v>74</v>
      </c>
      <c r="Q737" s="1" t="s">
        <v>74</v>
      </c>
      <c r="R737" s="1" t="s">
        <v>74</v>
      </c>
      <c r="S737" s="1" t="s">
        <v>74</v>
      </c>
      <c r="T737" s="1" t="s">
        <v>74</v>
      </c>
      <c r="U737" s="1" t="s">
        <v>74</v>
      </c>
      <c r="V737" s="1" t="s">
        <v>6964</v>
      </c>
      <c r="W737" s="1" t="s">
        <v>74</v>
      </c>
      <c r="X737" s="1" t="s">
        <v>74</v>
      </c>
      <c r="Y737" s="1" t="s">
        <v>74</v>
      </c>
      <c r="Z737" s="1" t="s">
        <v>74</v>
      </c>
      <c r="AA737" s="1" t="s">
        <v>6965</v>
      </c>
      <c r="AB737" s="1" t="s">
        <v>6966</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74</v>
      </c>
      <c r="AP737" s="1" t="s">
        <v>4606</v>
      </c>
      <c r="AQ737" s="1" t="s">
        <v>74</v>
      </c>
      <c r="AR737" s="1" t="s">
        <v>74</v>
      </c>
      <c r="AS737" s="1" t="s">
        <v>74</v>
      </c>
      <c r="AT737" s="1" t="s">
        <v>6967</v>
      </c>
      <c r="AU737" s="1">
        <v>2022.0</v>
      </c>
      <c r="AV737" s="1">
        <v>10.0</v>
      </c>
      <c r="AW737" s="1" t="s">
        <v>74</v>
      </c>
      <c r="AX737" s="1" t="s">
        <v>74</v>
      </c>
      <c r="AY737" s="1" t="s">
        <v>74</v>
      </c>
      <c r="AZ737" s="1" t="s">
        <v>74</v>
      </c>
      <c r="BA737" s="1" t="s">
        <v>74</v>
      </c>
      <c r="BB737" s="1" t="s">
        <v>74</v>
      </c>
      <c r="BC737" s="1" t="s">
        <v>74</v>
      </c>
      <c r="BD737" s="1">
        <v>1011790.0</v>
      </c>
      <c r="BE737" s="1" t="s">
        <v>6968</v>
      </c>
      <c r="BF737" s="2" t="str">
        <f>HYPERLINK("http://dx.doi.org/10.3389/fpubh.2022.1011790","http://dx.doi.org/10.3389/fpubh.2022.1011790")</f>
        <v>http://dx.doi.org/10.3389/fpubh.2022.1011790</v>
      </c>
      <c r="BG737" s="1" t="s">
        <v>74</v>
      </c>
      <c r="BH737" s="1" t="s">
        <v>74</v>
      </c>
      <c r="BI737" s="1" t="s">
        <v>74</v>
      </c>
      <c r="BJ737" s="1" t="s">
        <v>74</v>
      </c>
      <c r="BK737" s="1" t="s">
        <v>74</v>
      </c>
      <c r="BL737" s="1" t="s">
        <v>74</v>
      </c>
      <c r="BM737" s="1" t="s">
        <v>74</v>
      </c>
      <c r="BN737" s="1">
        <v>3.624926E7</v>
      </c>
      <c r="BO737" s="1" t="s">
        <v>74</v>
      </c>
      <c r="BP737" s="1" t="s">
        <v>74</v>
      </c>
      <c r="BQ737" s="1" t="s">
        <v>74</v>
      </c>
      <c r="BR737" s="1" t="s">
        <v>74</v>
      </c>
      <c r="BS737" s="1" t="s">
        <v>6969</v>
      </c>
      <c r="BT737" s="1" t="str">
        <f>HYPERLINK("https%3A%2F%2Fwww.webofscience.com%2Fwos%2Fwoscc%2Ffull-record%2FWOS:000868027100001","View Full Record in Web of Science")</f>
        <v>View Full Record in Web of Science</v>
      </c>
    </row>
    <row r="738" ht="12.75" customHeight="1">
      <c r="A738" s="1" t="s">
        <v>72</v>
      </c>
      <c r="B738" s="1" t="s">
        <v>6970</v>
      </c>
      <c r="C738" s="1" t="s">
        <v>74</v>
      </c>
      <c r="D738" s="1" t="s">
        <v>74</v>
      </c>
      <c r="E738" s="1" t="s">
        <v>74</v>
      </c>
      <c r="F738" s="1" t="s">
        <v>6971</v>
      </c>
      <c r="G738" s="1" t="s">
        <v>74</v>
      </c>
      <c r="H738" s="1" t="s">
        <v>74</v>
      </c>
      <c r="I738" s="1" t="s">
        <v>6972</v>
      </c>
      <c r="J738" s="1" t="s">
        <v>1440</v>
      </c>
      <c r="K738" s="1" t="s">
        <v>74</v>
      </c>
      <c r="L738" s="1" t="s">
        <v>74</v>
      </c>
      <c r="M738" s="1" t="s">
        <v>74</v>
      </c>
      <c r="N738" s="1" t="s">
        <v>74</v>
      </c>
      <c r="O738" s="1" t="s">
        <v>74</v>
      </c>
      <c r="P738" s="1" t="s">
        <v>74</v>
      </c>
      <c r="Q738" s="1" t="s">
        <v>74</v>
      </c>
      <c r="R738" s="1" t="s">
        <v>74</v>
      </c>
      <c r="S738" s="1" t="s">
        <v>74</v>
      </c>
      <c r="T738" s="1" t="s">
        <v>74</v>
      </c>
      <c r="U738" s="1" t="s">
        <v>74</v>
      </c>
      <c r="V738" s="1" t="s">
        <v>6973</v>
      </c>
      <c r="W738" s="1" t="s">
        <v>74</v>
      </c>
      <c r="X738" s="1" t="s">
        <v>74</v>
      </c>
      <c r="Y738" s="1" t="s">
        <v>74</v>
      </c>
      <c r="Z738" s="1" t="s">
        <v>74</v>
      </c>
      <c r="AA738" s="1" t="s">
        <v>74</v>
      </c>
      <c r="AB738" s="1" t="s">
        <v>74</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1443</v>
      </c>
      <c r="AP738" s="1" t="s">
        <v>1444</v>
      </c>
      <c r="AQ738" s="1" t="s">
        <v>74</v>
      </c>
      <c r="AR738" s="1" t="s">
        <v>74</v>
      </c>
      <c r="AS738" s="1" t="s">
        <v>74</v>
      </c>
      <c r="AT738" s="1" t="s">
        <v>554</v>
      </c>
      <c r="AU738" s="1">
        <v>2022.0</v>
      </c>
      <c r="AV738" s="1">
        <v>150.0</v>
      </c>
      <c r="AW738" s="1">
        <v>6.0</v>
      </c>
      <c r="AX738" s="1" t="s">
        <v>74</v>
      </c>
      <c r="AY738" s="1" t="s">
        <v>74</v>
      </c>
      <c r="AZ738" s="1" t="s">
        <v>74</v>
      </c>
      <c r="BA738" s="1" t="s">
        <v>74</v>
      </c>
      <c r="BB738" s="1">
        <v>727.0</v>
      </c>
      <c r="BC738" s="1">
        <v>735.0</v>
      </c>
      <c r="BD738" s="1" t="s">
        <v>74</v>
      </c>
      <c r="BE738" s="1" t="s">
        <v>74</v>
      </c>
      <c r="BF738" s="1" t="s">
        <v>74</v>
      </c>
      <c r="BG738" s="1" t="s">
        <v>74</v>
      </c>
      <c r="BH738" s="1" t="s">
        <v>74</v>
      </c>
      <c r="BI738" s="1" t="s">
        <v>74</v>
      </c>
      <c r="BJ738" s="1" t="s">
        <v>74</v>
      </c>
      <c r="BK738" s="1" t="s">
        <v>74</v>
      </c>
      <c r="BL738" s="1" t="s">
        <v>74</v>
      </c>
      <c r="BM738" s="1" t="s">
        <v>74</v>
      </c>
      <c r="BN738" s="1">
        <v>3.7906907E7</v>
      </c>
      <c r="BO738" s="1" t="s">
        <v>74</v>
      </c>
      <c r="BP738" s="1" t="s">
        <v>74</v>
      </c>
      <c r="BQ738" s="1" t="s">
        <v>74</v>
      </c>
      <c r="BR738" s="1" t="s">
        <v>74</v>
      </c>
      <c r="BS738" s="1" t="s">
        <v>6974</v>
      </c>
      <c r="BT738" s="1" t="str">
        <f>HYPERLINK("https%3A%2F%2Fwww.webofscience.com%2Fwos%2Fwoscc%2Ffull-record%2FWOS:000899175900004","View Full Record in Web of Science")</f>
        <v>View Full Record in Web of Science</v>
      </c>
    </row>
    <row r="739" ht="12.75" customHeight="1">
      <c r="A739" s="1" t="s">
        <v>72</v>
      </c>
      <c r="B739" s="1" t="s">
        <v>6975</v>
      </c>
      <c r="C739" s="1" t="s">
        <v>74</v>
      </c>
      <c r="D739" s="1" t="s">
        <v>74</v>
      </c>
      <c r="E739" s="1" t="s">
        <v>74</v>
      </c>
      <c r="F739" s="1" t="s">
        <v>6976</v>
      </c>
      <c r="G739" s="1" t="s">
        <v>74</v>
      </c>
      <c r="H739" s="1" t="s">
        <v>74</v>
      </c>
      <c r="I739" s="1" t="s">
        <v>6977</v>
      </c>
      <c r="J739" s="1" t="s">
        <v>5185</v>
      </c>
      <c r="K739" s="1" t="s">
        <v>74</v>
      </c>
      <c r="L739" s="1" t="s">
        <v>74</v>
      </c>
      <c r="M739" s="1" t="s">
        <v>74</v>
      </c>
      <c r="N739" s="1" t="s">
        <v>74</v>
      </c>
      <c r="O739" s="1" t="s">
        <v>74</v>
      </c>
      <c r="P739" s="1" t="s">
        <v>74</v>
      </c>
      <c r="Q739" s="1" t="s">
        <v>74</v>
      </c>
      <c r="R739" s="1" t="s">
        <v>74</v>
      </c>
      <c r="S739" s="1" t="s">
        <v>74</v>
      </c>
      <c r="T739" s="1" t="s">
        <v>74</v>
      </c>
      <c r="U739" s="1" t="s">
        <v>74</v>
      </c>
      <c r="V739" s="1" t="s">
        <v>6978</v>
      </c>
      <c r="W739" s="1" t="s">
        <v>74</v>
      </c>
      <c r="X739" s="1" t="s">
        <v>74</v>
      </c>
      <c r="Y739" s="1" t="s">
        <v>74</v>
      </c>
      <c r="Z739" s="1" t="s">
        <v>74</v>
      </c>
      <c r="AA739" s="1" t="s">
        <v>6979</v>
      </c>
      <c r="AB739" s="1" t="s">
        <v>6980</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5189</v>
      </c>
      <c r="AP739" s="1" t="s">
        <v>74</v>
      </c>
      <c r="AQ739" s="1" t="s">
        <v>74</v>
      </c>
      <c r="AR739" s="1" t="s">
        <v>74</v>
      </c>
      <c r="AS739" s="1" t="s">
        <v>74</v>
      </c>
      <c r="AT739" s="1" t="s">
        <v>95</v>
      </c>
      <c r="AU739" s="1">
        <v>2021.0</v>
      </c>
      <c r="AV739" s="1">
        <v>16.0</v>
      </c>
      <c r="AW739" s="1">
        <v>12.0</v>
      </c>
      <c r="AX739" s="1" t="s">
        <v>74</v>
      </c>
      <c r="AY739" s="1" t="s">
        <v>74</v>
      </c>
      <c r="AZ739" s="1" t="s">
        <v>74</v>
      </c>
      <c r="BA739" s="1" t="s">
        <v>74</v>
      </c>
      <c r="BB739" s="1" t="s">
        <v>74</v>
      </c>
      <c r="BC739" s="1" t="s">
        <v>74</v>
      </c>
      <c r="BD739" s="1">
        <v>211235.0</v>
      </c>
      <c r="BE739" s="1" t="s">
        <v>6981</v>
      </c>
      <c r="BF739" s="2" t="str">
        <f>HYPERLINK("http://dx.doi.org/10.20964/2021.12.31","http://dx.doi.org/10.20964/2021.12.31")</f>
        <v>http://dx.doi.org/10.20964/2021.12.31</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6982</v>
      </c>
      <c r="BT739" s="1" t="str">
        <f>HYPERLINK("https%3A%2F%2Fwww.webofscience.com%2Fwos%2Fwoscc%2Ffull-record%2FWOS:000756422800029","View Full Record in Web of Science")</f>
        <v>View Full Record in Web of Science</v>
      </c>
    </row>
    <row r="740" ht="12.75" customHeight="1">
      <c r="A740" s="1" t="s">
        <v>72</v>
      </c>
      <c r="B740" s="1" t="s">
        <v>6983</v>
      </c>
      <c r="C740" s="1" t="s">
        <v>74</v>
      </c>
      <c r="D740" s="1" t="s">
        <v>74</v>
      </c>
      <c r="E740" s="1" t="s">
        <v>74</v>
      </c>
      <c r="F740" s="1" t="s">
        <v>6984</v>
      </c>
      <c r="G740" s="1" t="s">
        <v>74</v>
      </c>
      <c r="H740" s="1" t="s">
        <v>74</v>
      </c>
      <c r="I740" s="1" t="s">
        <v>6985</v>
      </c>
      <c r="J740" s="1" t="s">
        <v>548</v>
      </c>
      <c r="K740" s="1" t="s">
        <v>74</v>
      </c>
      <c r="L740" s="1" t="s">
        <v>74</v>
      </c>
      <c r="M740" s="1" t="s">
        <v>74</v>
      </c>
      <c r="N740" s="1" t="s">
        <v>74</v>
      </c>
      <c r="O740" s="1" t="s">
        <v>74</v>
      </c>
      <c r="P740" s="1" t="s">
        <v>74</v>
      </c>
      <c r="Q740" s="1" t="s">
        <v>74</v>
      </c>
      <c r="R740" s="1" t="s">
        <v>74</v>
      </c>
      <c r="S740" s="1" t="s">
        <v>74</v>
      </c>
      <c r="T740" s="1" t="s">
        <v>74</v>
      </c>
      <c r="U740" s="1" t="s">
        <v>74</v>
      </c>
      <c r="V740" s="1" t="s">
        <v>6986</v>
      </c>
      <c r="W740" s="1" t="s">
        <v>74</v>
      </c>
      <c r="X740" s="1" t="s">
        <v>74</v>
      </c>
      <c r="Y740" s="1" t="s">
        <v>74</v>
      </c>
      <c r="Z740" s="1" t="s">
        <v>74</v>
      </c>
      <c r="AA740" s="1" t="s">
        <v>6987</v>
      </c>
      <c r="AB740" s="1" t="s">
        <v>6988</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552</v>
      </c>
      <c r="AP740" s="1" t="s">
        <v>553</v>
      </c>
      <c r="AQ740" s="1" t="s">
        <v>74</v>
      </c>
      <c r="AR740" s="1" t="s">
        <v>74</v>
      </c>
      <c r="AS740" s="1" t="s">
        <v>74</v>
      </c>
      <c r="AT740" s="1" t="s">
        <v>95</v>
      </c>
      <c r="AU740" s="1">
        <v>2021.0</v>
      </c>
      <c r="AV740" s="1">
        <v>186.0</v>
      </c>
      <c r="AW740" s="1" t="s">
        <v>74</v>
      </c>
      <c r="AX740" s="1" t="s">
        <v>74</v>
      </c>
      <c r="AY740" s="1" t="s">
        <v>74</v>
      </c>
      <c r="AZ740" s="1" t="s">
        <v>74</v>
      </c>
      <c r="BA740" s="1" t="s">
        <v>74</v>
      </c>
      <c r="BB740" s="1" t="s">
        <v>74</v>
      </c>
      <c r="BC740" s="1" t="s">
        <v>74</v>
      </c>
      <c r="BD740" s="1">
        <v>110216.0</v>
      </c>
      <c r="BE740" s="1" t="s">
        <v>6989</v>
      </c>
      <c r="BF740" s="2" t="str">
        <f>HYPERLINK("http://dx.doi.org/10.1016/j.measurement.2021.110216","http://dx.doi.org/10.1016/j.measurement.2021.110216")</f>
        <v>http://dx.doi.org/10.1016/j.measurement.2021.110216</v>
      </c>
      <c r="BG740" s="1" t="s">
        <v>74</v>
      </c>
      <c r="BH740" s="1" t="s">
        <v>2740</v>
      </c>
      <c r="BI740" s="1" t="s">
        <v>74</v>
      </c>
      <c r="BJ740" s="1" t="s">
        <v>74</v>
      </c>
      <c r="BK740" s="1" t="s">
        <v>74</v>
      </c>
      <c r="BL740" s="1" t="s">
        <v>74</v>
      </c>
      <c r="BM740" s="1" t="s">
        <v>74</v>
      </c>
      <c r="BN740" s="1" t="s">
        <v>74</v>
      </c>
      <c r="BO740" s="1" t="s">
        <v>74</v>
      </c>
      <c r="BP740" s="1" t="s">
        <v>74</v>
      </c>
      <c r="BQ740" s="1" t="s">
        <v>74</v>
      </c>
      <c r="BR740" s="1" t="s">
        <v>74</v>
      </c>
      <c r="BS740" s="1" t="s">
        <v>6990</v>
      </c>
      <c r="BT740" s="1" t="str">
        <f>HYPERLINK("https%3A%2F%2Fwww.webofscience.com%2Fwos%2Fwoscc%2Ffull-record%2FWOS:000705009400004","View Full Record in Web of Science")</f>
        <v>View Full Record in Web of Science</v>
      </c>
    </row>
    <row r="741" ht="12.75" customHeight="1">
      <c r="A741" s="1" t="s">
        <v>72</v>
      </c>
      <c r="B741" s="1" t="s">
        <v>6991</v>
      </c>
      <c r="C741" s="1" t="s">
        <v>74</v>
      </c>
      <c r="D741" s="1" t="s">
        <v>74</v>
      </c>
      <c r="E741" s="1" t="s">
        <v>74</v>
      </c>
      <c r="F741" s="1" t="s">
        <v>6992</v>
      </c>
      <c r="G741" s="1" t="s">
        <v>74</v>
      </c>
      <c r="H741" s="1" t="s">
        <v>74</v>
      </c>
      <c r="I741" s="1" t="s">
        <v>6993</v>
      </c>
      <c r="J741" s="1" t="s">
        <v>6994</v>
      </c>
      <c r="K741" s="1" t="s">
        <v>74</v>
      </c>
      <c r="L741" s="1" t="s">
        <v>74</v>
      </c>
      <c r="M741" s="1" t="s">
        <v>74</v>
      </c>
      <c r="N741" s="1" t="s">
        <v>74</v>
      </c>
      <c r="O741" s="1" t="s">
        <v>74</v>
      </c>
      <c r="P741" s="1" t="s">
        <v>74</v>
      </c>
      <c r="Q741" s="1" t="s">
        <v>74</v>
      </c>
      <c r="R741" s="1" t="s">
        <v>74</v>
      </c>
      <c r="S741" s="1" t="s">
        <v>74</v>
      </c>
      <c r="T741" s="1" t="s">
        <v>74</v>
      </c>
      <c r="U741" s="1" t="s">
        <v>74</v>
      </c>
      <c r="V741" s="1" t="s">
        <v>74</v>
      </c>
      <c r="W741" s="1" t="s">
        <v>74</v>
      </c>
      <c r="X741" s="1" t="s">
        <v>74</v>
      </c>
      <c r="Y741" s="1" t="s">
        <v>74</v>
      </c>
      <c r="Z741" s="1" t="s">
        <v>74</v>
      </c>
      <c r="AA741" s="1" t="s">
        <v>6995</v>
      </c>
      <c r="AB741" s="1" t="s">
        <v>74</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6996</v>
      </c>
      <c r="AP741" s="1" t="s">
        <v>74</v>
      </c>
      <c r="AQ741" s="1" t="s">
        <v>74</v>
      </c>
      <c r="AR741" s="1" t="s">
        <v>74</v>
      </c>
      <c r="AS741" s="1" t="s">
        <v>74</v>
      </c>
      <c r="AT741" s="1" t="s">
        <v>554</v>
      </c>
      <c r="AU741" s="1">
        <v>2020.0</v>
      </c>
      <c r="AV741" s="1">
        <v>32.0</v>
      </c>
      <c r="AW741" s="1" t="s">
        <v>74</v>
      </c>
      <c r="AX741" s="1" t="s">
        <v>74</v>
      </c>
      <c r="AY741" s="1" t="s">
        <v>74</v>
      </c>
      <c r="AZ741" s="1" t="s">
        <v>74</v>
      </c>
      <c r="BA741" s="1" t="s">
        <v>74</v>
      </c>
      <c r="BB741" s="1" t="s">
        <v>74</v>
      </c>
      <c r="BC741" s="1" t="s">
        <v>74</v>
      </c>
      <c r="BD741" s="1">
        <v>100608.0</v>
      </c>
      <c r="BE741" s="1" t="s">
        <v>6997</v>
      </c>
      <c r="BF741" s="2" t="str">
        <f>HYPERLINK("http://dx.doi.org/10.1016/j.uclim.2020.100608","http://dx.doi.org/10.1016/j.uclim.2020.100608")</f>
        <v>http://dx.doi.org/10.1016/j.uclim.2020.100608</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6998</v>
      </c>
      <c r="BT741" s="1" t="str">
        <f>HYPERLINK("https%3A%2F%2Fwww.webofscience.com%2Fwos%2Fwoscc%2Ffull-record%2FWOS:000540235900002","View Full Record in Web of Science")</f>
        <v>View Full Record in Web of Science</v>
      </c>
    </row>
    <row r="742" ht="12.75" customHeight="1">
      <c r="A742" s="1" t="s">
        <v>72</v>
      </c>
      <c r="B742" s="1" t="s">
        <v>6999</v>
      </c>
      <c r="C742" s="1" t="s">
        <v>74</v>
      </c>
      <c r="D742" s="1" t="s">
        <v>74</v>
      </c>
      <c r="E742" s="1" t="s">
        <v>74</v>
      </c>
      <c r="F742" s="1" t="s">
        <v>7000</v>
      </c>
      <c r="G742" s="1" t="s">
        <v>74</v>
      </c>
      <c r="H742" s="1" t="s">
        <v>74</v>
      </c>
      <c r="I742" s="1" t="s">
        <v>7001</v>
      </c>
      <c r="J742" s="1" t="s">
        <v>6692</v>
      </c>
      <c r="K742" s="1" t="s">
        <v>74</v>
      </c>
      <c r="L742" s="1" t="s">
        <v>74</v>
      </c>
      <c r="M742" s="1" t="s">
        <v>74</v>
      </c>
      <c r="N742" s="1" t="s">
        <v>74</v>
      </c>
      <c r="O742" s="1" t="s">
        <v>74</v>
      </c>
      <c r="P742" s="1" t="s">
        <v>74</v>
      </c>
      <c r="Q742" s="1" t="s">
        <v>74</v>
      </c>
      <c r="R742" s="1" t="s">
        <v>74</v>
      </c>
      <c r="S742" s="1" t="s">
        <v>74</v>
      </c>
      <c r="T742" s="1" t="s">
        <v>74</v>
      </c>
      <c r="U742" s="1" t="s">
        <v>74</v>
      </c>
      <c r="V742" s="1" t="s">
        <v>7002</v>
      </c>
      <c r="W742" s="1" t="s">
        <v>74</v>
      </c>
      <c r="X742" s="1" t="s">
        <v>74</v>
      </c>
      <c r="Y742" s="1" t="s">
        <v>74</v>
      </c>
      <c r="Z742" s="1" t="s">
        <v>74</v>
      </c>
      <c r="AA742" s="1" t="s">
        <v>74</v>
      </c>
      <c r="AB742" s="1" t="s">
        <v>74</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6694</v>
      </c>
      <c r="AP742" s="1" t="s">
        <v>74</v>
      </c>
      <c r="AQ742" s="1" t="s">
        <v>74</v>
      </c>
      <c r="AR742" s="1" t="s">
        <v>74</v>
      </c>
      <c r="AS742" s="1" t="s">
        <v>74</v>
      </c>
      <c r="AT742" s="1" t="s">
        <v>496</v>
      </c>
      <c r="AU742" s="1">
        <v>2020.0</v>
      </c>
      <c r="AV742" s="1">
        <v>49.0</v>
      </c>
      <c r="AW742" s="1" t="s">
        <v>74</v>
      </c>
      <c r="AX742" s="1" t="s">
        <v>74</v>
      </c>
      <c r="AY742" s="1" t="s">
        <v>74</v>
      </c>
      <c r="AZ742" s="1" t="s">
        <v>74</v>
      </c>
      <c r="BA742" s="1" t="s">
        <v>74</v>
      </c>
      <c r="BB742" s="1">
        <v>3400.0</v>
      </c>
      <c r="BC742" s="1">
        <v>3421.0</v>
      </c>
      <c r="BD742" s="1" t="s">
        <v>74</v>
      </c>
      <c r="BE742" s="1" t="s">
        <v>74</v>
      </c>
      <c r="BF742" s="1" t="s">
        <v>74</v>
      </c>
      <c r="BG742" s="1" t="s">
        <v>74</v>
      </c>
      <c r="BH742" s="1" t="s">
        <v>74</v>
      </c>
      <c r="BI742" s="1" t="s">
        <v>74</v>
      </c>
      <c r="BJ742" s="1" t="s">
        <v>74</v>
      </c>
      <c r="BK742" s="1" t="s">
        <v>74</v>
      </c>
      <c r="BL742" s="1" t="s">
        <v>74</v>
      </c>
      <c r="BM742" s="1" t="s">
        <v>74</v>
      </c>
      <c r="BN742" s="1" t="s">
        <v>74</v>
      </c>
      <c r="BO742" s="1" t="s">
        <v>74</v>
      </c>
      <c r="BP742" s="1" t="s">
        <v>74</v>
      </c>
      <c r="BQ742" s="1" t="s">
        <v>74</v>
      </c>
      <c r="BR742" s="1" t="s">
        <v>74</v>
      </c>
      <c r="BS742" s="1" t="s">
        <v>7003</v>
      </c>
      <c r="BT742" s="1" t="str">
        <f>HYPERLINK("https%3A%2F%2Fwww.webofscience.com%2Fwos%2Fwoscc%2Ffull-record%2FWOS:000614864700021","View Full Record in Web of Science")</f>
        <v>View Full Record in Web of Science</v>
      </c>
    </row>
    <row r="743" ht="12.75" customHeight="1">
      <c r="A743" s="1" t="s">
        <v>72</v>
      </c>
      <c r="B743" s="1" t="s">
        <v>335</v>
      </c>
      <c r="C743" s="1" t="s">
        <v>74</v>
      </c>
      <c r="D743" s="1" t="s">
        <v>74</v>
      </c>
      <c r="E743" s="1" t="s">
        <v>74</v>
      </c>
      <c r="F743" s="1" t="s">
        <v>336</v>
      </c>
      <c r="G743" s="1" t="s">
        <v>74</v>
      </c>
      <c r="H743" s="1" t="s">
        <v>74</v>
      </c>
      <c r="I743" s="1" t="s">
        <v>7004</v>
      </c>
      <c r="J743" s="1" t="s">
        <v>7005</v>
      </c>
      <c r="K743" s="1" t="s">
        <v>74</v>
      </c>
      <c r="L743" s="1" t="s">
        <v>74</v>
      </c>
      <c r="M743" s="1" t="s">
        <v>74</v>
      </c>
      <c r="N743" s="1" t="s">
        <v>74</v>
      </c>
      <c r="O743" s="1" t="s">
        <v>74</v>
      </c>
      <c r="P743" s="1" t="s">
        <v>74</v>
      </c>
      <c r="Q743" s="1" t="s">
        <v>74</v>
      </c>
      <c r="R743" s="1" t="s">
        <v>74</v>
      </c>
      <c r="S743" s="1" t="s">
        <v>74</v>
      </c>
      <c r="T743" s="1" t="s">
        <v>74</v>
      </c>
      <c r="U743" s="1" t="s">
        <v>74</v>
      </c>
      <c r="V743" s="1" t="s">
        <v>7006</v>
      </c>
      <c r="W743" s="1" t="s">
        <v>74</v>
      </c>
      <c r="X743" s="1" t="s">
        <v>74</v>
      </c>
      <c r="Y743" s="1" t="s">
        <v>74</v>
      </c>
      <c r="Z743" s="1" t="s">
        <v>74</v>
      </c>
      <c r="AA743" s="1" t="s">
        <v>340</v>
      </c>
      <c r="AB743" s="1" t="s">
        <v>7007</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7008</v>
      </c>
      <c r="AP743" s="1" t="s">
        <v>7009</v>
      </c>
      <c r="AQ743" s="1" t="s">
        <v>74</v>
      </c>
      <c r="AR743" s="1" t="s">
        <v>74</v>
      </c>
      <c r="AS743" s="1" t="s">
        <v>74</v>
      </c>
      <c r="AT743" s="1" t="s">
        <v>7010</v>
      </c>
      <c r="AU743" s="1">
        <v>2019.0</v>
      </c>
      <c r="AV743" s="1">
        <v>40.0</v>
      </c>
      <c r="AW743" s="1">
        <v>11.0</v>
      </c>
      <c r="AX743" s="1" t="s">
        <v>74</v>
      </c>
      <c r="AY743" s="1" t="s">
        <v>74</v>
      </c>
      <c r="AZ743" s="1" t="s">
        <v>74</v>
      </c>
      <c r="BA743" s="1" t="s">
        <v>74</v>
      </c>
      <c r="BB743" s="1">
        <v>1315.0</v>
      </c>
      <c r="BC743" s="1">
        <v>1343.0</v>
      </c>
      <c r="BD743" s="1" t="s">
        <v>74</v>
      </c>
      <c r="BE743" s="1" t="s">
        <v>7011</v>
      </c>
      <c r="BF743" s="2" t="str">
        <f>HYPERLINK("http://dx.doi.org/10.1080/01630563.2019.1602542","http://dx.doi.org/10.1080/01630563.2019.1602542")</f>
        <v>http://dx.doi.org/10.1080/01630563.2019.1602542</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7012</v>
      </c>
      <c r="BT743" s="1" t="str">
        <f>HYPERLINK("https%3A%2F%2Fwww.webofscience.com%2Fwos%2Fwoscc%2Ffull-record%2FWOS:000468286200005","View Full Record in Web of Science")</f>
        <v>View Full Record in Web of Science</v>
      </c>
    </row>
    <row r="744" ht="12.75" customHeight="1">
      <c r="A744" s="1" t="s">
        <v>72</v>
      </c>
      <c r="B744" s="1" t="s">
        <v>7013</v>
      </c>
      <c r="C744" s="1" t="s">
        <v>74</v>
      </c>
      <c r="D744" s="1" t="s">
        <v>74</v>
      </c>
      <c r="E744" s="1" t="s">
        <v>74</v>
      </c>
      <c r="F744" s="1" t="s">
        <v>7014</v>
      </c>
      <c r="G744" s="1" t="s">
        <v>74</v>
      </c>
      <c r="H744" s="1" t="s">
        <v>74</v>
      </c>
      <c r="I744" s="1" t="s">
        <v>7015</v>
      </c>
      <c r="J744" s="1" t="s">
        <v>7016</v>
      </c>
      <c r="K744" s="1" t="s">
        <v>74</v>
      </c>
      <c r="L744" s="1" t="s">
        <v>74</v>
      </c>
      <c r="M744" s="1" t="s">
        <v>74</v>
      </c>
      <c r="N744" s="1" t="s">
        <v>74</v>
      </c>
      <c r="O744" s="1" t="s">
        <v>74</v>
      </c>
      <c r="P744" s="1" t="s">
        <v>74</v>
      </c>
      <c r="Q744" s="1" t="s">
        <v>74</v>
      </c>
      <c r="R744" s="1" t="s">
        <v>74</v>
      </c>
      <c r="S744" s="1" t="s">
        <v>74</v>
      </c>
      <c r="T744" s="1" t="s">
        <v>74</v>
      </c>
      <c r="U744" s="1" t="s">
        <v>74</v>
      </c>
      <c r="V744" s="1" t="s">
        <v>7017</v>
      </c>
      <c r="W744" s="1" t="s">
        <v>74</v>
      </c>
      <c r="X744" s="1" t="s">
        <v>74</v>
      </c>
      <c r="Y744" s="1" t="s">
        <v>74</v>
      </c>
      <c r="Z744" s="1" t="s">
        <v>74</v>
      </c>
      <c r="AA744" s="1" t="s">
        <v>7018</v>
      </c>
      <c r="AB744" s="1" t="s">
        <v>7019</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7020</v>
      </c>
      <c r="AP744" s="1" t="s">
        <v>74</v>
      </c>
      <c r="AQ744" s="1" t="s">
        <v>74</v>
      </c>
      <c r="AR744" s="1" t="s">
        <v>74</v>
      </c>
      <c r="AS744" s="1" t="s">
        <v>74</v>
      </c>
      <c r="AT744" s="1" t="s">
        <v>7021</v>
      </c>
      <c r="AU744" s="1">
        <v>2019.0</v>
      </c>
      <c r="AV744" s="1">
        <v>19.0</v>
      </c>
      <c r="AW744" s="1" t="s">
        <v>74</v>
      </c>
      <c r="AX744" s="1" t="s">
        <v>74</v>
      </c>
      <c r="AY744" s="1" t="s">
        <v>74</v>
      </c>
      <c r="AZ744" s="1" t="s">
        <v>74</v>
      </c>
      <c r="BA744" s="1" t="s">
        <v>74</v>
      </c>
      <c r="BB744" s="1" t="s">
        <v>74</v>
      </c>
      <c r="BC744" s="1" t="s">
        <v>74</v>
      </c>
      <c r="BD744" s="1">
        <v>258.0</v>
      </c>
      <c r="BE744" s="1" t="s">
        <v>7022</v>
      </c>
      <c r="BF744" s="2" t="str">
        <f>HYPERLINK("http://dx.doi.org/10.1186/s12870-019-1858-z","http://dx.doi.org/10.1186/s12870-019-1858-z")</f>
        <v>http://dx.doi.org/10.1186/s12870-019-1858-z</v>
      </c>
      <c r="BG744" s="1" t="s">
        <v>74</v>
      </c>
      <c r="BH744" s="1" t="s">
        <v>74</v>
      </c>
      <c r="BI744" s="1" t="s">
        <v>74</v>
      </c>
      <c r="BJ744" s="1" t="s">
        <v>74</v>
      </c>
      <c r="BK744" s="1" t="s">
        <v>74</v>
      </c>
      <c r="BL744" s="1" t="s">
        <v>74</v>
      </c>
      <c r="BM744" s="1" t="s">
        <v>74</v>
      </c>
      <c r="BN744" s="1">
        <v>3.1208344E7</v>
      </c>
      <c r="BO744" s="1" t="s">
        <v>74</v>
      </c>
      <c r="BP744" s="1" t="s">
        <v>74</v>
      </c>
      <c r="BQ744" s="1" t="s">
        <v>74</v>
      </c>
      <c r="BR744" s="1" t="s">
        <v>74</v>
      </c>
      <c r="BS744" s="1" t="s">
        <v>7023</v>
      </c>
      <c r="BT744" s="1" t="str">
        <f>HYPERLINK("https%3A%2F%2Fwww.webofscience.com%2Fwos%2Fwoscc%2Ffull-record%2FWOS:000471892600002","View Full Record in Web of Science")</f>
        <v>View Full Record in Web of Science</v>
      </c>
    </row>
    <row r="745" ht="12.75" customHeight="1">
      <c r="A745" s="1" t="s">
        <v>72</v>
      </c>
      <c r="B745" s="1" t="s">
        <v>7024</v>
      </c>
      <c r="C745" s="1" t="s">
        <v>74</v>
      </c>
      <c r="D745" s="1" t="s">
        <v>74</v>
      </c>
      <c r="E745" s="1" t="s">
        <v>74</v>
      </c>
      <c r="F745" s="1" t="s">
        <v>7025</v>
      </c>
      <c r="G745" s="1" t="s">
        <v>74</v>
      </c>
      <c r="H745" s="1" t="s">
        <v>74</v>
      </c>
      <c r="I745" s="1" t="s">
        <v>7026</v>
      </c>
      <c r="J745" s="1" t="s">
        <v>7027</v>
      </c>
      <c r="K745" s="1" t="s">
        <v>74</v>
      </c>
      <c r="L745" s="1" t="s">
        <v>74</v>
      </c>
      <c r="M745" s="1" t="s">
        <v>74</v>
      </c>
      <c r="N745" s="1" t="s">
        <v>74</v>
      </c>
      <c r="O745" s="1" t="s">
        <v>74</v>
      </c>
      <c r="P745" s="1" t="s">
        <v>74</v>
      </c>
      <c r="Q745" s="1" t="s">
        <v>74</v>
      </c>
      <c r="R745" s="1" t="s">
        <v>74</v>
      </c>
      <c r="S745" s="1" t="s">
        <v>74</v>
      </c>
      <c r="T745" s="1" t="s">
        <v>74</v>
      </c>
      <c r="U745" s="1" t="s">
        <v>74</v>
      </c>
      <c r="V745" s="1" t="s">
        <v>7028</v>
      </c>
      <c r="W745" s="1" t="s">
        <v>74</v>
      </c>
      <c r="X745" s="1" t="s">
        <v>74</v>
      </c>
      <c r="Y745" s="1" t="s">
        <v>74</v>
      </c>
      <c r="Z745" s="1" t="s">
        <v>74</v>
      </c>
      <c r="AA745" s="1" t="s">
        <v>7029</v>
      </c>
      <c r="AB745" s="1" t="s">
        <v>7030</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7031</v>
      </c>
      <c r="AP745" s="1" t="s">
        <v>7032</v>
      </c>
      <c r="AQ745" s="1" t="s">
        <v>74</v>
      </c>
      <c r="AR745" s="1" t="s">
        <v>74</v>
      </c>
      <c r="AS745" s="1" t="s">
        <v>74</v>
      </c>
      <c r="AT745" s="1" t="s">
        <v>187</v>
      </c>
      <c r="AU745" s="1">
        <v>2019.0</v>
      </c>
      <c r="AV745" s="1">
        <v>100.0</v>
      </c>
      <c r="AW745" s="1">
        <v>2.0</v>
      </c>
      <c r="AX745" s="1" t="s">
        <v>74</v>
      </c>
      <c r="AY745" s="1" t="s">
        <v>74</v>
      </c>
      <c r="AZ745" s="1" t="s">
        <v>297</v>
      </c>
      <c r="BA745" s="1" t="s">
        <v>74</v>
      </c>
      <c r="BB745" s="1">
        <v>480.0</v>
      </c>
      <c r="BC745" s="1">
        <v>493.0</v>
      </c>
      <c r="BD745" s="1" t="s">
        <v>74</v>
      </c>
      <c r="BE745" s="1" t="s">
        <v>7033</v>
      </c>
      <c r="BF745" s="2" t="str">
        <f>HYPERLINK("http://dx.doi.org/10.1111/ssqu.12584","http://dx.doi.org/10.1111/ssqu.12584")</f>
        <v>http://dx.doi.org/10.1111/ssqu.12584</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7034</v>
      </c>
      <c r="BT745" s="1" t="str">
        <f>HYPERLINK("https%3A%2F%2Fwww.webofscience.com%2Fwos%2Fwoscc%2Ffull-record%2FWOS:000461194800007","View Full Record in Web of Science")</f>
        <v>View Full Record in Web of Science</v>
      </c>
    </row>
    <row r="746" ht="12.75" customHeight="1">
      <c r="A746" s="1" t="s">
        <v>72</v>
      </c>
      <c r="B746" s="1" t="s">
        <v>7035</v>
      </c>
      <c r="C746" s="1" t="s">
        <v>74</v>
      </c>
      <c r="D746" s="1" t="s">
        <v>74</v>
      </c>
      <c r="E746" s="1" t="s">
        <v>74</v>
      </c>
      <c r="F746" s="1" t="s">
        <v>7036</v>
      </c>
      <c r="G746" s="1" t="s">
        <v>74</v>
      </c>
      <c r="H746" s="1" t="s">
        <v>74</v>
      </c>
      <c r="I746" s="1" t="s">
        <v>7037</v>
      </c>
      <c r="J746" s="1" t="s">
        <v>7038</v>
      </c>
      <c r="K746" s="1" t="s">
        <v>74</v>
      </c>
      <c r="L746" s="1" t="s">
        <v>74</v>
      </c>
      <c r="M746" s="1" t="s">
        <v>74</v>
      </c>
      <c r="N746" s="1" t="s">
        <v>74</v>
      </c>
      <c r="O746" s="1" t="s">
        <v>74</v>
      </c>
      <c r="P746" s="1" t="s">
        <v>74</v>
      </c>
      <c r="Q746" s="1" t="s">
        <v>74</v>
      </c>
      <c r="R746" s="1" t="s">
        <v>74</v>
      </c>
      <c r="S746" s="1" t="s">
        <v>74</v>
      </c>
      <c r="T746" s="1" t="s">
        <v>74</v>
      </c>
      <c r="U746" s="1" t="s">
        <v>74</v>
      </c>
      <c r="V746" s="1" t="s">
        <v>7039</v>
      </c>
      <c r="W746" s="1" t="s">
        <v>74</v>
      </c>
      <c r="X746" s="1" t="s">
        <v>74</v>
      </c>
      <c r="Y746" s="1" t="s">
        <v>74</v>
      </c>
      <c r="Z746" s="1" t="s">
        <v>74</v>
      </c>
      <c r="AA746" s="1" t="s">
        <v>7040</v>
      </c>
      <c r="AB746" s="1" t="s">
        <v>7041</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7042</v>
      </c>
      <c r="AP746" s="1" t="s">
        <v>7043</v>
      </c>
      <c r="AQ746" s="1" t="s">
        <v>74</v>
      </c>
      <c r="AR746" s="1" t="s">
        <v>74</v>
      </c>
      <c r="AS746" s="1" t="s">
        <v>74</v>
      </c>
      <c r="AT746" s="1" t="s">
        <v>461</v>
      </c>
      <c r="AU746" s="1">
        <v>2018.0</v>
      </c>
      <c r="AV746" s="1">
        <v>95.0</v>
      </c>
      <c r="AW746" s="1">
        <v>9.0</v>
      </c>
      <c r="AX746" s="1" t="s">
        <v>74</v>
      </c>
      <c r="AY746" s="1" t="s">
        <v>74</v>
      </c>
      <c r="AZ746" s="1" t="s">
        <v>74</v>
      </c>
      <c r="BA746" s="1" t="s">
        <v>74</v>
      </c>
      <c r="BB746" s="1">
        <v>1631.0</v>
      </c>
      <c r="BC746" s="1">
        <v>1635.0</v>
      </c>
      <c r="BD746" s="1" t="s">
        <v>74</v>
      </c>
      <c r="BE746" s="1" t="s">
        <v>7044</v>
      </c>
      <c r="BF746" s="2" t="str">
        <f>HYPERLINK("http://dx.doi.org/10.1021/acs.jchemed.7b00988","http://dx.doi.org/10.1021/acs.jchemed.7b00988")</f>
        <v>http://dx.doi.org/10.1021/acs.jchemed.7b00988</v>
      </c>
      <c r="BG746" s="1" t="s">
        <v>74</v>
      </c>
      <c r="BH746" s="1" t="s">
        <v>74</v>
      </c>
      <c r="BI746" s="1" t="s">
        <v>74</v>
      </c>
      <c r="BJ746" s="1" t="s">
        <v>74</v>
      </c>
      <c r="BK746" s="1" t="s">
        <v>74</v>
      </c>
      <c r="BL746" s="1" t="s">
        <v>74</v>
      </c>
      <c r="BM746" s="1" t="s">
        <v>74</v>
      </c>
      <c r="BN746" s="1" t="s">
        <v>74</v>
      </c>
      <c r="BO746" s="1" t="s">
        <v>74</v>
      </c>
      <c r="BP746" s="1" t="s">
        <v>74</v>
      </c>
      <c r="BQ746" s="1" t="s">
        <v>74</v>
      </c>
      <c r="BR746" s="1" t="s">
        <v>74</v>
      </c>
      <c r="BS746" s="1" t="s">
        <v>7045</v>
      </c>
      <c r="BT746" s="1" t="str">
        <f>HYPERLINK("https%3A%2F%2Fwww.webofscience.com%2Fwos%2Fwoscc%2Ffull-record%2FWOS:000445440100026","View Full Record in Web of Science")</f>
        <v>View Full Record in Web of Science</v>
      </c>
    </row>
    <row r="747" ht="12.75" customHeight="1">
      <c r="A747" s="1" t="s">
        <v>72</v>
      </c>
      <c r="B747" s="1" t="s">
        <v>7046</v>
      </c>
      <c r="C747" s="1" t="s">
        <v>74</v>
      </c>
      <c r="D747" s="1" t="s">
        <v>74</v>
      </c>
      <c r="E747" s="1" t="s">
        <v>74</v>
      </c>
      <c r="F747" s="1" t="s">
        <v>7047</v>
      </c>
      <c r="G747" s="1" t="s">
        <v>74</v>
      </c>
      <c r="H747" s="1" t="s">
        <v>74</v>
      </c>
      <c r="I747" s="1" t="s">
        <v>7048</v>
      </c>
      <c r="J747" s="1" t="s">
        <v>7049</v>
      </c>
      <c r="K747" s="1" t="s">
        <v>74</v>
      </c>
      <c r="L747" s="1" t="s">
        <v>74</v>
      </c>
      <c r="M747" s="1" t="s">
        <v>74</v>
      </c>
      <c r="N747" s="1" t="s">
        <v>74</v>
      </c>
      <c r="O747" s="1" t="s">
        <v>74</v>
      </c>
      <c r="P747" s="1" t="s">
        <v>74</v>
      </c>
      <c r="Q747" s="1" t="s">
        <v>74</v>
      </c>
      <c r="R747" s="1" t="s">
        <v>74</v>
      </c>
      <c r="S747" s="1" t="s">
        <v>74</v>
      </c>
      <c r="T747" s="1" t="s">
        <v>74</v>
      </c>
      <c r="U747" s="1" t="s">
        <v>74</v>
      </c>
      <c r="V747" s="1" t="s">
        <v>7050</v>
      </c>
      <c r="W747" s="1" t="s">
        <v>74</v>
      </c>
      <c r="X747" s="1" t="s">
        <v>74</v>
      </c>
      <c r="Y747" s="1" t="s">
        <v>74</v>
      </c>
      <c r="Z747" s="1" t="s">
        <v>74</v>
      </c>
      <c r="AA747" s="1" t="s">
        <v>7051</v>
      </c>
      <c r="AB747" s="1" t="s">
        <v>7052</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7053</v>
      </c>
      <c r="AP747" s="1" t="s">
        <v>7054</v>
      </c>
      <c r="AQ747" s="1" t="s">
        <v>74</v>
      </c>
      <c r="AR747" s="1" t="s">
        <v>74</v>
      </c>
      <c r="AS747" s="1" t="s">
        <v>74</v>
      </c>
      <c r="AT747" s="1" t="s">
        <v>554</v>
      </c>
      <c r="AU747" s="1">
        <v>2018.0</v>
      </c>
      <c r="AV747" s="1">
        <v>103.0</v>
      </c>
      <c r="AW747" s="1" t="s">
        <v>74</v>
      </c>
      <c r="AX747" s="1" t="s">
        <v>74</v>
      </c>
      <c r="AY747" s="1" t="s">
        <v>74</v>
      </c>
      <c r="AZ747" s="1" t="s">
        <v>74</v>
      </c>
      <c r="BA747" s="1" t="s">
        <v>74</v>
      </c>
      <c r="BB747" s="1">
        <v>145.0</v>
      </c>
      <c r="BC747" s="1">
        <v>157.0</v>
      </c>
      <c r="BD747" s="1" t="s">
        <v>74</v>
      </c>
      <c r="BE747" s="1" t="s">
        <v>7055</v>
      </c>
      <c r="BF747" s="2" t="str">
        <f>HYPERLINK("http://dx.doi.org/10.1016/j.eurpolymj.2018.04.012","http://dx.doi.org/10.1016/j.eurpolymj.2018.04.012")</f>
        <v>http://dx.doi.org/10.1016/j.eurpolymj.2018.04.012</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7056</v>
      </c>
      <c r="BT747" s="1" t="str">
        <f>HYPERLINK("https%3A%2F%2Fwww.webofscience.com%2Fwos%2Fwoscc%2Ffull-record%2FWOS:000434745200016","View Full Record in Web of Science")</f>
        <v>View Full Record in Web of Science</v>
      </c>
    </row>
    <row r="748" ht="12.75" customHeight="1">
      <c r="A748" s="1" t="s">
        <v>72</v>
      </c>
      <c r="B748" s="1" t="s">
        <v>7057</v>
      </c>
      <c r="C748" s="1" t="s">
        <v>74</v>
      </c>
      <c r="D748" s="1" t="s">
        <v>74</v>
      </c>
      <c r="E748" s="1" t="s">
        <v>74</v>
      </c>
      <c r="F748" s="1" t="s">
        <v>7058</v>
      </c>
      <c r="G748" s="1" t="s">
        <v>74</v>
      </c>
      <c r="H748" s="1" t="s">
        <v>74</v>
      </c>
      <c r="I748" s="1" t="s">
        <v>7059</v>
      </c>
      <c r="J748" s="1" t="s">
        <v>1422</v>
      </c>
      <c r="K748" s="1" t="s">
        <v>74</v>
      </c>
      <c r="L748" s="1" t="s">
        <v>74</v>
      </c>
      <c r="M748" s="1" t="s">
        <v>74</v>
      </c>
      <c r="N748" s="1" t="s">
        <v>74</v>
      </c>
      <c r="O748" s="1" t="s">
        <v>74</v>
      </c>
      <c r="P748" s="1" t="s">
        <v>74</v>
      </c>
      <c r="Q748" s="1" t="s">
        <v>74</v>
      </c>
      <c r="R748" s="1" t="s">
        <v>74</v>
      </c>
      <c r="S748" s="1" t="s">
        <v>74</v>
      </c>
      <c r="T748" s="1" t="s">
        <v>74</v>
      </c>
      <c r="U748" s="1" t="s">
        <v>74</v>
      </c>
      <c r="V748" s="1" t="s">
        <v>7060</v>
      </c>
      <c r="W748" s="1" t="s">
        <v>74</v>
      </c>
      <c r="X748" s="1" t="s">
        <v>74</v>
      </c>
      <c r="Y748" s="1" t="s">
        <v>74</v>
      </c>
      <c r="Z748" s="1" t="s">
        <v>74</v>
      </c>
      <c r="AA748" s="1" t="s">
        <v>7061</v>
      </c>
      <c r="AB748" s="1" t="s">
        <v>7062</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1424</v>
      </c>
      <c r="AP748" s="1" t="s">
        <v>1425</v>
      </c>
      <c r="AQ748" s="1" t="s">
        <v>74</v>
      </c>
      <c r="AR748" s="1" t="s">
        <v>74</v>
      </c>
      <c r="AS748" s="1" t="s">
        <v>74</v>
      </c>
      <c r="AT748" s="1" t="s">
        <v>554</v>
      </c>
      <c r="AU748" s="1">
        <v>2018.0</v>
      </c>
      <c r="AV748" s="1">
        <v>36.0</v>
      </c>
      <c r="AW748" s="1">
        <v>2.0</v>
      </c>
      <c r="AX748" s="1" t="s">
        <v>74</v>
      </c>
      <c r="AY748" s="1" t="s">
        <v>74</v>
      </c>
      <c r="AZ748" s="1" t="s">
        <v>74</v>
      </c>
      <c r="BA748" s="1" t="s">
        <v>74</v>
      </c>
      <c r="BB748" s="1">
        <v>387.0</v>
      </c>
      <c r="BC748" s="1">
        <v>390.0</v>
      </c>
      <c r="BD748" s="1" t="s">
        <v>74</v>
      </c>
      <c r="BE748" s="1" t="s">
        <v>7063</v>
      </c>
      <c r="BF748" s="2" t="str">
        <f>HYPERLINK("http://dx.doi.org/10.4067/S0717-95022018000200387","http://dx.doi.org/10.4067/S0717-95022018000200387")</f>
        <v>http://dx.doi.org/10.4067/S0717-95022018000200387</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7064</v>
      </c>
      <c r="BT748" s="1" t="str">
        <f>HYPERLINK("https%3A%2F%2Fwww.webofscience.com%2Fwos%2Fwoscc%2Ffull-record%2FWOS:000438815300001","View Full Record in Web of Science")</f>
        <v>View Full Record in Web of Science</v>
      </c>
    </row>
    <row r="749" ht="12.75" customHeight="1">
      <c r="A749" s="1" t="s">
        <v>72</v>
      </c>
      <c r="B749" s="1" t="s">
        <v>7065</v>
      </c>
      <c r="C749" s="1" t="s">
        <v>74</v>
      </c>
      <c r="D749" s="1" t="s">
        <v>74</v>
      </c>
      <c r="E749" s="1" t="s">
        <v>74</v>
      </c>
      <c r="F749" s="1" t="s">
        <v>7066</v>
      </c>
      <c r="G749" s="1" t="s">
        <v>74</v>
      </c>
      <c r="H749" s="1" t="s">
        <v>74</v>
      </c>
      <c r="I749" s="1" t="s">
        <v>7067</v>
      </c>
      <c r="J749" s="1" t="s">
        <v>7068</v>
      </c>
      <c r="K749" s="1" t="s">
        <v>74</v>
      </c>
      <c r="L749" s="1" t="s">
        <v>74</v>
      </c>
      <c r="M749" s="1" t="s">
        <v>74</v>
      </c>
      <c r="N749" s="1" t="s">
        <v>74</v>
      </c>
      <c r="O749" s="1" t="s">
        <v>74</v>
      </c>
      <c r="P749" s="1" t="s">
        <v>74</v>
      </c>
      <c r="Q749" s="1" t="s">
        <v>74</v>
      </c>
      <c r="R749" s="1" t="s">
        <v>74</v>
      </c>
      <c r="S749" s="1" t="s">
        <v>74</v>
      </c>
      <c r="T749" s="1" t="s">
        <v>74</v>
      </c>
      <c r="U749" s="1" t="s">
        <v>74</v>
      </c>
      <c r="V749" s="1" t="s">
        <v>7069</v>
      </c>
      <c r="W749" s="1" t="s">
        <v>74</v>
      </c>
      <c r="X749" s="1" t="s">
        <v>74</v>
      </c>
      <c r="Y749" s="1" t="s">
        <v>74</v>
      </c>
      <c r="Z749" s="1" t="s">
        <v>74</v>
      </c>
      <c r="AA749" s="1" t="s">
        <v>7070</v>
      </c>
      <c r="AB749" s="1" t="s">
        <v>7071</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7072</v>
      </c>
      <c r="AP749" s="1" t="s">
        <v>7073</v>
      </c>
      <c r="AQ749" s="1" t="s">
        <v>74</v>
      </c>
      <c r="AR749" s="1" t="s">
        <v>74</v>
      </c>
      <c r="AS749" s="1" t="s">
        <v>74</v>
      </c>
      <c r="AT749" s="1" t="s">
        <v>107</v>
      </c>
      <c r="AU749" s="1">
        <v>2018.0</v>
      </c>
      <c r="AV749" s="1">
        <v>91.0</v>
      </c>
      <c r="AW749" s="1" t="s">
        <v>74</v>
      </c>
      <c r="AX749" s="1" t="s">
        <v>74</v>
      </c>
      <c r="AY749" s="1" t="s">
        <v>74</v>
      </c>
      <c r="AZ749" s="1" t="s">
        <v>74</v>
      </c>
      <c r="BA749" s="1" t="s">
        <v>74</v>
      </c>
      <c r="BB749" s="1">
        <v>136.0</v>
      </c>
      <c r="BC749" s="1">
        <v>143.0</v>
      </c>
      <c r="BD749" s="1" t="s">
        <v>74</v>
      </c>
      <c r="BE749" s="1" t="s">
        <v>7074</v>
      </c>
      <c r="BF749" s="2" t="str">
        <f>HYPERLINK("http://dx.doi.org/10.1016/j.automatica.2018.01.033","http://dx.doi.org/10.1016/j.automatica.2018.01.033")</f>
        <v>http://dx.doi.org/10.1016/j.automatica.2018.01.033</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7075</v>
      </c>
      <c r="BT749" s="1" t="str">
        <f>HYPERLINK("https%3A%2F%2Fwww.webofscience.com%2Fwos%2Fwoscc%2Ffull-record%2FWOS:000430756000016","View Full Record in Web of Science")</f>
        <v>View Full Record in Web of Science</v>
      </c>
    </row>
    <row r="750" ht="12.75" customHeight="1">
      <c r="A750" s="1" t="s">
        <v>72</v>
      </c>
      <c r="B750" s="1" t="s">
        <v>7076</v>
      </c>
      <c r="C750" s="1" t="s">
        <v>74</v>
      </c>
      <c r="D750" s="1" t="s">
        <v>74</v>
      </c>
      <c r="E750" s="1" t="s">
        <v>74</v>
      </c>
      <c r="F750" s="1" t="s">
        <v>7077</v>
      </c>
      <c r="G750" s="1" t="s">
        <v>74</v>
      </c>
      <c r="H750" s="1" t="s">
        <v>74</v>
      </c>
      <c r="I750" s="1" t="s">
        <v>7078</v>
      </c>
      <c r="J750" s="1" t="s">
        <v>2376</v>
      </c>
      <c r="K750" s="1" t="s">
        <v>74</v>
      </c>
      <c r="L750" s="1" t="s">
        <v>74</v>
      </c>
      <c r="M750" s="1" t="s">
        <v>74</v>
      </c>
      <c r="N750" s="1" t="s">
        <v>74</v>
      </c>
      <c r="O750" s="1" t="s">
        <v>74</v>
      </c>
      <c r="P750" s="1" t="s">
        <v>74</v>
      </c>
      <c r="Q750" s="1" t="s">
        <v>74</v>
      </c>
      <c r="R750" s="1" t="s">
        <v>74</v>
      </c>
      <c r="S750" s="1" t="s">
        <v>74</v>
      </c>
      <c r="T750" s="1" t="s">
        <v>74</v>
      </c>
      <c r="U750" s="1" t="s">
        <v>74</v>
      </c>
      <c r="V750" s="1" t="s">
        <v>7079</v>
      </c>
      <c r="W750" s="1" t="s">
        <v>74</v>
      </c>
      <c r="X750" s="1" t="s">
        <v>74</v>
      </c>
      <c r="Y750" s="1" t="s">
        <v>74</v>
      </c>
      <c r="Z750" s="1" t="s">
        <v>74</v>
      </c>
      <c r="AA750" s="1" t="s">
        <v>7080</v>
      </c>
      <c r="AB750" s="1" t="s">
        <v>7081</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2379</v>
      </c>
      <c r="AP750" s="1" t="s">
        <v>74</v>
      </c>
      <c r="AQ750" s="1" t="s">
        <v>74</v>
      </c>
      <c r="AR750" s="1" t="s">
        <v>74</v>
      </c>
      <c r="AS750" s="1" t="s">
        <v>74</v>
      </c>
      <c r="AT750" s="1" t="s">
        <v>2380</v>
      </c>
      <c r="AU750" s="1">
        <v>2017.0</v>
      </c>
      <c r="AV750" s="1">
        <v>84.0</v>
      </c>
      <c r="AW750" s="1">
        <v>334.0</v>
      </c>
      <c r="AX750" s="1" t="s">
        <v>74</v>
      </c>
      <c r="AY750" s="1" t="s">
        <v>74</v>
      </c>
      <c r="AZ750" s="1" t="s">
        <v>74</v>
      </c>
      <c r="BA750" s="1" t="s">
        <v>74</v>
      </c>
      <c r="BB750" s="1">
        <v>259.0</v>
      </c>
      <c r="BC750" s="1">
        <v>306.0</v>
      </c>
      <c r="BD750" s="1" t="s">
        <v>74</v>
      </c>
      <c r="BE750" s="1" t="s">
        <v>7082</v>
      </c>
      <c r="BF750" s="2" t="str">
        <f>HYPERLINK("http://dx.doi.org/10.20430/ete.v84i334.302","http://dx.doi.org/10.20430/ete.v84i334.302")</f>
        <v>http://dx.doi.org/10.20430/ete.v84i334.302</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7083</v>
      </c>
      <c r="BT750" s="1" t="str">
        <f>HYPERLINK("https%3A%2F%2Fwww.webofscience.com%2Fwos%2Fwoscc%2Ffull-record%2FWOS:000400805200001","View Full Record in Web of Science")</f>
        <v>View Full Record in Web of Science</v>
      </c>
    </row>
    <row r="751" ht="12.75" customHeight="1">
      <c r="A751" s="1" t="s">
        <v>72</v>
      </c>
      <c r="B751" s="1" t="s">
        <v>7084</v>
      </c>
      <c r="C751" s="1" t="s">
        <v>74</v>
      </c>
      <c r="D751" s="1" t="s">
        <v>74</v>
      </c>
      <c r="E751" s="1" t="s">
        <v>74</v>
      </c>
      <c r="F751" s="1" t="s">
        <v>7085</v>
      </c>
      <c r="G751" s="1" t="s">
        <v>74</v>
      </c>
      <c r="H751" s="1" t="s">
        <v>74</v>
      </c>
      <c r="I751" s="1" t="s">
        <v>7086</v>
      </c>
      <c r="J751" s="1" t="s">
        <v>2416</v>
      </c>
      <c r="K751" s="1" t="s">
        <v>74</v>
      </c>
      <c r="L751" s="1" t="s">
        <v>74</v>
      </c>
      <c r="M751" s="1" t="s">
        <v>74</v>
      </c>
      <c r="N751" s="1" t="s">
        <v>74</v>
      </c>
      <c r="O751" s="1" t="s">
        <v>7087</v>
      </c>
      <c r="P751" s="1" t="s">
        <v>7088</v>
      </c>
      <c r="Q751" s="1" t="s">
        <v>7089</v>
      </c>
      <c r="R751" s="1" t="s">
        <v>7090</v>
      </c>
      <c r="S751" s="1" t="s">
        <v>74</v>
      </c>
      <c r="T751" s="1" t="s">
        <v>74</v>
      </c>
      <c r="U751" s="1" t="s">
        <v>74</v>
      </c>
      <c r="V751" s="1" t="s">
        <v>74</v>
      </c>
      <c r="W751" s="1" t="s">
        <v>74</v>
      </c>
      <c r="X751" s="1" t="s">
        <v>74</v>
      </c>
      <c r="Y751" s="1" t="s">
        <v>74</v>
      </c>
      <c r="Z751" s="1" t="s">
        <v>74</v>
      </c>
      <c r="AA751" s="1" t="s">
        <v>7091</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2418</v>
      </c>
      <c r="AP751" s="1" t="s">
        <v>2419</v>
      </c>
      <c r="AQ751" s="1" t="s">
        <v>74</v>
      </c>
      <c r="AR751" s="1" t="s">
        <v>74</v>
      </c>
      <c r="AS751" s="1" t="s">
        <v>74</v>
      </c>
      <c r="AT751" s="1" t="s">
        <v>2285</v>
      </c>
      <c r="AU751" s="1">
        <v>2017.0</v>
      </c>
      <c r="AV751" s="1">
        <v>472.0</v>
      </c>
      <c r="AW751" s="1" t="s">
        <v>74</v>
      </c>
      <c r="AX751" s="1" t="s">
        <v>74</v>
      </c>
      <c r="AY751" s="1" t="s">
        <v>475</v>
      </c>
      <c r="AZ751" s="1" t="s">
        <v>297</v>
      </c>
      <c r="BA751" s="1" t="s">
        <v>74</v>
      </c>
      <c r="BB751" s="1">
        <v>151.0</v>
      </c>
      <c r="BC751" s="1">
        <v>151.0</v>
      </c>
      <c r="BD751" s="1" t="s">
        <v>74</v>
      </c>
      <c r="BE751" s="1" t="s">
        <v>74</v>
      </c>
      <c r="BF751" s="1" t="s">
        <v>74</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7092</v>
      </c>
      <c r="BT751" s="1" t="str">
        <f>HYPERLINK("https%3A%2F%2Fwww.webofscience.com%2Fwos%2Fwoscc%2Ffull-record%2FWOS:000411454500197","View Full Record in Web of Science")</f>
        <v>View Full Record in Web of Science</v>
      </c>
    </row>
    <row r="752" ht="12.75" customHeight="1">
      <c r="A752" s="1" t="s">
        <v>72</v>
      </c>
      <c r="B752" s="1" t="s">
        <v>7093</v>
      </c>
      <c r="C752" s="1" t="s">
        <v>74</v>
      </c>
      <c r="D752" s="1" t="s">
        <v>74</v>
      </c>
      <c r="E752" s="1" t="s">
        <v>74</v>
      </c>
      <c r="F752" s="1" t="s">
        <v>7094</v>
      </c>
      <c r="G752" s="1" t="s">
        <v>74</v>
      </c>
      <c r="H752" s="1" t="s">
        <v>74</v>
      </c>
      <c r="I752" s="1" t="s">
        <v>7095</v>
      </c>
      <c r="J752" s="1" t="s">
        <v>7096</v>
      </c>
      <c r="K752" s="1" t="s">
        <v>74</v>
      </c>
      <c r="L752" s="1" t="s">
        <v>74</v>
      </c>
      <c r="M752" s="1" t="s">
        <v>74</v>
      </c>
      <c r="N752" s="1" t="s">
        <v>74</v>
      </c>
      <c r="O752" s="1" t="s">
        <v>74</v>
      </c>
      <c r="P752" s="1" t="s">
        <v>74</v>
      </c>
      <c r="Q752" s="1" t="s">
        <v>74</v>
      </c>
      <c r="R752" s="1" t="s">
        <v>74</v>
      </c>
      <c r="S752" s="1" t="s">
        <v>74</v>
      </c>
      <c r="T752" s="1" t="s">
        <v>74</v>
      </c>
      <c r="U752" s="1" t="s">
        <v>74</v>
      </c>
      <c r="V752" s="1" t="s">
        <v>7097</v>
      </c>
      <c r="W752" s="1" t="s">
        <v>74</v>
      </c>
      <c r="X752" s="1" t="s">
        <v>74</v>
      </c>
      <c r="Y752" s="1" t="s">
        <v>74</v>
      </c>
      <c r="Z752" s="1" t="s">
        <v>74</v>
      </c>
      <c r="AA752" s="1" t="s">
        <v>7098</v>
      </c>
      <c r="AB752" s="1" t="s">
        <v>7099</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7100</v>
      </c>
      <c r="AP752" s="1" t="s">
        <v>7101</v>
      </c>
      <c r="AQ752" s="1" t="s">
        <v>74</v>
      </c>
      <c r="AR752" s="1" t="s">
        <v>74</v>
      </c>
      <c r="AS752" s="1" t="s">
        <v>74</v>
      </c>
      <c r="AT752" s="1" t="s">
        <v>74</v>
      </c>
      <c r="AU752" s="1">
        <v>2017.0</v>
      </c>
      <c r="AV752" s="1">
        <v>16.0</v>
      </c>
      <c r="AW752" s="1">
        <v>3.0</v>
      </c>
      <c r="AX752" s="1" t="s">
        <v>74</v>
      </c>
      <c r="AY752" s="1" t="s">
        <v>74</v>
      </c>
      <c r="AZ752" s="1" t="s">
        <v>74</v>
      </c>
      <c r="BA752" s="1" t="s">
        <v>74</v>
      </c>
      <c r="BB752" s="1">
        <v>215.0</v>
      </c>
      <c r="BC752" s="1">
        <v>228.0</v>
      </c>
      <c r="BD752" s="1" t="s">
        <v>74</v>
      </c>
      <c r="BE752" s="1" t="s">
        <v>7102</v>
      </c>
      <c r="BF752" s="2" t="str">
        <f>HYPERLINK("http://dx.doi.org/10.1080/14760584.2017.1244483","http://dx.doi.org/10.1080/14760584.2017.1244483")</f>
        <v>http://dx.doi.org/10.1080/14760584.2017.1244483</v>
      </c>
      <c r="BG752" s="1" t="s">
        <v>74</v>
      </c>
      <c r="BH752" s="1" t="s">
        <v>74</v>
      </c>
      <c r="BI752" s="1" t="s">
        <v>74</v>
      </c>
      <c r="BJ752" s="1" t="s">
        <v>74</v>
      </c>
      <c r="BK752" s="1" t="s">
        <v>74</v>
      </c>
      <c r="BL752" s="1" t="s">
        <v>74</v>
      </c>
      <c r="BM752" s="1" t="s">
        <v>74</v>
      </c>
      <c r="BN752" s="1">
        <v>2.7690686E7</v>
      </c>
      <c r="BO752" s="1" t="s">
        <v>74</v>
      </c>
      <c r="BP752" s="1" t="s">
        <v>74</v>
      </c>
      <c r="BQ752" s="1" t="s">
        <v>74</v>
      </c>
      <c r="BR752" s="1" t="s">
        <v>74</v>
      </c>
      <c r="BS752" s="1" t="s">
        <v>7103</v>
      </c>
      <c r="BT752" s="1" t="str">
        <f>HYPERLINK("https%3A%2F%2Fwww.webofscience.com%2Fwos%2Fwoscc%2Ffull-record%2FWOS:000395180000003","View Full Record in Web of Science")</f>
        <v>View Full Record in Web of Science</v>
      </c>
    </row>
    <row r="753" ht="12.75" customHeight="1">
      <c r="A753" s="1" t="s">
        <v>72</v>
      </c>
      <c r="B753" s="1" t="s">
        <v>7104</v>
      </c>
      <c r="C753" s="1" t="s">
        <v>74</v>
      </c>
      <c r="D753" s="1" t="s">
        <v>74</v>
      </c>
      <c r="E753" s="1" t="s">
        <v>74</v>
      </c>
      <c r="F753" s="1" t="s">
        <v>7105</v>
      </c>
      <c r="G753" s="1" t="s">
        <v>74</v>
      </c>
      <c r="H753" s="1" t="s">
        <v>74</v>
      </c>
      <c r="I753" s="1" t="s">
        <v>7106</v>
      </c>
      <c r="J753" s="1" t="s">
        <v>6777</v>
      </c>
      <c r="K753" s="1" t="s">
        <v>74</v>
      </c>
      <c r="L753" s="1" t="s">
        <v>74</v>
      </c>
      <c r="M753" s="1" t="s">
        <v>74</v>
      </c>
      <c r="N753" s="1" t="s">
        <v>74</v>
      </c>
      <c r="O753" s="1" t="s">
        <v>74</v>
      </c>
      <c r="P753" s="1" t="s">
        <v>74</v>
      </c>
      <c r="Q753" s="1" t="s">
        <v>74</v>
      </c>
      <c r="R753" s="1" t="s">
        <v>74</v>
      </c>
      <c r="S753" s="1" t="s">
        <v>74</v>
      </c>
      <c r="T753" s="1" t="s">
        <v>74</v>
      </c>
      <c r="U753" s="1" t="s">
        <v>74</v>
      </c>
      <c r="V753" s="1" t="s">
        <v>7107</v>
      </c>
      <c r="W753" s="1" t="s">
        <v>74</v>
      </c>
      <c r="X753" s="1" t="s">
        <v>74</v>
      </c>
      <c r="Y753" s="1" t="s">
        <v>74</v>
      </c>
      <c r="Z753" s="1" t="s">
        <v>74</v>
      </c>
      <c r="AA753" s="1" t="s">
        <v>7108</v>
      </c>
      <c r="AB753" s="1" t="s">
        <v>6779</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6780</v>
      </c>
      <c r="AP753" s="1" t="s">
        <v>6781</v>
      </c>
      <c r="AQ753" s="1" t="s">
        <v>74</v>
      </c>
      <c r="AR753" s="1" t="s">
        <v>74</v>
      </c>
      <c r="AS753" s="1" t="s">
        <v>74</v>
      </c>
      <c r="AT753" s="1" t="s">
        <v>496</v>
      </c>
      <c r="AU753" s="1">
        <v>2017.0</v>
      </c>
      <c r="AV753" s="1">
        <v>49.0</v>
      </c>
      <c r="AW753" s="1">
        <v>1.0</v>
      </c>
      <c r="AX753" s="1" t="s">
        <v>74</v>
      </c>
      <c r="AY753" s="1" t="s">
        <v>74</v>
      </c>
      <c r="AZ753" s="1" t="s">
        <v>74</v>
      </c>
      <c r="BA753" s="1" t="s">
        <v>74</v>
      </c>
      <c r="BB753" s="1">
        <v>28.0</v>
      </c>
      <c r="BC753" s="1">
        <v>36.0</v>
      </c>
      <c r="BD753" s="1" t="s">
        <v>74</v>
      </c>
      <c r="BE753" s="1" t="s">
        <v>7109</v>
      </c>
      <c r="BF753" s="2" t="str">
        <f>HYPERLINK("http://dx.doi.org/10.1002/kin.21054","http://dx.doi.org/10.1002/kin.21054")</f>
        <v>http://dx.doi.org/10.1002/kin.21054</v>
      </c>
      <c r="BG753" s="1" t="s">
        <v>74</v>
      </c>
      <c r="BH753" s="1" t="s">
        <v>74</v>
      </c>
      <c r="BI753" s="1" t="s">
        <v>74</v>
      </c>
      <c r="BJ753" s="1" t="s">
        <v>74</v>
      </c>
      <c r="BK753" s="1" t="s">
        <v>74</v>
      </c>
      <c r="BL753" s="1" t="s">
        <v>74</v>
      </c>
      <c r="BM753" s="1" t="s">
        <v>74</v>
      </c>
      <c r="BN753" s="1" t="s">
        <v>74</v>
      </c>
      <c r="BO753" s="1" t="s">
        <v>74</v>
      </c>
      <c r="BP753" s="1" t="s">
        <v>74</v>
      </c>
      <c r="BQ753" s="1" t="s">
        <v>74</v>
      </c>
      <c r="BR753" s="1" t="s">
        <v>74</v>
      </c>
      <c r="BS753" s="1" t="s">
        <v>7110</v>
      </c>
      <c r="BT753" s="1" t="str">
        <f>HYPERLINK("https%3A%2F%2Fwww.webofscience.com%2Fwos%2Fwoscc%2Ffull-record%2FWOS:000389196400004","View Full Record in Web of Science")</f>
        <v>View Full Record in Web of Science</v>
      </c>
    </row>
    <row r="754" ht="12.75" customHeight="1">
      <c r="A754" s="1" t="s">
        <v>72</v>
      </c>
      <c r="B754" s="1" t="s">
        <v>7111</v>
      </c>
      <c r="C754" s="1" t="s">
        <v>74</v>
      </c>
      <c r="D754" s="1" t="s">
        <v>74</v>
      </c>
      <c r="E754" s="1" t="s">
        <v>74</v>
      </c>
      <c r="F754" s="1" t="s">
        <v>7112</v>
      </c>
      <c r="G754" s="1" t="s">
        <v>74</v>
      </c>
      <c r="H754" s="1" t="s">
        <v>74</v>
      </c>
      <c r="I754" s="1" t="s">
        <v>7113</v>
      </c>
      <c r="J754" s="1" t="s">
        <v>7114</v>
      </c>
      <c r="K754" s="1" t="s">
        <v>74</v>
      </c>
      <c r="L754" s="1" t="s">
        <v>74</v>
      </c>
      <c r="M754" s="1" t="s">
        <v>74</v>
      </c>
      <c r="N754" s="1" t="s">
        <v>74</v>
      </c>
      <c r="O754" s="1" t="s">
        <v>74</v>
      </c>
      <c r="P754" s="1" t="s">
        <v>74</v>
      </c>
      <c r="Q754" s="1" t="s">
        <v>74</v>
      </c>
      <c r="R754" s="1" t="s">
        <v>74</v>
      </c>
      <c r="S754" s="1" t="s">
        <v>74</v>
      </c>
      <c r="T754" s="1" t="s">
        <v>74</v>
      </c>
      <c r="U754" s="1" t="s">
        <v>74</v>
      </c>
      <c r="V754" s="1" t="s">
        <v>7115</v>
      </c>
      <c r="W754" s="1" t="s">
        <v>74</v>
      </c>
      <c r="X754" s="1" t="s">
        <v>74</v>
      </c>
      <c r="Y754" s="1" t="s">
        <v>74</v>
      </c>
      <c r="Z754" s="1" t="s">
        <v>74</v>
      </c>
      <c r="AA754" s="1" t="s">
        <v>7116</v>
      </c>
      <c r="AB754" s="1" t="s">
        <v>7117</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7118</v>
      </c>
      <c r="AP754" s="1" t="s">
        <v>7119</v>
      </c>
      <c r="AQ754" s="1" t="s">
        <v>74</v>
      </c>
      <c r="AR754" s="1" t="s">
        <v>74</v>
      </c>
      <c r="AS754" s="1" t="s">
        <v>74</v>
      </c>
      <c r="AT754" s="1" t="s">
        <v>232</v>
      </c>
      <c r="AU754" s="1">
        <v>2016.0</v>
      </c>
      <c r="AV754" s="1">
        <v>216.0</v>
      </c>
      <c r="AW754" s="1">
        <v>1.0</v>
      </c>
      <c r="AX754" s="1" t="s">
        <v>74</v>
      </c>
      <c r="AY754" s="1" t="s">
        <v>74</v>
      </c>
      <c r="AZ754" s="1" t="s">
        <v>74</v>
      </c>
      <c r="BA754" s="1" t="s">
        <v>74</v>
      </c>
      <c r="BB754" s="1">
        <v>471.0</v>
      </c>
      <c r="BC754" s="1">
        <v>505.0</v>
      </c>
      <c r="BD754" s="1" t="s">
        <v>74</v>
      </c>
      <c r="BE754" s="1" t="s">
        <v>7120</v>
      </c>
      <c r="BF754" s="2" t="str">
        <f>HYPERLINK("http://dx.doi.org/10.1007/s11856-016-1417-3","http://dx.doi.org/10.1007/s11856-016-1417-3")</f>
        <v>http://dx.doi.org/10.1007/s11856-016-1417-3</v>
      </c>
      <c r="BG754" s="1" t="s">
        <v>74</v>
      </c>
      <c r="BH754" s="1" t="s">
        <v>74</v>
      </c>
      <c r="BI754" s="1" t="s">
        <v>74</v>
      </c>
      <c r="BJ754" s="1" t="s">
        <v>74</v>
      </c>
      <c r="BK754" s="1" t="s">
        <v>74</v>
      </c>
      <c r="BL754" s="1" t="s">
        <v>74</v>
      </c>
      <c r="BM754" s="1" t="s">
        <v>74</v>
      </c>
      <c r="BN754" s="1" t="s">
        <v>74</v>
      </c>
      <c r="BO754" s="1" t="s">
        <v>74</v>
      </c>
      <c r="BP754" s="1" t="s">
        <v>74</v>
      </c>
      <c r="BQ754" s="1" t="s">
        <v>74</v>
      </c>
      <c r="BR754" s="1" t="s">
        <v>74</v>
      </c>
      <c r="BS754" s="1" t="s">
        <v>7121</v>
      </c>
      <c r="BT754" s="1" t="str">
        <f>HYPERLINK("https%3A%2F%2Fwww.webofscience.com%2Fwos%2Fwoscc%2Ffull-record%2FWOS:000385411200016","View Full Record in Web of Science")</f>
        <v>View Full Record in Web of Science</v>
      </c>
    </row>
    <row r="755" ht="12.75" customHeight="1">
      <c r="A755" s="1" t="s">
        <v>346</v>
      </c>
      <c r="B755" s="1" t="s">
        <v>7122</v>
      </c>
      <c r="C755" s="1" t="s">
        <v>74</v>
      </c>
      <c r="D755" s="1" t="s">
        <v>7123</v>
      </c>
      <c r="E755" s="1" t="s">
        <v>74</v>
      </c>
      <c r="F755" s="1" t="s">
        <v>7124</v>
      </c>
      <c r="G755" s="1" t="s">
        <v>74</v>
      </c>
      <c r="H755" s="1" t="s">
        <v>74</v>
      </c>
      <c r="I755" s="1" t="s">
        <v>7125</v>
      </c>
      <c r="J755" s="1" t="s">
        <v>7126</v>
      </c>
      <c r="K755" s="1" t="s">
        <v>74</v>
      </c>
      <c r="L755" s="1" t="s">
        <v>74</v>
      </c>
      <c r="M755" s="1" t="s">
        <v>74</v>
      </c>
      <c r="N755" s="1" t="s">
        <v>74</v>
      </c>
      <c r="O755" s="1" t="s">
        <v>7127</v>
      </c>
      <c r="P755" s="1" t="s">
        <v>7128</v>
      </c>
      <c r="Q755" s="1" t="s">
        <v>7129</v>
      </c>
      <c r="R755" s="1" t="s">
        <v>7130</v>
      </c>
      <c r="S755" s="1" t="s">
        <v>74</v>
      </c>
      <c r="T755" s="1" t="s">
        <v>74</v>
      </c>
      <c r="U755" s="1" t="s">
        <v>74</v>
      </c>
      <c r="V755" s="1" t="s">
        <v>7131</v>
      </c>
      <c r="W755" s="1" t="s">
        <v>74</v>
      </c>
      <c r="X755" s="1" t="s">
        <v>74</v>
      </c>
      <c r="Y755" s="1" t="s">
        <v>74</v>
      </c>
      <c r="Z755" s="1" t="s">
        <v>74</v>
      </c>
      <c r="AA755" s="1" t="s">
        <v>7132</v>
      </c>
      <c r="AB755" s="1" t="s">
        <v>7133</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74</v>
      </c>
      <c r="AP755" s="1" t="s">
        <v>74</v>
      </c>
      <c r="AQ755" s="1" t="s">
        <v>7134</v>
      </c>
      <c r="AR755" s="1" t="s">
        <v>74</v>
      </c>
      <c r="AS755" s="1" t="s">
        <v>74</v>
      </c>
      <c r="AT755" s="1" t="s">
        <v>74</v>
      </c>
      <c r="AU755" s="1">
        <v>2016.0</v>
      </c>
      <c r="AV755" s="1" t="s">
        <v>74</v>
      </c>
      <c r="AW755" s="1" t="s">
        <v>74</v>
      </c>
      <c r="AX755" s="1" t="s">
        <v>74</v>
      </c>
      <c r="AY755" s="1" t="s">
        <v>74</v>
      </c>
      <c r="AZ755" s="1" t="s">
        <v>74</v>
      </c>
      <c r="BA755" s="1" t="s">
        <v>74</v>
      </c>
      <c r="BB755" s="1">
        <v>139.0</v>
      </c>
      <c r="BC755" s="1">
        <v>140.0</v>
      </c>
      <c r="BD755" s="1" t="s">
        <v>74</v>
      </c>
      <c r="BE755" s="1" t="s">
        <v>7135</v>
      </c>
      <c r="BF755" s="2" t="str">
        <f>HYPERLINK("http://dx.doi.org/10.1145/2908961.2909051","http://dx.doi.org/10.1145/2908961.2909051")</f>
        <v>http://dx.doi.org/10.1145/2908961.2909051</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7136</v>
      </c>
      <c r="BT755" s="1" t="str">
        <f>HYPERLINK("https%3A%2F%2Fwww.webofscience.com%2Fwos%2Fwoscc%2Ffull-record%2FWOS:000383741800070","View Full Record in Web of Science")</f>
        <v>View Full Record in Web of Science</v>
      </c>
    </row>
    <row r="756" ht="12.75" customHeight="1">
      <c r="A756" s="1" t="s">
        <v>72</v>
      </c>
      <c r="B756" s="1" t="s">
        <v>7137</v>
      </c>
      <c r="C756" s="1" t="s">
        <v>74</v>
      </c>
      <c r="D756" s="1" t="s">
        <v>74</v>
      </c>
      <c r="E756" s="1" t="s">
        <v>74</v>
      </c>
      <c r="F756" s="1" t="s">
        <v>7138</v>
      </c>
      <c r="G756" s="1" t="s">
        <v>74</v>
      </c>
      <c r="H756" s="1" t="s">
        <v>74</v>
      </c>
      <c r="I756" s="1" t="s">
        <v>7139</v>
      </c>
      <c r="J756" s="1" t="s">
        <v>1846</v>
      </c>
      <c r="K756" s="1" t="s">
        <v>74</v>
      </c>
      <c r="L756" s="1" t="s">
        <v>74</v>
      </c>
      <c r="M756" s="1" t="s">
        <v>74</v>
      </c>
      <c r="N756" s="1" t="s">
        <v>74</v>
      </c>
      <c r="O756" s="1" t="s">
        <v>74</v>
      </c>
      <c r="P756" s="1" t="s">
        <v>74</v>
      </c>
      <c r="Q756" s="1" t="s">
        <v>74</v>
      </c>
      <c r="R756" s="1" t="s">
        <v>74</v>
      </c>
      <c r="S756" s="1" t="s">
        <v>74</v>
      </c>
      <c r="T756" s="1" t="s">
        <v>74</v>
      </c>
      <c r="U756" s="1" t="s">
        <v>74</v>
      </c>
      <c r="V756" s="1" t="s">
        <v>7140</v>
      </c>
      <c r="W756" s="1" t="s">
        <v>74</v>
      </c>
      <c r="X756" s="1" t="s">
        <v>74</v>
      </c>
      <c r="Y756" s="1" t="s">
        <v>74</v>
      </c>
      <c r="Z756" s="1" t="s">
        <v>74</v>
      </c>
      <c r="AA756" s="1" t="s">
        <v>7141</v>
      </c>
      <c r="AB756" s="1" t="s">
        <v>7142</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1850</v>
      </c>
      <c r="AP756" s="1" t="s">
        <v>1851</v>
      </c>
      <c r="AQ756" s="1" t="s">
        <v>74</v>
      </c>
      <c r="AR756" s="1" t="s">
        <v>74</v>
      </c>
      <c r="AS756" s="1" t="s">
        <v>74</v>
      </c>
      <c r="AT756" s="1" t="s">
        <v>647</v>
      </c>
      <c r="AU756" s="1">
        <v>2014.0</v>
      </c>
      <c r="AV756" s="1">
        <v>38.0</v>
      </c>
      <c r="AW756" s="1">
        <v>8.0</v>
      </c>
      <c r="AX756" s="1" t="s">
        <v>74</v>
      </c>
      <c r="AY756" s="1" t="s">
        <v>74</v>
      </c>
      <c r="AZ756" s="1" t="s">
        <v>74</v>
      </c>
      <c r="BA756" s="1" t="s">
        <v>74</v>
      </c>
      <c r="BB756" s="1">
        <v>3606.0</v>
      </c>
      <c r="BC756" s="1">
        <v>3612.0</v>
      </c>
      <c r="BD756" s="1" t="s">
        <v>74</v>
      </c>
      <c r="BE756" s="1" t="s">
        <v>7143</v>
      </c>
      <c r="BF756" s="2" t="str">
        <f>HYPERLINK("http://dx.doi.org/10.1039/c4nj00519h","http://dx.doi.org/10.1039/c4nj00519h")</f>
        <v>http://dx.doi.org/10.1039/c4nj00519h</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7144</v>
      </c>
      <c r="BT756" s="1" t="str">
        <f>HYPERLINK("https%3A%2F%2Fwww.webofscience.com%2Fwos%2Fwoscc%2Ffull-record%2FWOS:000339469500038","View Full Record in Web of Science")</f>
        <v>View Full Record in Web of Science</v>
      </c>
    </row>
    <row r="757" ht="12.75" customHeight="1">
      <c r="A757" s="1" t="s">
        <v>72</v>
      </c>
      <c r="B757" s="1" t="s">
        <v>7145</v>
      </c>
      <c r="C757" s="1" t="s">
        <v>74</v>
      </c>
      <c r="D757" s="1" t="s">
        <v>74</v>
      </c>
      <c r="E757" s="1" t="s">
        <v>74</v>
      </c>
      <c r="F757" s="1" t="s">
        <v>7146</v>
      </c>
      <c r="G757" s="1" t="s">
        <v>74</v>
      </c>
      <c r="H757" s="1" t="s">
        <v>74</v>
      </c>
      <c r="I757" s="1" t="s">
        <v>7147</v>
      </c>
      <c r="J757" s="1" t="s">
        <v>7148</v>
      </c>
      <c r="K757" s="1" t="s">
        <v>74</v>
      </c>
      <c r="L757" s="1" t="s">
        <v>74</v>
      </c>
      <c r="M757" s="1" t="s">
        <v>74</v>
      </c>
      <c r="N757" s="1" t="s">
        <v>74</v>
      </c>
      <c r="O757" s="1" t="s">
        <v>74</v>
      </c>
      <c r="P757" s="1" t="s">
        <v>74</v>
      </c>
      <c r="Q757" s="1" t="s">
        <v>74</v>
      </c>
      <c r="R757" s="1" t="s">
        <v>74</v>
      </c>
      <c r="S757" s="1" t="s">
        <v>74</v>
      </c>
      <c r="T757" s="1" t="s">
        <v>74</v>
      </c>
      <c r="U757" s="1" t="s">
        <v>74</v>
      </c>
      <c r="V757" s="1" t="s">
        <v>7149</v>
      </c>
      <c r="W757" s="1" t="s">
        <v>74</v>
      </c>
      <c r="X757" s="1" t="s">
        <v>74</v>
      </c>
      <c r="Y757" s="1" t="s">
        <v>74</v>
      </c>
      <c r="Z757" s="1" t="s">
        <v>74</v>
      </c>
      <c r="AA757" s="1" t="s">
        <v>7150</v>
      </c>
      <c r="AB757" s="1" t="s">
        <v>7151</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7152</v>
      </c>
      <c r="AP757" s="1" t="s">
        <v>7153</v>
      </c>
      <c r="AQ757" s="1" t="s">
        <v>74</v>
      </c>
      <c r="AR757" s="1" t="s">
        <v>74</v>
      </c>
      <c r="AS757" s="1" t="s">
        <v>74</v>
      </c>
      <c r="AT757" s="1" t="s">
        <v>7154</v>
      </c>
      <c r="AU757" s="1">
        <v>2014.0</v>
      </c>
      <c r="AV757" s="1">
        <v>1058.0</v>
      </c>
      <c r="AW757" s="1" t="s">
        <v>74</v>
      </c>
      <c r="AX757" s="1" t="s">
        <v>74</v>
      </c>
      <c r="AY757" s="1" t="s">
        <v>74</v>
      </c>
      <c r="AZ757" s="1" t="s">
        <v>74</v>
      </c>
      <c r="BA757" s="1" t="s">
        <v>74</v>
      </c>
      <c r="BB757" s="1">
        <v>149.0</v>
      </c>
      <c r="BC757" s="1">
        <v>154.0</v>
      </c>
      <c r="BD757" s="1" t="s">
        <v>74</v>
      </c>
      <c r="BE757" s="1" t="s">
        <v>7155</v>
      </c>
      <c r="BF757" s="2" t="str">
        <f>HYPERLINK("http://dx.doi.org/10.1016/j.molstruc.2013.10.070","http://dx.doi.org/10.1016/j.molstruc.2013.10.070")</f>
        <v>http://dx.doi.org/10.1016/j.molstruc.2013.10.070</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7156</v>
      </c>
      <c r="BT757" s="1" t="str">
        <f>HYPERLINK("https%3A%2F%2Fwww.webofscience.com%2Fwos%2Fwoscc%2Ffull-record%2FWOS:000330258200019","View Full Record in Web of Science")</f>
        <v>View Full Record in Web of Science</v>
      </c>
    </row>
    <row r="758" ht="12.75" customHeight="1">
      <c r="A758" s="1" t="s">
        <v>72</v>
      </c>
      <c r="B758" s="1" t="s">
        <v>7157</v>
      </c>
      <c r="C758" s="1" t="s">
        <v>74</v>
      </c>
      <c r="D758" s="1" t="s">
        <v>74</v>
      </c>
      <c r="E758" s="1" t="s">
        <v>74</v>
      </c>
      <c r="F758" s="1" t="s">
        <v>7158</v>
      </c>
      <c r="G758" s="1" t="s">
        <v>74</v>
      </c>
      <c r="H758" s="1" t="s">
        <v>74</v>
      </c>
      <c r="I758" s="1" t="s">
        <v>7159</v>
      </c>
      <c r="J758" s="1" t="s">
        <v>7160</v>
      </c>
      <c r="K758" s="1" t="s">
        <v>74</v>
      </c>
      <c r="L758" s="1" t="s">
        <v>74</v>
      </c>
      <c r="M758" s="1" t="s">
        <v>74</v>
      </c>
      <c r="N758" s="1" t="s">
        <v>74</v>
      </c>
      <c r="O758" s="1" t="s">
        <v>74</v>
      </c>
      <c r="P758" s="1" t="s">
        <v>74</v>
      </c>
      <c r="Q758" s="1" t="s">
        <v>74</v>
      </c>
      <c r="R758" s="1" t="s">
        <v>74</v>
      </c>
      <c r="S758" s="1" t="s">
        <v>74</v>
      </c>
      <c r="T758" s="1" t="s">
        <v>74</v>
      </c>
      <c r="U758" s="1" t="s">
        <v>74</v>
      </c>
      <c r="V758" s="1" t="s">
        <v>7161</v>
      </c>
      <c r="W758" s="1" t="s">
        <v>74</v>
      </c>
      <c r="X758" s="1" t="s">
        <v>74</v>
      </c>
      <c r="Y758" s="1" t="s">
        <v>74</v>
      </c>
      <c r="Z758" s="1" t="s">
        <v>74</v>
      </c>
      <c r="AA758" s="1" t="s">
        <v>1932</v>
      </c>
      <c r="AB758" s="1" t="s">
        <v>1933</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7162</v>
      </c>
      <c r="AP758" s="1" t="s">
        <v>7163</v>
      </c>
      <c r="AQ758" s="1" t="s">
        <v>74</v>
      </c>
      <c r="AR758" s="1" t="s">
        <v>74</v>
      </c>
      <c r="AS758" s="1" t="s">
        <v>74</v>
      </c>
      <c r="AT758" s="1" t="s">
        <v>83</v>
      </c>
      <c r="AU758" s="1">
        <v>2013.0</v>
      </c>
      <c r="AV758" s="1">
        <v>24.0</v>
      </c>
      <c r="AW758" s="1">
        <v>5.0</v>
      </c>
      <c r="AX758" s="1" t="s">
        <v>74</v>
      </c>
      <c r="AY758" s="1" t="s">
        <v>74</v>
      </c>
      <c r="AZ758" s="1" t="s">
        <v>74</v>
      </c>
      <c r="BA758" s="1" t="s">
        <v>74</v>
      </c>
      <c r="BB758" s="1">
        <v>529.0</v>
      </c>
      <c r="BC758" s="1">
        <v>540.0</v>
      </c>
      <c r="BD758" s="1" t="s">
        <v>74</v>
      </c>
      <c r="BE758" s="1" t="s">
        <v>7164</v>
      </c>
      <c r="BF758" s="2" t="str">
        <f>HYPERLINK("http://dx.doi.org/10.1177/1045389X12461722","http://dx.doi.org/10.1177/1045389X12461722")</f>
        <v>http://dx.doi.org/10.1177/1045389X12461722</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7165</v>
      </c>
      <c r="BT758" s="1" t="str">
        <f>HYPERLINK("https%3A%2F%2Fwww.webofscience.com%2Fwos%2Fwoscc%2Ffull-record%2FWOS:000317625600001","View Full Record in Web of Science")</f>
        <v>View Full Record in Web of Science</v>
      </c>
    </row>
    <row r="759" ht="12.75" customHeight="1">
      <c r="A759" s="1" t="s">
        <v>72</v>
      </c>
      <c r="B759" s="1" t="s">
        <v>7166</v>
      </c>
      <c r="C759" s="1" t="s">
        <v>74</v>
      </c>
      <c r="D759" s="1" t="s">
        <v>74</v>
      </c>
      <c r="E759" s="1" t="s">
        <v>74</v>
      </c>
      <c r="F759" s="1" t="s">
        <v>7167</v>
      </c>
      <c r="G759" s="1" t="s">
        <v>74</v>
      </c>
      <c r="H759" s="1" t="s">
        <v>74</v>
      </c>
      <c r="I759" s="1" t="s">
        <v>7168</v>
      </c>
      <c r="J759" s="1" t="s">
        <v>206</v>
      </c>
      <c r="K759" s="1" t="s">
        <v>74</v>
      </c>
      <c r="L759" s="1" t="s">
        <v>74</v>
      </c>
      <c r="M759" s="1" t="s">
        <v>74</v>
      </c>
      <c r="N759" s="1" t="s">
        <v>74</v>
      </c>
      <c r="O759" s="1" t="s">
        <v>74</v>
      </c>
      <c r="P759" s="1" t="s">
        <v>74</v>
      </c>
      <c r="Q759" s="1" t="s">
        <v>74</v>
      </c>
      <c r="R759" s="1" t="s">
        <v>74</v>
      </c>
      <c r="S759" s="1" t="s">
        <v>74</v>
      </c>
      <c r="T759" s="1" t="s">
        <v>74</v>
      </c>
      <c r="U759" s="1" t="s">
        <v>74</v>
      </c>
      <c r="V759" s="1" t="s">
        <v>7169</v>
      </c>
      <c r="W759" s="1" t="s">
        <v>74</v>
      </c>
      <c r="X759" s="1" t="s">
        <v>74</v>
      </c>
      <c r="Y759" s="1" t="s">
        <v>74</v>
      </c>
      <c r="Z759" s="1" t="s">
        <v>74</v>
      </c>
      <c r="AA759" s="1" t="s">
        <v>6835</v>
      </c>
      <c r="AB759" s="1" t="s">
        <v>7170</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210</v>
      </c>
      <c r="AP759" s="1" t="s">
        <v>211</v>
      </c>
      <c r="AQ759" s="1" t="s">
        <v>74</v>
      </c>
      <c r="AR759" s="1" t="s">
        <v>74</v>
      </c>
      <c r="AS759" s="1" t="s">
        <v>74</v>
      </c>
      <c r="AT759" s="1" t="s">
        <v>107</v>
      </c>
      <c r="AU759" s="1">
        <v>2012.0</v>
      </c>
      <c r="AV759" s="1">
        <v>324.0</v>
      </c>
      <c r="AW759" s="1">
        <v>10.0</v>
      </c>
      <c r="AX759" s="1" t="s">
        <v>74</v>
      </c>
      <c r="AY759" s="1" t="s">
        <v>74</v>
      </c>
      <c r="AZ759" s="1" t="s">
        <v>74</v>
      </c>
      <c r="BA759" s="1" t="s">
        <v>74</v>
      </c>
      <c r="BB759" s="1">
        <v>1800.0</v>
      </c>
      <c r="BC759" s="1">
        <v>1803.0</v>
      </c>
      <c r="BD759" s="1" t="s">
        <v>74</v>
      </c>
      <c r="BE759" s="1" t="s">
        <v>7171</v>
      </c>
      <c r="BF759" s="2" t="str">
        <f>HYPERLINK("http://dx.doi.org/10.1016/j.jmmm.2012.01.001","http://dx.doi.org/10.1016/j.jmmm.2012.01.001")</f>
        <v>http://dx.doi.org/10.1016/j.jmmm.2012.01.001</v>
      </c>
      <c r="BG759" s="1" t="s">
        <v>74</v>
      </c>
      <c r="BH759" s="1" t="s">
        <v>74</v>
      </c>
      <c r="BI759" s="1" t="s">
        <v>74</v>
      </c>
      <c r="BJ759" s="1" t="s">
        <v>74</v>
      </c>
      <c r="BK759" s="1" t="s">
        <v>74</v>
      </c>
      <c r="BL759" s="1" t="s">
        <v>74</v>
      </c>
      <c r="BM759" s="1" t="s">
        <v>74</v>
      </c>
      <c r="BN759" s="1" t="s">
        <v>74</v>
      </c>
      <c r="BO759" s="1" t="s">
        <v>74</v>
      </c>
      <c r="BP759" s="1" t="s">
        <v>74</v>
      </c>
      <c r="BQ759" s="1" t="s">
        <v>74</v>
      </c>
      <c r="BR759" s="1" t="s">
        <v>74</v>
      </c>
      <c r="BS759" s="1" t="s">
        <v>7172</v>
      </c>
      <c r="BT759" s="1" t="str">
        <f>HYPERLINK("https%3A%2F%2Fwww.webofscience.com%2Fwos%2Fwoscc%2Ffull-record%2FWOS:000300782700009","View Full Record in Web of Science")</f>
        <v>View Full Record in Web of Science</v>
      </c>
    </row>
    <row r="760" ht="12.75" customHeight="1">
      <c r="A760" s="1" t="s">
        <v>72</v>
      </c>
      <c r="B760" s="1" t="s">
        <v>7173</v>
      </c>
      <c r="C760" s="1" t="s">
        <v>74</v>
      </c>
      <c r="D760" s="1" t="s">
        <v>74</v>
      </c>
      <c r="E760" s="1" t="s">
        <v>74</v>
      </c>
      <c r="F760" s="1" t="s">
        <v>7174</v>
      </c>
      <c r="G760" s="1" t="s">
        <v>74</v>
      </c>
      <c r="H760" s="1" t="s">
        <v>74</v>
      </c>
      <c r="I760" s="1" t="s">
        <v>7175</v>
      </c>
      <c r="J760" s="1" t="s">
        <v>1085</v>
      </c>
      <c r="K760" s="1" t="s">
        <v>74</v>
      </c>
      <c r="L760" s="1" t="s">
        <v>74</v>
      </c>
      <c r="M760" s="1" t="s">
        <v>74</v>
      </c>
      <c r="N760" s="1" t="s">
        <v>74</v>
      </c>
      <c r="O760" s="1" t="s">
        <v>74</v>
      </c>
      <c r="P760" s="1" t="s">
        <v>74</v>
      </c>
      <c r="Q760" s="1" t="s">
        <v>74</v>
      </c>
      <c r="R760" s="1" t="s">
        <v>74</v>
      </c>
      <c r="S760" s="1" t="s">
        <v>74</v>
      </c>
      <c r="T760" s="1" t="s">
        <v>74</v>
      </c>
      <c r="U760" s="1" t="s">
        <v>74</v>
      </c>
      <c r="V760" s="1" t="s">
        <v>7176</v>
      </c>
      <c r="W760" s="1" t="s">
        <v>74</v>
      </c>
      <c r="X760" s="1" t="s">
        <v>74</v>
      </c>
      <c r="Y760" s="1" t="s">
        <v>74</v>
      </c>
      <c r="Z760" s="1" t="s">
        <v>74</v>
      </c>
      <c r="AA760" s="1" t="s">
        <v>7177</v>
      </c>
      <c r="AB760" s="1" t="s">
        <v>7178</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7179</v>
      </c>
      <c r="AP760" s="1" t="s">
        <v>7180</v>
      </c>
      <c r="AQ760" s="1" t="s">
        <v>74</v>
      </c>
      <c r="AR760" s="1" t="s">
        <v>74</v>
      </c>
      <c r="AS760" s="1" t="s">
        <v>74</v>
      </c>
      <c r="AT760" s="1" t="s">
        <v>7181</v>
      </c>
      <c r="AU760" s="1">
        <v>2011.0</v>
      </c>
      <c r="AV760" s="1">
        <v>84.0</v>
      </c>
      <c r="AW760" s="1">
        <v>2.0</v>
      </c>
      <c r="AX760" s="1">
        <v>2.0</v>
      </c>
      <c r="AY760" s="1" t="s">
        <v>74</v>
      </c>
      <c r="AZ760" s="1" t="s">
        <v>74</v>
      </c>
      <c r="BA760" s="1" t="s">
        <v>74</v>
      </c>
      <c r="BB760" s="1" t="s">
        <v>74</v>
      </c>
      <c r="BC760" s="1" t="s">
        <v>74</v>
      </c>
      <c r="BD760" s="1">
        <v>26604.0</v>
      </c>
      <c r="BE760" s="1" t="s">
        <v>7182</v>
      </c>
      <c r="BF760" s="2" t="str">
        <f>HYPERLINK("http://dx.doi.org/10.1103/PhysRevE.84.026604","http://dx.doi.org/10.1103/PhysRevE.84.026604")</f>
        <v>http://dx.doi.org/10.1103/PhysRevE.84.026604</v>
      </c>
      <c r="BG760" s="1" t="s">
        <v>74</v>
      </c>
      <c r="BH760" s="1" t="s">
        <v>74</v>
      </c>
      <c r="BI760" s="1" t="s">
        <v>74</v>
      </c>
      <c r="BJ760" s="1" t="s">
        <v>74</v>
      </c>
      <c r="BK760" s="1" t="s">
        <v>74</v>
      </c>
      <c r="BL760" s="1" t="s">
        <v>74</v>
      </c>
      <c r="BM760" s="1" t="s">
        <v>74</v>
      </c>
      <c r="BN760" s="1">
        <v>2.1929125E7</v>
      </c>
      <c r="BO760" s="1" t="s">
        <v>74</v>
      </c>
      <c r="BP760" s="1" t="s">
        <v>74</v>
      </c>
      <c r="BQ760" s="1" t="s">
        <v>74</v>
      </c>
      <c r="BR760" s="1" t="s">
        <v>74</v>
      </c>
      <c r="BS760" s="1" t="s">
        <v>7183</v>
      </c>
      <c r="BT760" s="1" t="str">
        <f>HYPERLINK("https%3A%2F%2Fwww.webofscience.com%2Fwos%2Fwoscc%2Ffull-record%2FWOS:000293560900010","View Full Record in Web of Science")</f>
        <v>View Full Record in Web of Science</v>
      </c>
    </row>
    <row r="761" ht="12.75" customHeight="1">
      <c r="A761" s="1" t="s">
        <v>72</v>
      </c>
      <c r="B761" s="1" t="s">
        <v>7184</v>
      </c>
      <c r="C761" s="1" t="s">
        <v>74</v>
      </c>
      <c r="D761" s="1" t="s">
        <v>74</v>
      </c>
      <c r="E761" s="1" t="s">
        <v>74</v>
      </c>
      <c r="F761" s="1" t="s">
        <v>7185</v>
      </c>
      <c r="G761" s="1" t="s">
        <v>74</v>
      </c>
      <c r="H761" s="1" t="s">
        <v>74</v>
      </c>
      <c r="I761" s="1" t="s">
        <v>7186</v>
      </c>
      <c r="J761" s="1" t="s">
        <v>7187</v>
      </c>
      <c r="K761" s="1" t="s">
        <v>74</v>
      </c>
      <c r="L761" s="1" t="s">
        <v>74</v>
      </c>
      <c r="M761" s="1" t="s">
        <v>74</v>
      </c>
      <c r="N761" s="1" t="s">
        <v>74</v>
      </c>
      <c r="O761" s="1" t="s">
        <v>74</v>
      </c>
      <c r="P761" s="1" t="s">
        <v>74</v>
      </c>
      <c r="Q761" s="1" t="s">
        <v>74</v>
      </c>
      <c r="R761" s="1" t="s">
        <v>74</v>
      </c>
      <c r="S761" s="1" t="s">
        <v>74</v>
      </c>
      <c r="T761" s="1" t="s">
        <v>74</v>
      </c>
      <c r="U761" s="1" t="s">
        <v>74</v>
      </c>
      <c r="V761" s="1" t="s">
        <v>7188</v>
      </c>
      <c r="W761" s="1" t="s">
        <v>74</v>
      </c>
      <c r="X761" s="1" t="s">
        <v>74</v>
      </c>
      <c r="Y761" s="1" t="s">
        <v>74</v>
      </c>
      <c r="Z761" s="1" t="s">
        <v>74</v>
      </c>
      <c r="AA761" s="1" t="s">
        <v>7189</v>
      </c>
      <c r="AB761" s="1" t="s">
        <v>7190</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7191</v>
      </c>
      <c r="AP761" s="1" t="s">
        <v>7192</v>
      </c>
      <c r="AQ761" s="1" t="s">
        <v>74</v>
      </c>
      <c r="AR761" s="1" t="s">
        <v>74</v>
      </c>
      <c r="AS761" s="1" t="s">
        <v>74</v>
      </c>
      <c r="AT761" s="1" t="s">
        <v>120</v>
      </c>
      <c r="AU761" s="1">
        <v>2011.0</v>
      </c>
      <c r="AV761" s="1">
        <v>2.0</v>
      </c>
      <c r="AW761" s="1">
        <v>1.0</v>
      </c>
      <c r="AX761" s="1" t="s">
        <v>74</v>
      </c>
      <c r="AY761" s="1" t="s">
        <v>74</v>
      </c>
      <c r="AZ761" s="1" t="s">
        <v>74</v>
      </c>
      <c r="BA761" s="1" t="s">
        <v>74</v>
      </c>
      <c r="BB761" s="1">
        <v>77.0</v>
      </c>
      <c r="BC761" s="1">
        <v>86.0</v>
      </c>
      <c r="BD761" s="1" t="s">
        <v>74</v>
      </c>
      <c r="BE761" s="1" t="s">
        <v>7193</v>
      </c>
      <c r="BF761" s="2" t="str">
        <f>HYPERLINK("http://dx.doi.org/10.1007/s12649-010-9052-4","http://dx.doi.org/10.1007/s12649-010-9052-4")</f>
        <v>http://dx.doi.org/10.1007/s12649-010-9052-4</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7194</v>
      </c>
      <c r="BT761" s="1" t="str">
        <f>HYPERLINK("https%3A%2F%2Fwww.webofscience.com%2Fwos%2Fwoscc%2Ffull-record%2FWOS:000209196500007","View Full Record in Web of Science")</f>
        <v>View Full Record in Web of Science</v>
      </c>
    </row>
    <row r="762" ht="12.75" customHeight="1">
      <c r="A762" s="1" t="s">
        <v>72</v>
      </c>
      <c r="B762" s="1" t="s">
        <v>7195</v>
      </c>
      <c r="C762" s="1" t="s">
        <v>74</v>
      </c>
      <c r="D762" s="1" t="s">
        <v>74</v>
      </c>
      <c r="E762" s="1" t="s">
        <v>74</v>
      </c>
      <c r="F762" s="1" t="s">
        <v>7196</v>
      </c>
      <c r="G762" s="1" t="s">
        <v>74</v>
      </c>
      <c r="H762" s="1" t="s">
        <v>74</v>
      </c>
      <c r="I762" s="1" t="s">
        <v>7197</v>
      </c>
      <c r="J762" s="1" t="s">
        <v>443</v>
      </c>
      <c r="K762" s="1" t="s">
        <v>74</v>
      </c>
      <c r="L762" s="1" t="s">
        <v>74</v>
      </c>
      <c r="M762" s="1" t="s">
        <v>74</v>
      </c>
      <c r="N762" s="1" t="s">
        <v>74</v>
      </c>
      <c r="O762" s="1" t="s">
        <v>74</v>
      </c>
      <c r="P762" s="1" t="s">
        <v>74</v>
      </c>
      <c r="Q762" s="1" t="s">
        <v>74</v>
      </c>
      <c r="R762" s="1" t="s">
        <v>74</v>
      </c>
      <c r="S762" s="1" t="s">
        <v>74</v>
      </c>
      <c r="T762" s="1" t="s">
        <v>74</v>
      </c>
      <c r="U762" s="1" t="s">
        <v>74</v>
      </c>
      <c r="V762" s="1" t="s">
        <v>7198</v>
      </c>
      <c r="W762" s="1" t="s">
        <v>74</v>
      </c>
      <c r="X762" s="1" t="s">
        <v>74</v>
      </c>
      <c r="Y762" s="1" t="s">
        <v>74</v>
      </c>
      <c r="Z762" s="1" t="s">
        <v>74</v>
      </c>
      <c r="AA762" s="1" t="s">
        <v>74</v>
      </c>
      <c r="AB762" s="1" t="s">
        <v>74</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447</v>
      </c>
      <c r="AP762" s="1" t="s">
        <v>74</v>
      </c>
      <c r="AQ762" s="1" t="s">
        <v>74</v>
      </c>
      <c r="AR762" s="1" t="s">
        <v>74</v>
      </c>
      <c r="AS762" s="1" t="s">
        <v>74</v>
      </c>
      <c r="AT762" s="1" t="s">
        <v>120</v>
      </c>
      <c r="AU762" s="1">
        <v>2010.0</v>
      </c>
      <c r="AV762" s="1">
        <v>25.0</v>
      </c>
      <c r="AW762" s="1">
        <v>2.0</v>
      </c>
      <c r="AX762" s="1" t="s">
        <v>74</v>
      </c>
      <c r="AY762" s="1" t="s">
        <v>74</v>
      </c>
      <c r="AZ762" s="1" t="s">
        <v>74</v>
      </c>
      <c r="BA762" s="1" t="s">
        <v>74</v>
      </c>
      <c r="BB762" s="1">
        <v>368.0</v>
      </c>
      <c r="BC762" s="1">
        <v>373.0</v>
      </c>
      <c r="BD762" s="1" t="s">
        <v>74</v>
      </c>
      <c r="BE762" s="1" t="s">
        <v>7199</v>
      </c>
      <c r="BF762" s="2" t="str">
        <f>HYPERLINK("http://dx.doi.org/10.1093/humrep/dep392","http://dx.doi.org/10.1093/humrep/dep392")</f>
        <v>http://dx.doi.org/10.1093/humrep/dep392</v>
      </c>
      <c r="BG762" s="1" t="s">
        <v>74</v>
      </c>
      <c r="BH762" s="1" t="s">
        <v>74</v>
      </c>
      <c r="BI762" s="1" t="s">
        <v>74</v>
      </c>
      <c r="BJ762" s="1" t="s">
        <v>74</v>
      </c>
      <c r="BK762" s="1" t="s">
        <v>74</v>
      </c>
      <c r="BL762" s="1" t="s">
        <v>74</v>
      </c>
      <c r="BM762" s="1" t="s">
        <v>74</v>
      </c>
      <c r="BN762" s="1">
        <v>1.9933235E7</v>
      </c>
      <c r="BO762" s="1" t="s">
        <v>74</v>
      </c>
      <c r="BP762" s="1" t="s">
        <v>74</v>
      </c>
      <c r="BQ762" s="1" t="s">
        <v>74</v>
      </c>
      <c r="BR762" s="1" t="s">
        <v>74</v>
      </c>
      <c r="BS762" s="1" t="s">
        <v>7200</v>
      </c>
      <c r="BT762" s="1" t="str">
        <f>HYPERLINK("https%3A%2F%2Fwww.webofscience.com%2Fwos%2Fwoscc%2Ffull-record%2FWOS:000273703400011","View Full Record in Web of Science")</f>
        <v>View Full Record in Web of Science</v>
      </c>
    </row>
    <row r="763" ht="12.75" customHeight="1">
      <c r="A763" s="1" t="s">
        <v>72</v>
      </c>
      <c r="B763" s="1" t="s">
        <v>7201</v>
      </c>
      <c r="C763" s="1" t="s">
        <v>74</v>
      </c>
      <c r="D763" s="1" t="s">
        <v>74</v>
      </c>
      <c r="E763" s="1" t="s">
        <v>74</v>
      </c>
      <c r="F763" s="1" t="s">
        <v>7201</v>
      </c>
      <c r="G763" s="1" t="s">
        <v>74</v>
      </c>
      <c r="H763" s="1" t="s">
        <v>74</v>
      </c>
      <c r="I763" s="1" t="s">
        <v>7202</v>
      </c>
      <c r="J763" s="1" t="s">
        <v>400</v>
      </c>
      <c r="K763" s="1" t="s">
        <v>74</v>
      </c>
      <c r="L763" s="1" t="s">
        <v>74</v>
      </c>
      <c r="M763" s="1" t="s">
        <v>74</v>
      </c>
      <c r="N763" s="1" t="s">
        <v>74</v>
      </c>
      <c r="O763" s="1" t="s">
        <v>74</v>
      </c>
      <c r="P763" s="1" t="s">
        <v>74</v>
      </c>
      <c r="Q763" s="1" t="s">
        <v>74</v>
      </c>
      <c r="R763" s="1" t="s">
        <v>74</v>
      </c>
      <c r="S763" s="1" t="s">
        <v>74</v>
      </c>
      <c r="T763" s="1" t="s">
        <v>74</v>
      </c>
      <c r="U763" s="1" t="s">
        <v>74</v>
      </c>
      <c r="V763" s="1" t="s">
        <v>7203</v>
      </c>
      <c r="W763" s="1" t="s">
        <v>74</v>
      </c>
      <c r="X763" s="1" t="s">
        <v>74</v>
      </c>
      <c r="Y763" s="1" t="s">
        <v>74</v>
      </c>
      <c r="Z763" s="1" t="s">
        <v>74</v>
      </c>
      <c r="AA763" s="1" t="s">
        <v>859</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404</v>
      </c>
      <c r="AP763" s="1" t="s">
        <v>405</v>
      </c>
      <c r="AQ763" s="1" t="s">
        <v>74</v>
      </c>
      <c r="AR763" s="1" t="s">
        <v>74</v>
      </c>
      <c r="AS763" s="1" t="s">
        <v>74</v>
      </c>
      <c r="AT763" s="1" t="s">
        <v>1474</v>
      </c>
      <c r="AU763" s="1">
        <v>2005.0</v>
      </c>
      <c r="AV763" s="1">
        <v>81.0</v>
      </c>
      <c r="AW763" s="1">
        <v>4.0</v>
      </c>
      <c r="AX763" s="1" t="s">
        <v>74</v>
      </c>
      <c r="AY763" s="1" t="s">
        <v>74</v>
      </c>
      <c r="AZ763" s="1" t="s">
        <v>74</v>
      </c>
      <c r="BA763" s="1" t="s">
        <v>74</v>
      </c>
      <c r="BB763" s="1">
        <v>884.0</v>
      </c>
      <c r="BC763" s="1">
        <v>890.0</v>
      </c>
      <c r="BD763" s="1" t="s">
        <v>74</v>
      </c>
      <c r="BE763" s="1" t="s">
        <v>7204</v>
      </c>
      <c r="BF763" s="2" t="str">
        <f>HYPERLINK("http://dx.doi.org/10.1562/2004-10-12-RA-342R1.1","http://dx.doi.org/10.1562/2004-10-12-RA-342R1.1")</f>
        <v>http://dx.doi.org/10.1562/2004-10-12-RA-342R1.1</v>
      </c>
      <c r="BG763" s="1" t="s">
        <v>74</v>
      </c>
      <c r="BH763" s="1" t="s">
        <v>74</v>
      </c>
      <c r="BI763" s="1" t="s">
        <v>74</v>
      </c>
      <c r="BJ763" s="1" t="s">
        <v>74</v>
      </c>
      <c r="BK763" s="1" t="s">
        <v>74</v>
      </c>
      <c r="BL763" s="1" t="s">
        <v>74</v>
      </c>
      <c r="BM763" s="1" t="s">
        <v>74</v>
      </c>
      <c r="BN763" s="1">
        <v>1.56567E7</v>
      </c>
      <c r="BO763" s="1" t="s">
        <v>74</v>
      </c>
      <c r="BP763" s="1" t="s">
        <v>74</v>
      </c>
      <c r="BQ763" s="1" t="s">
        <v>74</v>
      </c>
      <c r="BR763" s="1" t="s">
        <v>74</v>
      </c>
      <c r="BS763" s="1" t="s">
        <v>7205</v>
      </c>
      <c r="BT763" s="1" t="str">
        <f>HYPERLINK("https%3A%2F%2Fwww.webofscience.com%2Fwos%2Fwoscc%2Ffull-record%2FWOS:000231367600022","View Full Record in Web of Science")</f>
        <v>View Full Record in Web of Science</v>
      </c>
    </row>
    <row r="764" ht="12.75" customHeight="1">
      <c r="A764" s="1" t="s">
        <v>72</v>
      </c>
      <c r="B764" s="1" t="s">
        <v>7206</v>
      </c>
      <c r="C764" s="1" t="s">
        <v>74</v>
      </c>
      <c r="D764" s="1" t="s">
        <v>74</v>
      </c>
      <c r="E764" s="1" t="s">
        <v>74</v>
      </c>
      <c r="F764" s="1" t="s">
        <v>7206</v>
      </c>
      <c r="G764" s="1" t="s">
        <v>74</v>
      </c>
      <c r="H764" s="1" t="s">
        <v>74</v>
      </c>
      <c r="I764" s="1" t="s">
        <v>7207</v>
      </c>
      <c r="J764" s="1" t="s">
        <v>1440</v>
      </c>
      <c r="K764" s="1" t="s">
        <v>74</v>
      </c>
      <c r="L764" s="1" t="s">
        <v>74</v>
      </c>
      <c r="M764" s="1" t="s">
        <v>74</v>
      </c>
      <c r="N764" s="1" t="s">
        <v>74</v>
      </c>
      <c r="O764" s="1" t="s">
        <v>74</v>
      </c>
      <c r="P764" s="1" t="s">
        <v>74</v>
      </c>
      <c r="Q764" s="1" t="s">
        <v>74</v>
      </c>
      <c r="R764" s="1" t="s">
        <v>74</v>
      </c>
      <c r="S764" s="1" t="s">
        <v>74</v>
      </c>
      <c r="T764" s="1" t="s">
        <v>74</v>
      </c>
      <c r="U764" s="1" t="s">
        <v>74</v>
      </c>
      <c r="V764" s="1" t="s">
        <v>7208</v>
      </c>
      <c r="W764" s="1" t="s">
        <v>74</v>
      </c>
      <c r="X764" s="1" t="s">
        <v>74</v>
      </c>
      <c r="Y764" s="1" t="s">
        <v>74</v>
      </c>
      <c r="Z764" s="1" t="s">
        <v>74</v>
      </c>
      <c r="AA764" s="1" t="s">
        <v>74</v>
      </c>
      <c r="AB764" s="1" t="s">
        <v>74</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1443</v>
      </c>
      <c r="AP764" s="1" t="s">
        <v>1444</v>
      </c>
      <c r="AQ764" s="1" t="s">
        <v>74</v>
      </c>
      <c r="AR764" s="1" t="s">
        <v>74</v>
      </c>
      <c r="AS764" s="1" t="s">
        <v>74</v>
      </c>
      <c r="AT764" s="1" t="s">
        <v>95</v>
      </c>
      <c r="AU764" s="1">
        <v>2004.0</v>
      </c>
      <c r="AV764" s="1">
        <v>132.0</v>
      </c>
      <c r="AW764" s="1">
        <v>12.0</v>
      </c>
      <c r="AX764" s="1" t="s">
        <v>74</v>
      </c>
      <c r="AY764" s="1" t="s">
        <v>74</v>
      </c>
      <c r="AZ764" s="1" t="s">
        <v>74</v>
      </c>
      <c r="BA764" s="1" t="s">
        <v>74</v>
      </c>
      <c r="BB764" s="1">
        <v>1475.0</v>
      </c>
      <c r="BC764" s="1">
        <v>1482.0</v>
      </c>
      <c r="BD764" s="1" t="s">
        <v>74</v>
      </c>
      <c r="BE764" s="1" t="s">
        <v>74</v>
      </c>
      <c r="BF764" s="1" t="s">
        <v>74</v>
      </c>
      <c r="BG764" s="1" t="s">
        <v>74</v>
      </c>
      <c r="BH764" s="1" t="s">
        <v>74</v>
      </c>
      <c r="BI764" s="1" t="s">
        <v>74</v>
      </c>
      <c r="BJ764" s="1" t="s">
        <v>74</v>
      </c>
      <c r="BK764" s="1" t="s">
        <v>74</v>
      </c>
      <c r="BL764" s="1" t="s">
        <v>74</v>
      </c>
      <c r="BM764" s="1" t="s">
        <v>74</v>
      </c>
      <c r="BN764" s="1">
        <v>1.5743158E7</v>
      </c>
      <c r="BO764" s="1" t="s">
        <v>74</v>
      </c>
      <c r="BP764" s="1" t="s">
        <v>74</v>
      </c>
      <c r="BQ764" s="1" t="s">
        <v>74</v>
      </c>
      <c r="BR764" s="1" t="s">
        <v>74</v>
      </c>
      <c r="BS764" s="1" t="s">
        <v>7209</v>
      </c>
      <c r="BT764" s="1" t="str">
        <f>HYPERLINK("https%3A%2F%2Fwww.webofscience.com%2Fwos%2Fwoscc%2Ffull-record%2FWOS:000226878600004","View Full Record in Web of Science")</f>
        <v>View Full Record in Web of Science</v>
      </c>
    </row>
    <row r="765" ht="12.75" customHeight="1">
      <c r="A765" s="1" t="s">
        <v>72</v>
      </c>
      <c r="B765" s="1" t="s">
        <v>7210</v>
      </c>
      <c r="C765" s="1" t="s">
        <v>74</v>
      </c>
      <c r="D765" s="1" t="s">
        <v>74</v>
      </c>
      <c r="E765" s="1" t="s">
        <v>74</v>
      </c>
      <c r="F765" s="1" t="s">
        <v>7210</v>
      </c>
      <c r="G765" s="1" t="s">
        <v>74</v>
      </c>
      <c r="H765" s="1" t="s">
        <v>74</v>
      </c>
      <c r="I765" s="1" t="s">
        <v>7211</v>
      </c>
      <c r="J765" s="1" t="s">
        <v>7212</v>
      </c>
      <c r="K765" s="1" t="s">
        <v>74</v>
      </c>
      <c r="L765" s="1" t="s">
        <v>74</v>
      </c>
      <c r="M765" s="1" t="s">
        <v>74</v>
      </c>
      <c r="N765" s="1" t="s">
        <v>74</v>
      </c>
      <c r="O765" s="1" t="s">
        <v>74</v>
      </c>
      <c r="P765" s="1" t="s">
        <v>74</v>
      </c>
      <c r="Q765" s="1" t="s">
        <v>74</v>
      </c>
      <c r="R765" s="1" t="s">
        <v>74</v>
      </c>
      <c r="S765" s="1" t="s">
        <v>74</v>
      </c>
      <c r="T765" s="1" t="s">
        <v>74</v>
      </c>
      <c r="U765" s="1" t="s">
        <v>74</v>
      </c>
      <c r="V765" s="1" t="s">
        <v>7213</v>
      </c>
      <c r="W765" s="1" t="s">
        <v>74</v>
      </c>
      <c r="X765" s="1" t="s">
        <v>74</v>
      </c>
      <c r="Y765" s="1" t="s">
        <v>74</v>
      </c>
      <c r="Z765" s="1" t="s">
        <v>74</v>
      </c>
      <c r="AA765" s="1" t="s">
        <v>74</v>
      </c>
      <c r="AB765" s="1" t="s">
        <v>74</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7214</v>
      </c>
      <c r="AP765" s="1" t="s">
        <v>74</v>
      </c>
      <c r="AQ765" s="1" t="s">
        <v>74</v>
      </c>
      <c r="AR765" s="1" t="s">
        <v>74</v>
      </c>
      <c r="AS765" s="1" t="s">
        <v>74</v>
      </c>
      <c r="AT765" s="1" t="s">
        <v>164</v>
      </c>
      <c r="AU765" s="1">
        <v>2004.0</v>
      </c>
      <c r="AV765" s="1">
        <v>19.0</v>
      </c>
      <c r="AW765" s="1">
        <v>3.0</v>
      </c>
      <c r="AX765" s="1" t="s">
        <v>74</v>
      </c>
      <c r="AY765" s="1" t="s">
        <v>74</v>
      </c>
      <c r="AZ765" s="1" t="s">
        <v>74</v>
      </c>
      <c r="BA765" s="1" t="s">
        <v>74</v>
      </c>
      <c r="BB765" s="1">
        <v>1135.0</v>
      </c>
      <c r="BC765" s="1">
        <v>1141.0</v>
      </c>
      <c r="BD765" s="1" t="s">
        <v>74</v>
      </c>
      <c r="BE765" s="1" t="s">
        <v>7215</v>
      </c>
      <c r="BF765" s="2" t="str">
        <f>HYPERLINK("http://dx.doi.org/10.1109/TPWRD.2004.829091","http://dx.doi.org/10.1109/TPWRD.2004.829091")</f>
        <v>http://dx.doi.org/10.1109/TPWRD.2004.829091</v>
      </c>
      <c r="BG765" s="1" t="s">
        <v>74</v>
      </c>
      <c r="BH765" s="1" t="s">
        <v>74</v>
      </c>
      <c r="BI765" s="1" t="s">
        <v>74</v>
      </c>
      <c r="BJ765" s="1" t="s">
        <v>74</v>
      </c>
      <c r="BK765" s="1" t="s">
        <v>74</v>
      </c>
      <c r="BL765" s="1" t="s">
        <v>74</v>
      </c>
      <c r="BM765" s="1" t="s">
        <v>74</v>
      </c>
      <c r="BN765" s="1" t="s">
        <v>74</v>
      </c>
      <c r="BO765" s="1" t="s">
        <v>74</v>
      </c>
      <c r="BP765" s="1" t="s">
        <v>74</v>
      </c>
      <c r="BQ765" s="1" t="s">
        <v>74</v>
      </c>
      <c r="BR765" s="1" t="s">
        <v>74</v>
      </c>
      <c r="BS765" s="1" t="s">
        <v>7216</v>
      </c>
      <c r="BT765" s="1" t="str">
        <f>HYPERLINK("https%3A%2F%2Fwww.webofscience.com%2Fwos%2Fwoscc%2Ffull-record%2FWOS:000222429300032","View Full Record in Web of Science")</f>
        <v>View Full Record in Web of Science</v>
      </c>
    </row>
    <row r="766" ht="12.75" customHeight="1">
      <c r="A766" s="1" t="s">
        <v>72</v>
      </c>
      <c r="B766" s="1" t="s">
        <v>5516</v>
      </c>
      <c r="C766" s="1" t="s">
        <v>74</v>
      </c>
      <c r="D766" s="1" t="s">
        <v>74</v>
      </c>
      <c r="E766" s="1" t="s">
        <v>74</v>
      </c>
      <c r="F766" s="1" t="s">
        <v>7217</v>
      </c>
      <c r="G766" s="1" t="s">
        <v>74</v>
      </c>
      <c r="H766" s="1" t="s">
        <v>74</v>
      </c>
      <c r="I766" s="1" t="s">
        <v>7218</v>
      </c>
      <c r="J766" s="1" t="s">
        <v>206</v>
      </c>
      <c r="K766" s="1" t="s">
        <v>74</v>
      </c>
      <c r="L766" s="1" t="s">
        <v>74</v>
      </c>
      <c r="M766" s="1" t="s">
        <v>74</v>
      </c>
      <c r="N766" s="1" t="s">
        <v>74</v>
      </c>
      <c r="O766" s="1" t="s">
        <v>74</v>
      </c>
      <c r="P766" s="1" t="s">
        <v>74</v>
      </c>
      <c r="Q766" s="1" t="s">
        <v>74</v>
      </c>
      <c r="R766" s="1" t="s">
        <v>74</v>
      </c>
      <c r="S766" s="1" t="s">
        <v>74</v>
      </c>
      <c r="T766" s="1" t="s">
        <v>74</v>
      </c>
      <c r="U766" s="1" t="s">
        <v>74</v>
      </c>
      <c r="V766" s="1" t="s">
        <v>7219</v>
      </c>
      <c r="W766" s="1" t="s">
        <v>74</v>
      </c>
      <c r="X766" s="1" t="s">
        <v>74</v>
      </c>
      <c r="Y766" s="1" t="s">
        <v>74</v>
      </c>
      <c r="Z766" s="1" t="s">
        <v>74</v>
      </c>
      <c r="AA766" s="1" t="s">
        <v>7220</v>
      </c>
      <c r="AB766" s="1" t="s">
        <v>7221</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210</v>
      </c>
      <c r="AP766" s="1" t="s">
        <v>74</v>
      </c>
      <c r="AQ766" s="1" t="s">
        <v>74</v>
      </c>
      <c r="AR766" s="1" t="s">
        <v>74</v>
      </c>
      <c r="AS766" s="1" t="s">
        <v>74</v>
      </c>
      <c r="AT766" s="1" t="s">
        <v>107</v>
      </c>
      <c r="AU766" s="1">
        <v>2004.0</v>
      </c>
      <c r="AV766" s="1">
        <v>272.0</v>
      </c>
      <c r="AW766" s="1" t="s">
        <v>74</v>
      </c>
      <c r="AX766" s="1" t="s">
        <v>74</v>
      </c>
      <c r="AY766" s="1">
        <v>1.0</v>
      </c>
      <c r="AZ766" s="1" t="s">
        <v>74</v>
      </c>
      <c r="BA766" s="1" t="s">
        <v>74</v>
      </c>
      <c r="BB766" s="1" t="s">
        <v>7222</v>
      </c>
      <c r="BC766" s="1" t="s">
        <v>7223</v>
      </c>
      <c r="BD766" s="1" t="s">
        <v>74</v>
      </c>
      <c r="BE766" s="1" t="s">
        <v>7224</v>
      </c>
      <c r="BF766" s="2" t="str">
        <f>HYPERLINK("http://dx.doi.org/10.1016/j.jmmm.2003.12.813","http://dx.doi.org/10.1016/j.jmmm.2003.12.813")</f>
        <v>http://dx.doi.org/10.1016/j.jmmm.2003.12.813</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7225</v>
      </c>
      <c r="BT766" s="1" t="str">
        <f>HYPERLINK("https%3A%2F%2Fwww.webofscience.com%2Fwos%2Fwoscc%2Ffull-record%2FWOS:000202897200610","View Full Record in Web of Science")</f>
        <v>View Full Record in Web of Science</v>
      </c>
    </row>
    <row r="767" ht="12.75" customHeight="1">
      <c r="A767" s="1" t="s">
        <v>72</v>
      </c>
      <c r="B767" s="1" t="s">
        <v>7226</v>
      </c>
      <c r="C767" s="1" t="s">
        <v>74</v>
      </c>
      <c r="D767" s="1" t="s">
        <v>74</v>
      </c>
      <c r="E767" s="1" t="s">
        <v>74</v>
      </c>
      <c r="F767" s="1" t="s">
        <v>7226</v>
      </c>
      <c r="G767" s="1" t="s">
        <v>74</v>
      </c>
      <c r="H767" s="1" t="s">
        <v>74</v>
      </c>
      <c r="I767" s="1" t="s">
        <v>7227</v>
      </c>
      <c r="J767" s="1" t="s">
        <v>421</v>
      </c>
      <c r="K767" s="1" t="s">
        <v>74</v>
      </c>
      <c r="L767" s="1" t="s">
        <v>74</v>
      </c>
      <c r="M767" s="1" t="s">
        <v>74</v>
      </c>
      <c r="N767" s="1" t="s">
        <v>74</v>
      </c>
      <c r="O767" s="1" t="s">
        <v>74</v>
      </c>
      <c r="P767" s="1" t="s">
        <v>74</v>
      </c>
      <c r="Q767" s="1" t="s">
        <v>74</v>
      </c>
      <c r="R767" s="1" t="s">
        <v>74</v>
      </c>
      <c r="S767" s="1" t="s">
        <v>74</v>
      </c>
      <c r="T767" s="1" t="s">
        <v>74</v>
      </c>
      <c r="U767" s="1" t="s">
        <v>74</v>
      </c>
      <c r="V767" s="1" t="s">
        <v>7228</v>
      </c>
      <c r="W767" s="1" t="s">
        <v>74</v>
      </c>
      <c r="X767" s="1" t="s">
        <v>74</v>
      </c>
      <c r="Y767" s="1" t="s">
        <v>74</v>
      </c>
      <c r="Z767" s="1" t="s">
        <v>74</v>
      </c>
      <c r="AA767" s="1" t="s">
        <v>7229</v>
      </c>
      <c r="AB767" s="1" t="s">
        <v>7230</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425</v>
      </c>
      <c r="AP767" s="1" t="s">
        <v>74</v>
      </c>
      <c r="AQ767" s="1" t="s">
        <v>74</v>
      </c>
      <c r="AR767" s="1" t="s">
        <v>74</v>
      </c>
      <c r="AS767" s="1" t="s">
        <v>74</v>
      </c>
      <c r="AT767" s="1" t="s">
        <v>7231</v>
      </c>
      <c r="AU767" s="1">
        <v>2003.0</v>
      </c>
      <c r="AV767" s="1">
        <v>240.0</v>
      </c>
      <c r="AW767" s="1" t="s">
        <v>428</v>
      </c>
      <c r="AX767" s="1" t="s">
        <v>74</v>
      </c>
      <c r="AY767" s="1" t="s">
        <v>74</v>
      </c>
      <c r="AZ767" s="1" t="s">
        <v>74</v>
      </c>
      <c r="BA767" s="1" t="s">
        <v>74</v>
      </c>
      <c r="BB767" s="1">
        <v>151.0</v>
      </c>
      <c r="BC767" s="1">
        <v>160.0</v>
      </c>
      <c r="BD767" s="1" t="s">
        <v>7232</v>
      </c>
      <c r="BE767" s="1" t="s">
        <v>7233</v>
      </c>
      <c r="BF767" s="2" t="str">
        <f>HYPERLINK("http://dx.doi.org/10.1016/S0926-860X(02)00430-1","http://dx.doi.org/10.1016/S0926-860X(02)00430-1")</f>
        <v>http://dx.doi.org/10.1016/S0926-860X(02)00430-1</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7234</v>
      </c>
      <c r="BT767" s="1" t="str">
        <f>HYPERLINK("https%3A%2F%2Fwww.webofscience.com%2Fwos%2Fwoscc%2Ffull-record%2FWOS:000181008200012","View Full Record in Web of Science")</f>
        <v>View Full Record in Web of Science</v>
      </c>
    </row>
    <row r="768" ht="12.75" customHeight="1">
      <c r="A768" s="1" t="s">
        <v>72</v>
      </c>
      <c r="B768" s="1" t="s">
        <v>7235</v>
      </c>
      <c r="C768" s="1" t="s">
        <v>74</v>
      </c>
      <c r="D768" s="1" t="s">
        <v>74</v>
      </c>
      <c r="E768" s="1" t="s">
        <v>74</v>
      </c>
      <c r="F768" s="1" t="s">
        <v>7235</v>
      </c>
      <c r="G768" s="1" t="s">
        <v>74</v>
      </c>
      <c r="H768" s="1" t="s">
        <v>74</v>
      </c>
      <c r="I768" s="1" t="s">
        <v>7236</v>
      </c>
      <c r="J768" s="1" t="s">
        <v>3076</v>
      </c>
      <c r="K768" s="1" t="s">
        <v>74</v>
      </c>
      <c r="L768" s="1" t="s">
        <v>74</v>
      </c>
      <c r="M768" s="1" t="s">
        <v>74</v>
      </c>
      <c r="N768" s="1" t="s">
        <v>74</v>
      </c>
      <c r="O768" s="1" t="s">
        <v>3077</v>
      </c>
      <c r="P768" s="1" t="s">
        <v>3078</v>
      </c>
      <c r="Q768" s="1" t="s">
        <v>3079</v>
      </c>
      <c r="R768" s="1" t="s">
        <v>74</v>
      </c>
      <c r="S768" s="1" t="s">
        <v>74</v>
      </c>
      <c r="T768" s="1" t="s">
        <v>74</v>
      </c>
      <c r="U768" s="1" t="s">
        <v>74</v>
      </c>
      <c r="V768" s="1" t="s">
        <v>7237</v>
      </c>
      <c r="W768" s="1" t="s">
        <v>74</v>
      </c>
      <c r="X768" s="1" t="s">
        <v>74</v>
      </c>
      <c r="Y768" s="1" t="s">
        <v>74</v>
      </c>
      <c r="Z768" s="1" t="s">
        <v>74</v>
      </c>
      <c r="AA768" s="1" t="s">
        <v>7238</v>
      </c>
      <c r="AB768" s="1" t="s">
        <v>74</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3083</v>
      </c>
      <c r="AP768" s="1" t="s">
        <v>74</v>
      </c>
      <c r="AQ768" s="1" t="s">
        <v>74</v>
      </c>
      <c r="AR768" s="1" t="s">
        <v>74</v>
      </c>
      <c r="AS768" s="1" t="s">
        <v>74</v>
      </c>
      <c r="AT768" s="1" t="s">
        <v>95</v>
      </c>
      <c r="AU768" s="1">
        <v>2002.0</v>
      </c>
      <c r="AV768" s="1">
        <v>48.0</v>
      </c>
      <c r="AW768" s="1" t="s">
        <v>74</v>
      </c>
      <c r="AX768" s="1" t="s">
        <v>74</v>
      </c>
      <c r="AY768" s="1">
        <v>3.0</v>
      </c>
      <c r="AZ768" s="1" t="s">
        <v>74</v>
      </c>
      <c r="BA768" s="1" t="s">
        <v>74</v>
      </c>
      <c r="BB768" s="1">
        <v>49.0</v>
      </c>
      <c r="BC768" s="1">
        <v>51.0</v>
      </c>
      <c r="BD768" s="1" t="s">
        <v>74</v>
      </c>
      <c r="BE768" s="1" t="s">
        <v>74</v>
      </c>
      <c r="BF768" s="1" t="s">
        <v>74</v>
      </c>
      <c r="BG768" s="1" t="s">
        <v>74</v>
      </c>
      <c r="BH768" s="1" t="s">
        <v>74</v>
      </c>
      <c r="BI768" s="1" t="s">
        <v>74</v>
      </c>
      <c r="BJ768" s="1" t="s">
        <v>74</v>
      </c>
      <c r="BK768" s="1" t="s">
        <v>74</v>
      </c>
      <c r="BL768" s="1" t="s">
        <v>74</v>
      </c>
      <c r="BM768" s="1" t="s">
        <v>74</v>
      </c>
      <c r="BN768" s="1" t="s">
        <v>74</v>
      </c>
      <c r="BO768" s="1" t="s">
        <v>74</v>
      </c>
      <c r="BP768" s="1" t="s">
        <v>74</v>
      </c>
      <c r="BQ768" s="1" t="s">
        <v>74</v>
      </c>
      <c r="BR768" s="1" t="s">
        <v>74</v>
      </c>
      <c r="BS768" s="1" t="s">
        <v>7239</v>
      </c>
      <c r="BT768" s="1" t="str">
        <f>HYPERLINK("https%3A%2F%2Fwww.webofscience.com%2Fwos%2Fwoscc%2Ffull-record%2FWOS:000180065500017","View Full Record in Web of Science")</f>
        <v>View Full Record in Web of Science</v>
      </c>
    </row>
    <row r="769" ht="12.75" customHeight="1">
      <c r="A769" s="1" t="s">
        <v>72</v>
      </c>
      <c r="B769" s="1" t="s">
        <v>7240</v>
      </c>
      <c r="C769" s="1" t="s">
        <v>74</v>
      </c>
      <c r="D769" s="1" t="s">
        <v>74</v>
      </c>
      <c r="E769" s="1" t="s">
        <v>74</v>
      </c>
      <c r="F769" s="1" t="s">
        <v>7240</v>
      </c>
      <c r="G769" s="1" t="s">
        <v>74</v>
      </c>
      <c r="H769" s="1" t="s">
        <v>74</v>
      </c>
      <c r="I769" s="1" t="s">
        <v>7241</v>
      </c>
      <c r="J769" s="1" t="s">
        <v>3076</v>
      </c>
      <c r="K769" s="1" t="s">
        <v>74</v>
      </c>
      <c r="L769" s="1" t="s">
        <v>74</v>
      </c>
      <c r="M769" s="1" t="s">
        <v>74</v>
      </c>
      <c r="N769" s="1" t="s">
        <v>74</v>
      </c>
      <c r="O769" s="1" t="s">
        <v>3077</v>
      </c>
      <c r="P769" s="1" t="s">
        <v>3078</v>
      </c>
      <c r="Q769" s="1" t="s">
        <v>3079</v>
      </c>
      <c r="R769" s="1" t="s">
        <v>74</v>
      </c>
      <c r="S769" s="1" t="s">
        <v>74</v>
      </c>
      <c r="T769" s="1" t="s">
        <v>74</v>
      </c>
      <c r="U769" s="1" t="s">
        <v>74</v>
      </c>
      <c r="V769" s="1" t="s">
        <v>7242</v>
      </c>
      <c r="W769" s="1" t="s">
        <v>74</v>
      </c>
      <c r="X769" s="1" t="s">
        <v>74</v>
      </c>
      <c r="Y769" s="1" t="s">
        <v>74</v>
      </c>
      <c r="Z769" s="1" t="s">
        <v>74</v>
      </c>
      <c r="AA769" s="1" t="s">
        <v>7243</v>
      </c>
      <c r="AB769" s="1" t="s">
        <v>7244</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3083</v>
      </c>
      <c r="AP769" s="1" t="s">
        <v>74</v>
      </c>
      <c r="AQ769" s="1" t="s">
        <v>74</v>
      </c>
      <c r="AR769" s="1" t="s">
        <v>74</v>
      </c>
      <c r="AS769" s="1" t="s">
        <v>74</v>
      </c>
      <c r="AT769" s="1" t="s">
        <v>95</v>
      </c>
      <c r="AU769" s="1">
        <v>2002.0</v>
      </c>
      <c r="AV769" s="1">
        <v>48.0</v>
      </c>
      <c r="AW769" s="1" t="s">
        <v>74</v>
      </c>
      <c r="AX769" s="1" t="s">
        <v>74</v>
      </c>
      <c r="AY769" s="1">
        <v>3.0</v>
      </c>
      <c r="AZ769" s="1" t="s">
        <v>74</v>
      </c>
      <c r="BA769" s="1" t="s">
        <v>74</v>
      </c>
      <c r="BB769" s="1">
        <v>35.0</v>
      </c>
      <c r="BC769" s="1">
        <v>37.0</v>
      </c>
      <c r="BD769" s="1" t="s">
        <v>74</v>
      </c>
      <c r="BE769" s="1" t="s">
        <v>74</v>
      </c>
      <c r="BF769" s="1" t="s">
        <v>74</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7245</v>
      </c>
      <c r="BT769" s="1" t="str">
        <f>HYPERLINK("https%3A%2F%2Fwww.webofscience.com%2Fwos%2Fwoscc%2Ffull-record%2FWOS:000180065500012","View Full Record in Web of Science")</f>
        <v>View Full Record in Web of Science</v>
      </c>
    </row>
    <row r="770" ht="12.75" customHeight="1">
      <c r="A770" s="1" t="s">
        <v>72</v>
      </c>
      <c r="B770" s="1" t="s">
        <v>7246</v>
      </c>
      <c r="C770" s="1" t="s">
        <v>74</v>
      </c>
      <c r="D770" s="1" t="s">
        <v>74</v>
      </c>
      <c r="E770" s="1" t="s">
        <v>74</v>
      </c>
      <c r="F770" s="1" t="s">
        <v>7246</v>
      </c>
      <c r="G770" s="1" t="s">
        <v>74</v>
      </c>
      <c r="H770" s="1" t="s">
        <v>74</v>
      </c>
      <c r="I770" s="1" t="s">
        <v>7247</v>
      </c>
      <c r="J770" s="1" t="s">
        <v>7248</v>
      </c>
      <c r="K770" s="1" t="s">
        <v>74</v>
      </c>
      <c r="L770" s="1" t="s">
        <v>74</v>
      </c>
      <c r="M770" s="1" t="s">
        <v>74</v>
      </c>
      <c r="N770" s="1" t="s">
        <v>74</v>
      </c>
      <c r="O770" s="1" t="s">
        <v>74</v>
      </c>
      <c r="P770" s="1" t="s">
        <v>74</v>
      </c>
      <c r="Q770" s="1" t="s">
        <v>74</v>
      </c>
      <c r="R770" s="1" t="s">
        <v>74</v>
      </c>
      <c r="S770" s="1" t="s">
        <v>74</v>
      </c>
      <c r="T770" s="1" t="s">
        <v>74</v>
      </c>
      <c r="U770" s="1" t="s">
        <v>74</v>
      </c>
      <c r="V770" s="1" t="s">
        <v>7249</v>
      </c>
      <c r="W770" s="1" t="s">
        <v>74</v>
      </c>
      <c r="X770" s="1" t="s">
        <v>74</v>
      </c>
      <c r="Y770" s="1" t="s">
        <v>74</v>
      </c>
      <c r="Z770" s="1" t="s">
        <v>74</v>
      </c>
      <c r="AA770" s="1" t="s">
        <v>7250</v>
      </c>
      <c r="AB770" s="1" t="s">
        <v>7251</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7252</v>
      </c>
      <c r="AP770" s="1" t="s">
        <v>7253</v>
      </c>
      <c r="AQ770" s="1" t="s">
        <v>74</v>
      </c>
      <c r="AR770" s="1" t="s">
        <v>74</v>
      </c>
      <c r="AS770" s="1" t="s">
        <v>74</v>
      </c>
      <c r="AT770" s="1" t="s">
        <v>74</v>
      </c>
      <c r="AU770" s="1">
        <v>2001.0</v>
      </c>
      <c r="AV770" s="1">
        <v>3.0</v>
      </c>
      <c r="AW770" s="1">
        <v>23.0</v>
      </c>
      <c r="AX770" s="1" t="s">
        <v>74</v>
      </c>
      <c r="AY770" s="1" t="s">
        <v>74</v>
      </c>
      <c r="AZ770" s="1" t="s">
        <v>74</v>
      </c>
      <c r="BA770" s="1" t="s">
        <v>74</v>
      </c>
      <c r="BB770" s="1">
        <v>5222.0</v>
      </c>
      <c r="BC770" s="1">
        <v>5225.0</v>
      </c>
      <c r="BD770" s="1" t="s">
        <v>74</v>
      </c>
      <c r="BE770" s="1" t="s">
        <v>7254</v>
      </c>
      <c r="BF770" s="2" t="str">
        <f>HYPERLINK("http://dx.doi.org/10.1039/b104673j","http://dx.doi.org/10.1039/b104673j")</f>
        <v>http://dx.doi.org/10.1039/b104673j</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7255</v>
      </c>
      <c r="BT770" s="1" t="str">
        <f>HYPERLINK("https%3A%2F%2Fwww.webofscience.com%2Fwos%2Fwoscc%2Ffull-record%2FWOS:000172414400022","View Full Record in Web of Science")</f>
        <v>View Full Record in Web of Science</v>
      </c>
    </row>
    <row r="771" ht="12.75" customHeight="1">
      <c r="A771" s="1" t="s">
        <v>72</v>
      </c>
      <c r="B771" s="1" t="s">
        <v>7256</v>
      </c>
      <c r="C771" s="1" t="s">
        <v>74</v>
      </c>
      <c r="D771" s="1" t="s">
        <v>74</v>
      </c>
      <c r="E771" s="1" t="s">
        <v>74</v>
      </c>
      <c r="F771" s="1" t="s">
        <v>7256</v>
      </c>
      <c r="G771" s="1" t="s">
        <v>74</v>
      </c>
      <c r="H771" s="1" t="s">
        <v>74</v>
      </c>
      <c r="I771" s="1" t="s">
        <v>7257</v>
      </c>
      <c r="J771" s="1" t="s">
        <v>1538</v>
      </c>
      <c r="K771" s="1" t="s">
        <v>74</v>
      </c>
      <c r="L771" s="1" t="s">
        <v>74</v>
      </c>
      <c r="M771" s="1" t="s">
        <v>74</v>
      </c>
      <c r="N771" s="1" t="s">
        <v>74</v>
      </c>
      <c r="O771" s="1" t="s">
        <v>74</v>
      </c>
      <c r="P771" s="1" t="s">
        <v>74</v>
      </c>
      <c r="Q771" s="1" t="s">
        <v>74</v>
      </c>
      <c r="R771" s="1" t="s">
        <v>74</v>
      </c>
      <c r="S771" s="1" t="s">
        <v>74</v>
      </c>
      <c r="T771" s="1" t="s">
        <v>74</v>
      </c>
      <c r="U771" s="1" t="s">
        <v>74</v>
      </c>
      <c r="V771" s="1" t="s">
        <v>74</v>
      </c>
      <c r="W771" s="1" t="s">
        <v>74</v>
      </c>
      <c r="X771" s="1" t="s">
        <v>74</v>
      </c>
      <c r="Y771" s="1" t="s">
        <v>74</v>
      </c>
      <c r="Z771" s="1" t="s">
        <v>74</v>
      </c>
      <c r="AA771" s="1" t="s">
        <v>1540</v>
      </c>
      <c r="AB771" s="1" t="s">
        <v>7258</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1542</v>
      </c>
      <c r="AP771" s="1" t="s">
        <v>74</v>
      </c>
      <c r="AQ771" s="1" t="s">
        <v>74</v>
      </c>
      <c r="AR771" s="1" t="s">
        <v>74</v>
      </c>
      <c r="AS771" s="1" t="s">
        <v>74</v>
      </c>
      <c r="AT771" s="1" t="s">
        <v>3340</v>
      </c>
      <c r="AU771" s="1">
        <v>2000.0</v>
      </c>
      <c r="AV771" s="1">
        <v>277.0</v>
      </c>
      <c r="AW771" s="1">
        <v>2.0</v>
      </c>
      <c r="AX771" s="1" t="s">
        <v>74</v>
      </c>
      <c r="AY771" s="1" t="s">
        <v>74</v>
      </c>
      <c r="AZ771" s="1" t="s">
        <v>74</v>
      </c>
      <c r="BA771" s="1" t="s">
        <v>74</v>
      </c>
      <c r="BB771" s="1">
        <v>217.0</v>
      </c>
      <c r="BC771" s="1">
        <v>225.0</v>
      </c>
      <c r="BD771" s="1" t="s">
        <v>74</v>
      </c>
      <c r="BE771" s="1" t="s">
        <v>7259</v>
      </c>
      <c r="BF771" s="2" t="str">
        <f>HYPERLINK("http://dx.doi.org/10.1006/viro.2000.0645","http://dx.doi.org/10.1006/viro.2000.0645")</f>
        <v>http://dx.doi.org/10.1006/viro.2000.0645</v>
      </c>
      <c r="BG771" s="1" t="s">
        <v>74</v>
      </c>
      <c r="BH771" s="1" t="s">
        <v>74</v>
      </c>
      <c r="BI771" s="1" t="s">
        <v>74</v>
      </c>
      <c r="BJ771" s="1" t="s">
        <v>74</v>
      </c>
      <c r="BK771" s="1" t="s">
        <v>74</v>
      </c>
      <c r="BL771" s="1" t="s">
        <v>74</v>
      </c>
      <c r="BM771" s="1" t="s">
        <v>74</v>
      </c>
      <c r="BN771" s="1">
        <v>1.108047E7</v>
      </c>
      <c r="BO771" s="1" t="s">
        <v>74</v>
      </c>
      <c r="BP771" s="1" t="s">
        <v>74</v>
      </c>
      <c r="BQ771" s="1" t="s">
        <v>74</v>
      </c>
      <c r="BR771" s="1" t="s">
        <v>74</v>
      </c>
      <c r="BS771" s="1" t="s">
        <v>7260</v>
      </c>
      <c r="BT771" s="1" t="str">
        <f>HYPERLINK("https%3A%2F%2Fwww.webofscience.com%2Fwos%2Fwoscc%2Ffull-record%2FWOS:000165628300001","View Full Record in Web of Science")</f>
        <v>View Full Record in Web of Science</v>
      </c>
    </row>
    <row r="772" ht="12.75" customHeight="1">
      <c r="A772" s="1" t="s">
        <v>72</v>
      </c>
      <c r="B772" s="1" t="s">
        <v>7261</v>
      </c>
      <c r="C772" s="1" t="s">
        <v>74</v>
      </c>
      <c r="D772" s="1" t="s">
        <v>74</v>
      </c>
      <c r="E772" s="1" t="s">
        <v>74</v>
      </c>
      <c r="F772" s="1" t="s">
        <v>7261</v>
      </c>
      <c r="G772" s="1" t="s">
        <v>74</v>
      </c>
      <c r="H772" s="1" t="s">
        <v>74</v>
      </c>
      <c r="I772" s="1" t="s">
        <v>7262</v>
      </c>
      <c r="J772" s="1" t="s">
        <v>6250</v>
      </c>
      <c r="K772" s="1" t="s">
        <v>74</v>
      </c>
      <c r="L772" s="1" t="s">
        <v>74</v>
      </c>
      <c r="M772" s="1" t="s">
        <v>74</v>
      </c>
      <c r="N772" s="1" t="s">
        <v>74</v>
      </c>
      <c r="O772" s="1" t="s">
        <v>74</v>
      </c>
      <c r="P772" s="1" t="s">
        <v>74</v>
      </c>
      <c r="Q772" s="1" t="s">
        <v>74</v>
      </c>
      <c r="R772" s="1" t="s">
        <v>74</v>
      </c>
      <c r="S772" s="1" t="s">
        <v>74</v>
      </c>
      <c r="T772" s="1" t="s">
        <v>74</v>
      </c>
      <c r="U772" s="1" t="s">
        <v>74</v>
      </c>
      <c r="V772" s="1" t="s">
        <v>7263</v>
      </c>
      <c r="W772" s="1" t="s">
        <v>74</v>
      </c>
      <c r="X772" s="1" t="s">
        <v>74</v>
      </c>
      <c r="Y772" s="1" t="s">
        <v>74</v>
      </c>
      <c r="Z772" s="1" t="s">
        <v>74</v>
      </c>
      <c r="AA772" s="1" t="s">
        <v>74</v>
      </c>
      <c r="AB772" s="1" t="s">
        <v>74</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6252</v>
      </c>
      <c r="AP772" s="1" t="s">
        <v>74</v>
      </c>
      <c r="AQ772" s="1" t="s">
        <v>74</v>
      </c>
      <c r="AR772" s="1" t="s">
        <v>74</v>
      </c>
      <c r="AS772" s="1" t="s">
        <v>74</v>
      </c>
      <c r="AT772" s="1" t="s">
        <v>107</v>
      </c>
      <c r="AU772" s="1">
        <v>1988.0</v>
      </c>
      <c r="AV772" s="1">
        <v>16.0</v>
      </c>
      <c r="AW772" s="1">
        <v>5.0</v>
      </c>
      <c r="AX772" s="1" t="s">
        <v>74</v>
      </c>
      <c r="AY772" s="1" t="s">
        <v>74</v>
      </c>
      <c r="AZ772" s="1" t="s">
        <v>74</v>
      </c>
      <c r="BA772" s="1" t="s">
        <v>74</v>
      </c>
      <c r="BB772" s="1">
        <v>799.0</v>
      </c>
      <c r="BC772" s="1">
        <v>807.0</v>
      </c>
      <c r="BD772" s="1" t="s">
        <v>74</v>
      </c>
      <c r="BE772" s="1" t="s">
        <v>74</v>
      </c>
      <c r="BF772" s="1" t="s">
        <v>74</v>
      </c>
      <c r="BG772" s="1" t="s">
        <v>74</v>
      </c>
      <c r="BH772" s="1" t="s">
        <v>74</v>
      </c>
      <c r="BI772" s="1" t="s">
        <v>74</v>
      </c>
      <c r="BJ772" s="1" t="s">
        <v>74</v>
      </c>
      <c r="BK772" s="1" t="s">
        <v>74</v>
      </c>
      <c r="BL772" s="1" t="s">
        <v>74</v>
      </c>
      <c r="BM772" s="1" t="s">
        <v>74</v>
      </c>
      <c r="BN772" s="1">
        <v>3421981.0</v>
      </c>
      <c r="BO772" s="1" t="s">
        <v>74</v>
      </c>
      <c r="BP772" s="1" t="s">
        <v>74</v>
      </c>
      <c r="BQ772" s="1" t="s">
        <v>74</v>
      </c>
      <c r="BR772" s="1" t="s">
        <v>74</v>
      </c>
      <c r="BS772" s="1" t="s">
        <v>7264</v>
      </c>
      <c r="BT772" s="1" t="str">
        <f>HYPERLINK("https%3A%2F%2Fwww.webofscience.com%2Fwos%2Fwoscc%2Ffull-record%2FWOS:A1988P003500003","View Full Record in Web of Science")</f>
        <v>View Full Record in Web of Science</v>
      </c>
    </row>
    <row r="773" ht="12.75" customHeight="1">
      <c r="A773" s="1" t="s">
        <v>72</v>
      </c>
      <c r="B773" s="1" t="s">
        <v>7265</v>
      </c>
      <c r="C773" s="1" t="s">
        <v>74</v>
      </c>
      <c r="D773" s="1" t="s">
        <v>74</v>
      </c>
      <c r="E773" s="1" t="s">
        <v>74</v>
      </c>
      <c r="F773" s="1" t="s">
        <v>7265</v>
      </c>
      <c r="G773" s="1" t="s">
        <v>74</v>
      </c>
      <c r="H773" s="1" t="s">
        <v>74</v>
      </c>
      <c r="I773" s="1" t="s">
        <v>7266</v>
      </c>
      <c r="J773" s="1" t="s">
        <v>7267</v>
      </c>
      <c r="K773" s="1" t="s">
        <v>74</v>
      </c>
      <c r="L773" s="1" t="s">
        <v>74</v>
      </c>
      <c r="M773" s="1" t="s">
        <v>74</v>
      </c>
      <c r="N773" s="1" t="s">
        <v>74</v>
      </c>
      <c r="O773" s="1" t="s">
        <v>74</v>
      </c>
      <c r="P773" s="1" t="s">
        <v>74</v>
      </c>
      <c r="Q773" s="1" t="s">
        <v>74</v>
      </c>
      <c r="R773" s="1" t="s">
        <v>74</v>
      </c>
      <c r="S773" s="1" t="s">
        <v>74</v>
      </c>
      <c r="T773" s="1" t="s">
        <v>74</v>
      </c>
      <c r="U773" s="1" t="s">
        <v>74</v>
      </c>
      <c r="V773" s="1" t="s">
        <v>74</v>
      </c>
      <c r="W773" s="1" t="s">
        <v>74</v>
      </c>
      <c r="X773" s="1" t="s">
        <v>74</v>
      </c>
      <c r="Y773" s="1" t="s">
        <v>74</v>
      </c>
      <c r="Z773" s="1" t="s">
        <v>74</v>
      </c>
      <c r="AA773" s="1" t="s">
        <v>74</v>
      </c>
      <c r="AB773" s="1" t="s">
        <v>74</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7268</v>
      </c>
      <c r="AP773" s="1" t="s">
        <v>74</v>
      </c>
      <c r="AQ773" s="1" t="s">
        <v>74</v>
      </c>
      <c r="AR773" s="1" t="s">
        <v>74</v>
      </c>
      <c r="AS773" s="1" t="s">
        <v>74</v>
      </c>
      <c r="AT773" s="1" t="s">
        <v>74</v>
      </c>
      <c r="AU773" s="1">
        <v>1982.0</v>
      </c>
      <c r="AV773" s="1">
        <v>35.0</v>
      </c>
      <c r="AW773" s="1">
        <v>12.0</v>
      </c>
      <c r="AX773" s="1" t="s">
        <v>74</v>
      </c>
      <c r="AY773" s="1" t="s">
        <v>74</v>
      </c>
      <c r="AZ773" s="1" t="s">
        <v>74</v>
      </c>
      <c r="BA773" s="1" t="s">
        <v>74</v>
      </c>
      <c r="BB773" s="1" t="s">
        <v>7269</v>
      </c>
      <c r="BC773" s="1" t="s">
        <v>7269</v>
      </c>
      <c r="BD773" s="1" t="s">
        <v>74</v>
      </c>
      <c r="BE773" s="1" t="s">
        <v>74</v>
      </c>
      <c r="BF773" s="1" t="s">
        <v>74</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7270</v>
      </c>
      <c r="BT773" s="1" t="str">
        <f>HYPERLINK("https%3A%2F%2Fwww.webofscience.com%2Fwos%2Fwoscc%2Ffull-record%2FWOS:A1982PX54500723","View Full Record in Web of Science")</f>
        <v>View Full Record in Web of Science</v>
      </c>
    </row>
    <row r="774" ht="12.75" customHeight="1">
      <c r="A774" s="1" t="s">
        <v>72</v>
      </c>
      <c r="B774" s="1" t="s">
        <v>7271</v>
      </c>
      <c r="C774" s="1" t="s">
        <v>74</v>
      </c>
      <c r="D774" s="1" t="s">
        <v>74</v>
      </c>
      <c r="E774" s="1" t="s">
        <v>74</v>
      </c>
      <c r="F774" s="1" t="s">
        <v>7272</v>
      </c>
      <c r="G774" s="1" t="s">
        <v>74</v>
      </c>
      <c r="H774" s="1" t="s">
        <v>74</v>
      </c>
      <c r="I774" s="1" t="s">
        <v>7273</v>
      </c>
      <c r="J774" s="1" t="s">
        <v>7274</v>
      </c>
      <c r="K774" s="1" t="s">
        <v>74</v>
      </c>
      <c r="L774" s="1" t="s">
        <v>74</v>
      </c>
      <c r="M774" s="1" t="s">
        <v>74</v>
      </c>
      <c r="N774" s="1" t="s">
        <v>74</v>
      </c>
      <c r="O774" s="1" t="s">
        <v>74</v>
      </c>
      <c r="P774" s="1" t="s">
        <v>74</v>
      </c>
      <c r="Q774" s="1" t="s">
        <v>74</v>
      </c>
      <c r="R774" s="1" t="s">
        <v>74</v>
      </c>
      <c r="S774" s="1" t="s">
        <v>74</v>
      </c>
      <c r="T774" s="1" t="s">
        <v>74</v>
      </c>
      <c r="U774" s="1" t="s">
        <v>74</v>
      </c>
      <c r="V774" s="1" t="s">
        <v>7275</v>
      </c>
      <c r="W774" s="1" t="s">
        <v>74</v>
      </c>
      <c r="X774" s="1" t="s">
        <v>74</v>
      </c>
      <c r="Y774" s="1" t="s">
        <v>74</v>
      </c>
      <c r="Z774" s="1" t="s">
        <v>74</v>
      </c>
      <c r="AA774" s="1" t="s">
        <v>7276</v>
      </c>
      <c r="AB774" s="1" t="s">
        <v>74</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7277</v>
      </c>
      <c r="AP774" s="1" t="s">
        <v>7278</v>
      </c>
      <c r="AQ774" s="1" t="s">
        <v>74</v>
      </c>
      <c r="AR774" s="1" t="s">
        <v>74</v>
      </c>
      <c r="AS774" s="1" t="s">
        <v>74</v>
      </c>
      <c r="AT774" s="1" t="s">
        <v>95</v>
      </c>
      <c r="AU774" s="1">
        <v>2023.0</v>
      </c>
      <c r="AV774" s="1">
        <v>40.0</v>
      </c>
      <c r="AW774" s="1">
        <v>6.0</v>
      </c>
      <c r="AX774" s="1" t="s">
        <v>74</v>
      </c>
      <c r="AY774" s="1" t="s">
        <v>74</v>
      </c>
      <c r="AZ774" s="1" t="s">
        <v>74</v>
      </c>
      <c r="BA774" s="1" t="s">
        <v>74</v>
      </c>
      <c r="BB774" s="1">
        <v>686.0</v>
      </c>
      <c r="BC774" s="1">
        <v>690.0</v>
      </c>
      <c r="BD774" s="1" t="s">
        <v>74</v>
      </c>
      <c r="BE774" s="1" t="s">
        <v>74</v>
      </c>
      <c r="BF774" s="1" t="s">
        <v>74</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7279</v>
      </c>
      <c r="BT774" s="1" t="str">
        <f>HYPERLINK("https%3A%2F%2Fwww.webofscience.com%2Fwos%2Fwoscc%2Ffull-record%2FWOS:001259835500014","View Full Record in Web of Science")</f>
        <v>View Full Record in Web of Science</v>
      </c>
    </row>
    <row r="775" ht="12.75" customHeight="1">
      <c r="A775" s="1" t="s">
        <v>72</v>
      </c>
      <c r="B775" s="1" t="s">
        <v>7280</v>
      </c>
      <c r="C775" s="1" t="s">
        <v>74</v>
      </c>
      <c r="D775" s="1" t="s">
        <v>74</v>
      </c>
      <c r="E775" s="1" t="s">
        <v>74</v>
      </c>
      <c r="F775" s="1" t="s">
        <v>7281</v>
      </c>
      <c r="G775" s="1" t="s">
        <v>74</v>
      </c>
      <c r="H775" s="1" t="s">
        <v>74</v>
      </c>
      <c r="I775" s="1" t="s">
        <v>7282</v>
      </c>
      <c r="J775" s="1" t="s">
        <v>7283</v>
      </c>
      <c r="K775" s="1" t="s">
        <v>74</v>
      </c>
      <c r="L775" s="1" t="s">
        <v>74</v>
      </c>
      <c r="M775" s="1" t="s">
        <v>74</v>
      </c>
      <c r="N775" s="1" t="s">
        <v>74</v>
      </c>
      <c r="O775" s="1" t="s">
        <v>74</v>
      </c>
      <c r="P775" s="1" t="s">
        <v>74</v>
      </c>
      <c r="Q775" s="1" t="s">
        <v>74</v>
      </c>
      <c r="R775" s="1" t="s">
        <v>74</v>
      </c>
      <c r="S775" s="1" t="s">
        <v>74</v>
      </c>
      <c r="T775" s="1" t="s">
        <v>74</v>
      </c>
      <c r="U775" s="1" t="s">
        <v>74</v>
      </c>
      <c r="V775" s="1" t="s">
        <v>7284</v>
      </c>
      <c r="W775" s="1" t="s">
        <v>74</v>
      </c>
      <c r="X775" s="1" t="s">
        <v>74</v>
      </c>
      <c r="Y775" s="1" t="s">
        <v>74</v>
      </c>
      <c r="Z775" s="1" t="s">
        <v>74</v>
      </c>
      <c r="AA775" s="1" t="s">
        <v>7285</v>
      </c>
      <c r="AB775" s="1" t="s">
        <v>7286</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7287</v>
      </c>
      <c r="AP775" s="1" t="s">
        <v>7288</v>
      </c>
      <c r="AQ775" s="1" t="s">
        <v>74</v>
      </c>
      <c r="AR775" s="1" t="s">
        <v>74</v>
      </c>
      <c r="AS775" s="1" t="s">
        <v>74</v>
      </c>
      <c r="AT775" s="1" t="s">
        <v>95</v>
      </c>
      <c r="AU775" s="1">
        <v>2023.0</v>
      </c>
      <c r="AV775" s="1">
        <v>158.0</v>
      </c>
      <c r="AW775" s="1">
        <v>6.0</v>
      </c>
      <c r="AX775" s="1" t="s">
        <v>74</v>
      </c>
      <c r="AY775" s="1" t="s">
        <v>74</v>
      </c>
      <c r="AZ775" s="1" t="s">
        <v>74</v>
      </c>
      <c r="BA775" s="1" t="s">
        <v>74</v>
      </c>
      <c r="BB775" s="1">
        <v>457.0</v>
      </c>
      <c r="BC775" s="1">
        <v>466.0</v>
      </c>
      <c r="BD775" s="1" t="s">
        <v>74</v>
      </c>
      <c r="BE775" s="1" t="s">
        <v>7289</v>
      </c>
      <c r="BF775" s="2" t="str">
        <f>HYPERLINK("http://dx.doi.org/10.23736/S2784-8671.23.07579-5","http://dx.doi.org/10.23736/S2784-8671.23.07579-5")</f>
        <v>http://dx.doi.org/10.23736/S2784-8671.23.07579-5</v>
      </c>
      <c r="BG775" s="1" t="s">
        <v>74</v>
      </c>
      <c r="BH775" s="1" t="s">
        <v>74</v>
      </c>
      <c r="BI775" s="1" t="s">
        <v>74</v>
      </c>
      <c r="BJ775" s="1" t="s">
        <v>74</v>
      </c>
      <c r="BK775" s="1" t="s">
        <v>74</v>
      </c>
      <c r="BL775" s="1" t="s">
        <v>74</v>
      </c>
      <c r="BM775" s="1" t="s">
        <v>74</v>
      </c>
      <c r="BN775" s="1">
        <v>3.8015483E7</v>
      </c>
      <c r="BO775" s="1" t="s">
        <v>74</v>
      </c>
      <c r="BP775" s="1" t="s">
        <v>74</v>
      </c>
      <c r="BQ775" s="1" t="s">
        <v>74</v>
      </c>
      <c r="BR775" s="1" t="s">
        <v>74</v>
      </c>
      <c r="BS775" s="1" t="s">
        <v>7290</v>
      </c>
      <c r="BT775" s="1" t="str">
        <f>HYPERLINK("https%3A%2F%2Fwww.webofscience.com%2Fwos%2Fwoscc%2Ffull-record%2FWOS:001123635300012","View Full Record in Web of Science")</f>
        <v>View Full Record in Web of Science</v>
      </c>
    </row>
    <row r="776" ht="12.75" customHeight="1">
      <c r="A776" s="1" t="s">
        <v>72</v>
      </c>
      <c r="B776" s="1" t="s">
        <v>7291</v>
      </c>
      <c r="C776" s="1" t="s">
        <v>74</v>
      </c>
      <c r="D776" s="1" t="s">
        <v>74</v>
      </c>
      <c r="E776" s="1" t="s">
        <v>74</v>
      </c>
      <c r="F776" s="1" t="s">
        <v>7292</v>
      </c>
      <c r="G776" s="1" t="s">
        <v>74</v>
      </c>
      <c r="H776" s="1" t="s">
        <v>74</v>
      </c>
      <c r="I776" s="1" t="s">
        <v>7293</v>
      </c>
      <c r="J776" s="1" t="s">
        <v>7294</v>
      </c>
      <c r="K776" s="1" t="s">
        <v>74</v>
      </c>
      <c r="L776" s="1" t="s">
        <v>74</v>
      </c>
      <c r="M776" s="1" t="s">
        <v>74</v>
      </c>
      <c r="N776" s="1" t="s">
        <v>74</v>
      </c>
      <c r="O776" s="1" t="s">
        <v>74</v>
      </c>
      <c r="P776" s="1" t="s">
        <v>74</v>
      </c>
      <c r="Q776" s="1" t="s">
        <v>74</v>
      </c>
      <c r="R776" s="1" t="s">
        <v>74</v>
      </c>
      <c r="S776" s="1" t="s">
        <v>74</v>
      </c>
      <c r="T776" s="1" t="s">
        <v>74</v>
      </c>
      <c r="U776" s="1" t="s">
        <v>74</v>
      </c>
      <c r="V776" s="1" t="s">
        <v>7295</v>
      </c>
      <c r="W776" s="1" t="s">
        <v>74</v>
      </c>
      <c r="X776" s="1" t="s">
        <v>74</v>
      </c>
      <c r="Y776" s="1" t="s">
        <v>74</v>
      </c>
      <c r="Z776" s="1" t="s">
        <v>74</v>
      </c>
      <c r="AA776" s="1" t="s">
        <v>7296</v>
      </c>
      <c r="AB776" s="1" t="s">
        <v>7297</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7298</v>
      </c>
      <c r="AP776" s="1" t="s">
        <v>7299</v>
      </c>
      <c r="AQ776" s="1" t="s">
        <v>74</v>
      </c>
      <c r="AR776" s="1" t="s">
        <v>74</v>
      </c>
      <c r="AS776" s="1" t="s">
        <v>74</v>
      </c>
      <c r="AT776" s="1" t="s">
        <v>3129</v>
      </c>
      <c r="AU776" s="1">
        <v>2023.0</v>
      </c>
      <c r="AV776" s="1">
        <v>33.0</v>
      </c>
      <c r="AW776" s="1">
        <v>6.0</v>
      </c>
      <c r="AX776" s="1" t="s">
        <v>74</v>
      </c>
      <c r="AY776" s="1" t="s">
        <v>74</v>
      </c>
      <c r="AZ776" s="1" t="s">
        <v>74</v>
      </c>
      <c r="BA776" s="1" t="s">
        <v>74</v>
      </c>
      <c r="BB776" s="1">
        <v>732.0</v>
      </c>
      <c r="BC776" s="1">
        <v>747.0</v>
      </c>
      <c r="BD776" s="1" t="s">
        <v>74</v>
      </c>
      <c r="BE776" s="1" t="s">
        <v>7300</v>
      </c>
      <c r="BF776" s="2" t="str">
        <f>HYPERLINK("http://dx.doi.org/10.1080/10439463.2023.2195648","http://dx.doi.org/10.1080/10439463.2023.2195648")</f>
        <v>http://dx.doi.org/10.1080/10439463.2023.2195648</v>
      </c>
      <c r="BG776" s="1" t="s">
        <v>74</v>
      </c>
      <c r="BH776" s="1" t="s">
        <v>1670</v>
      </c>
      <c r="BI776" s="1" t="s">
        <v>74</v>
      </c>
      <c r="BJ776" s="1" t="s">
        <v>74</v>
      </c>
      <c r="BK776" s="1" t="s">
        <v>74</v>
      </c>
      <c r="BL776" s="1" t="s">
        <v>74</v>
      </c>
      <c r="BM776" s="1" t="s">
        <v>74</v>
      </c>
      <c r="BN776" s="1" t="s">
        <v>74</v>
      </c>
      <c r="BO776" s="1" t="s">
        <v>74</v>
      </c>
      <c r="BP776" s="1" t="s">
        <v>74</v>
      </c>
      <c r="BQ776" s="1" t="s">
        <v>74</v>
      </c>
      <c r="BR776" s="1" t="s">
        <v>74</v>
      </c>
      <c r="BS776" s="1" t="s">
        <v>7301</v>
      </c>
      <c r="BT776" s="1" t="str">
        <f>HYPERLINK("https%3A%2F%2Fwww.webofscience.com%2Fwos%2Fwoscc%2Ffull-record%2FWOS:000961454500001","View Full Record in Web of Science")</f>
        <v>View Full Record in Web of Science</v>
      </c>
    </row>
    <row r="777" ht="12.75" customHeight="1">
      <c r="A777" s="1" t="s">
        <v>72</v>
      </c>
      <c r="B777" s="1" t="s">
        <v>7302</v>
      </c>
      <c r="C777" s="1" t="s">
        <v>74</v>
      </c>
      <c r="D777" s="1" t="s">
        <v>74</v>
      </c>
      <c r="E777" s="1" t="s">
        <v>74</v>
      </c>
      <c r="F777" s="1" t="s">
        <v>7303</v>
      </c>
      <c r="G777" s="1" t="s">
        <v>74</v>
      </c>
      <c r="H777" s="1" t="s">
        <v>74</v>
      </c>
      <c r="I777" s="1" t="s">
        <v>7304</v>
      </c>
      <c r="J777" s="1" t="s">
        <v>1017</v>
      </c>
      <c r="K777" s="1" t="s">
        <v>74</v>
      </c>
      <c r="L777" s="1" t="s">
        <v>74</v>
      </c>
      <c r="M777" s="1" t="s">
        <v>74</v>
      </c>
      <c r="N777" s="1" t="s">
        <v>74</v>
      </c>
      <c r="O777" s="1" t="s">
        <v>74</v>
      </c>
      <c r="P777" s="1" t="s">
        <v>74</v>
      </c>
      <c r="Q777" s="1" t="s">
        <v>74</v>
      </c>
      <c r="R777" s="1" t="s">
        <v>74</v>
      </c>
      <c r="S777" s="1" t="s">
        <v>74</v>
      </c>
      <c r="T777" s="1" t="s">
        <v>74</v>
      </c>
      <c r="U777" s="1" t="s">
        <v>74</v>
      </c>
      <c r="V777" s="1" t="s">
        <v>7305</v>
      </c>
      <c r="W777" s="1" t="s">
        <v>74</v>
      </c>
      <c r="X777" s="1" t="s">
        <v>74</v>
      </c>
      <c r="Y777" s="1" t="s">
        <v>74</v>
      </c>
      <c r="Z777" s="1" t="s">
        <v>74</v>
      </c>
      <c r="AA777" s="1" t="s">
        <v>7306</v>
      </c>
      <c r="AB777" s="1" t="s">
        <v>7307</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74</v>
      </c>
      <c r="AP777" s="1" t="s">
        <v>1019</v>
      </c>
      <c r="AQ777" s="1" t="s">
        <v>74</v>
      </c>
      <c r="AR777" s="1" t="s">
        <v>74</v>
      </c>
      <c r="AS777" s="1" t="s">
        <v>74</v>
      </c>
      <c r="AT777" s="1" t="s">
        <v>7308</v>
      </c>
      <c r="AU777" s="1">
        <v>2023.0</v>
      </c>
      <c r="AV777" s="1">
        <v>13.0</v>
      </c>
      <c r="AW777" s="1" t="s">
        <v>74</v>
      </c>
      <c r="AX777" s="1" t="s">
        <v>74</v>
      </c>
      <c r="AY777" s="1" t="s">
        <v>74</v>
      </c>
      <c r="AZ777" s="1" t="s">
        <v>74</v>
      </c>
      <c r="BA777" s="1" t="s">
        <v>74</v>
      </c>
      <c r="BB777" s="1" t="s">
        <v>74</v>
      </c>
      <c r="BC777" s="1" t="s">
        <v>74</v>
      </c>
      <c r="BD777" s="1">
        <v>1074741.0</v>
      </c>
      <c r="BE777" s="1" t="s">
        <v>7309</v>
      </c>
      <c r="BF777" s="2" t="str">
        <f>HYPERLINK("http://dx.doi.org/10.3389/fmicb.2022.1074741","http://dx.doi.org/10.3389/fmicb.2022.1074741")</f>
        <v>http://dx.doi.org/10.3389/fmicb.2022.1074741</v>
      </c>
      <c r="BG777" s="1" t="s">
        <v>74</v>
      </c>
      <c r="BH777" s="1" t="s">
        <v>74</v>
      </c>
      <c r="BI777" s="1" t="s">
        <v>74</v>
      </c>
      <c r="BJ777" s="1" t="s">
        <v>74</v>
      </c>
      <c r="BK777" s="1" t="s">
        <v>74</v>
      </c>
      <c r="BL777" s="1" t="s">
        <v>74</v>
      </c>
      <c r="BM777" s="1" t="s">
        <v>74</v>
      </c>
      <c r="BN777" s="1">
        <v>3.6713198E7</v>
      </c>
      <c r="BO777" s="1" t="s">
        <v>74</v>
      </c>
      <c r="BP777" s="1" t="s">
        <v>74</v>
      </c>
      <c r="BQ777" s="1" t="s">
        <v>74</v>
      </c>
      <c r="BR777" s="1" t="s">
        <v>74</v>
      </c>
      <c r="BS777" s="1" t="s">
        <v>7310</v>
      </c>
      <c r="BT777" s="1" t="str">
        <f>HYPERLINK("https%3A%2F%2Fwww.webofscience.com%2Fwos%2Fwoscc%2Ffull-record%2FWOS:000920074700001","View Full Record in Web of Science")</f>
        <v>View Full Record in Web of Science</v>
      </c>
    </row>
    <row r="778" ht="12.75" customHeight="1">
      <c r="A778" s="1" t="s">
        <v>72</v>
      </c>
      <c r="B778" s="1" t="s">
        <v>7311</v>
      </c>
      <c r="C778" s="1" t="s">
        <v>74</v>
      </c>
      <c r="D778" s="1" t="s">
        <v>74</v>
      </c>
      <c r="E778" s="1" t="s">
        <v>74</v>
      </c>
      <c r="F778" s="1" t="s">
        <v>7312</v>
      </c>
      <c r="G778" s="1" t="s">
        <v>74</v>
      </c>
      <c r="H778" s="1" t="s">
        <v>74</v>
      </c>
      <c r="I778" s="1" t="s">
        <v>7313</v>
      </c>
      <c r="J778" s="1" t="s">
        <v>7314</v>
      </c>
      <c r="K778" s="1" t="s">
        <v>74</v>
      </c>
      <c r="L778" s="1" t="s">
        <v>74</v>
      </c>
      <c r="M778" s="1" t="s">
        <v>74</v>
      </c>
      <c r="N778" s="1" t="s">
        <v>74</v>
      </c>
      <c r="O778" s="1" t="s">
        <v>74</v>
      </c>
      <c r="P778" s="1" t="s">
        <v>74</v>
      </c>
      <c r="Q778" s="1" t="s">
        <v>74</v>
      </c>
      <c r="R778" s="1" t="s">
        <v>74</v>
      </c>
      <c r="S778" s="1" t="s">
        <v>74</v>
      </c>
      <c r="T778" s="1" t="s">
        <v>74</v>
      </c>
      <c r="U778" s="1" t="s">
        <v>74</v>
      </c>
      <c r="V778" s="1" t="s">
        <v>7315</v>
      </c>
      <c r="W778" s="1" t="s">
        <v>74</v>
      </c>
      <c r="X778" s="1" t="s">
        <v>74</v>
      </c>
      <c r="Y778" s="1" t="s">
        <v>74</v>
      </c>
      <c r="Z778" s="1" t="s">
        <v>74</v>
      </c>
      <c r="AA778" s="1" t="s">
        <v>7316</v>
      </c>
      <c r="AB778" s="1" t="s">
        <v>6655</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7317</v>
      </c>
      <c r="AP778" s="1" t="s">
        <v>74</v>
      </c>
      <c r="AQ778" s="1" t="s">
        <v>74</v>
      </c>
      <c r="AR778" s="1" t="s">
        <v>74</v>
      </c>
      <c r="AS778" s="1" t="s">
        <v>74</v>
      </c>
      <c r="AT778" s="1" t="s">
        <v>95</v>
      </c>
      <c r="AU778" s="1">
        <v>2022.0</v>
      </c>
      <c r="AV778" s="1">
        <v>49.0</v>
      </c>
      <c r="AW778" s="1">
        <v>2.0</v>
      </c>
      <c r="AX778" s="1" t="s">
        <v>74</v>
      </c>
      <c r="AY778" s="1" t="s">
        <v>74</v>
      </c>
      <c r="AZ778" s="1" t="s">
        <v>74</v>
      </c>
      <c r="BA778" s="1" t="s">
        <v>74</v>
      </c>
      <c r="BB778" s="1">
        <v>199.0</v>
      </c>
      <c r="BC778" s="1">
        <v>229.0</v>
      </c>
      <c r="BD778" s="1" t="s">
        <v>74</v>
      </c>
      <c r="BE778" s="1" t="s">
        <v>74</v>
      </c>
      <c r="BF778" s="1" t="s">
        <v>74</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7318</v>
      </c>
      <c r="BT778" s="1" t="str">
        <f>HYPERLINK("https%3A%2F%2Fwww.webofscience.com%2Fwos%2Fwoscc%2Ffull-record%2FWOS:000955847300004","View Full Record in Web of Science")</f>
        <v>View Full Record in Web of Science</v>
      </c>
    </row>
    <row r="779" ht="12.75" customHeight="1">
      <c r="A779" s="1" t="s">
        <v>72</v>
      </c>
      <c r="B779" s="1" t="s">
        <v>7319</v>
      </c>
      <c r="C779" s="1" t="s">
        <v>74</v>
      </c>
      <c r="D779" s="1" t="s">
        <v>74</v>
      </c>
      <c r="E779" s="1" t="s">
        <v>74</v>
      </c>
      <c r="F779" s="1" t="s">
        <v>7320</v>
      </c>
      <c r="G779" s="1" t="s">
        <v>74</v>
      </c>
      <c r="H779" s="1" t="s">
        <v>74</v>
      </c>
      <c r="I779" s="1" t="s">
        <v>7321</v>
      </c>
      <c r="J779" s="1" t="s">
        <v>4602</v>
      </c>
      <c r="K779" s="1" t="s">
        <v>74</v>
      </c>
      <c r="L779" s="1" t="s">
        <v>74</v>
      </c>
      <c r="M779" s="1" t="s">
        <v>74</v>
      </c>
      <c r="N779" s="1" t="s">
        <v>74</v>
      </c>
      <c r="O779" s="1" t="s">
        <v>74</v>
      </c>
      <c r="P779" s="1" t="s">
        <v>74</v>
      </c>
      <c r="Q779" s="1" t="s">
        <v>74</v>
      </c>
      <c r="R779" s="1" t="s">
        <v>74</v>
      </c>
      <c r="S779" s="1" t="s">
        <v>74</v>
      </c>
      <c r="T779" s="1" t="s">
        <v>74</v>
      </c>
      <c r="U779" s="1" t="s">
        <v>74</v>
      </c>
      <c r="V779" s="1" t="s">
        <v>7322</v>
      </c>
      <c r="W779" s="1" t="s">
        <v>74</v>
      </c>
      <c r="X779" s="1" t="s">
        <v>74</v>
      </c>
      <c r="Y779" s="1" t="s">
        <v>74</v>
      </c>
      <c r="Z779" s="1" t="s">
        <v>74</v>
      </c>
      <c r="AA779" s="1" t="s">
        <v>7323</v>
      </c>
      <c r="AB779" s="1" t="s">
        <v>7324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74</v>
      </c>
      <c r="AP779" s="1" t="s">
        <v>4606</v>
      </c>
      <c r="AQ779" s="1" t="s">
        <v>74</v>
      </c>
      <c r="AR779" s="1" t="s">
        <v>74</v>
      </c>
      <c r="AS779" s="1" t="s">
        <v>74</v>
      </c>
      <c r="AT779" s="1" t="s">
        <v>1690</v>
      </c>
      <c r="AU779" s="1">
        <v>2022.0</v>
      </c>
      <c r="AV779" s="1">
        <v>10.0</v>
      </c>
      <c r="AW779" s="1" t="s">
        <v>74</v>
      </c>
      <c r="AX779" s="1" t="s">
        <v>74</v>
      </c>
      <c r="AY779" s="1" t="s">
        <v>74</v>
      </c>
      <c r="AZ779" s="1" t="s">
        <v>74</v>
      </c>
      <c r="BA779" s="1" t="s">
        <v>74</v>
      </c>
      <c r="BB779" s="1" t="s">
        <v>74</v>
      </c>
      <c r="BC779" s="1" t="s">
        <v>74</v>
      </c>
      <c r="BD779" s="1">
        <v>984433.0</v>
      </c>
      <c r="BE779" s="1" t="s">
        <v>7325</v>
      </c>
      <c r="BF779" s="2" t="str">
        <f>HYPERLINK("http://dx.doi.org/10.3389/fpubh.2022.984433","http://dx.doi.org/10.3389/fpubh.2022.984433")</f>
        <v>http://dx.doi.org/10.3389/fpubh.2022.984433</v>
      </c>
      <c r="BG779" s="1" t="s">
        <v>74</v>
      </c>
      <c r="BH779" s="1" t="s">
        <v>74</v>
      </c>
      <c r="BI779" s="1" t="s">
        <v>74</v>
      </c>
      <c r="BJ779" s="1" t="s">
        <v>74</v>
      </c>
      <c r="BK779" s="1" t="s">
        <v>74</v>
      </c>
      <c r="BL779" s="1" t="s">
        <v>74</v>
      </c>
      <c r="BM779" s="1" t="s">
        <v>74</v>
      </c>
      <c r="BN779" s="1">
        <v>3.6339233E7</v>
      </c>
      <c r="BO779" s="1" t="s">
        <v>74</v>
      </c>
      <c r="BP779" s="1" t="s">
        <v>74</v>
      </c>
      <c r="BQ779" s="1" t="s">
        <v>74</v>
      </c>
      <c r="BR779" s="1" t="s">
        <v>74</v>
      </c>
      <c r="BS779" s="1" t="s">
        <v>7326</v>
      </c>
      <c r="BT779" s="1" t="str">
        <f>HYPERLINK("https%3A%2F%2Fwww.webofscience.com%2Fwos%2Fwoscc%2Ffull-record%2FWOS:000880070500001","View Full Record in Web of Science")</f>
        <v>View Full Record in Web of Science</v>
      </c>
    </row>
    <row r="780" ht="12.75" customHeight="1">
      <c r="A780" s="1" t="s">
        <v>346</v>
      </c>
      <c r="B780" s="1" t="s">
        <v>7327</v>
      </c>
      <c r="C780" s="1" t="s">
        <v>74</v>
      </c>
      <c r="D780" s="1" t="s">
        <v>74</v>
      </c>
      <c r="E780" s="1" t="s">
        <v>348</v>
      </c>
      <c r="F780" s="1" t="s">
        <v>7328</v>
      </c>
      <c r="G780" s="1" t="s">
        <v>74</v>
      </c>
      <c r="H780" s="1" t="s">
        <v>74</v>
      </c>
      <c r="I780" s="1" t="s">
        <v>7329</v>
      </c>
      <c r="J780" s="1" t="s">
        <v>7330</v>
      </c>
      <c r="K780" s="1" t="s">
        <v>7331</v>
      </c>
      <c r="L780" s="1" t="s">
        <v>74</v>
      </c>
      <c r="M780" s="1" t="s">
        <v>74</v>
      </c>
      <c r="N780" s="1" t="s">
        <v>74</v>
      </c>
      <c r="O780" s="1" t="s">
        <v>7332</v>
      </c>
      <c r="P780" s="1" t="s">
        <v>7333</v>
      </c>
      <c r="Q780" s="1" t="s">
        <v>7334</v>
      </c>
      <c r="R780" s="1" t="s">
        <v>7335</v>
      </c>
      <c r="S780" s="1" t="s">
        <v>7336</v>
      </c>
      <c r="T780" s="1" t="s">
        <v>74</v>
      </c>
      <c r="U780" s="1" t="s">
        <v>74</v>
      </c>
      <c r="V780" s="1" t="s">
        <v>7337</v>
      </c>
      <c r="W780" s="1" t="s">
        <v>74</v>
      </c>
      <c r="X780" s="1" t="s">
        <v>74</v>
      </c>
      <c r="Y780" s="1" t="s">
        <v>74</v>
      </c>
      <c r="Z780" s="1" t="s">
        <v>74</v>
      </c>
      <c r="AA780" s="1" t="s">
        <v>7338</v>
      </c>
      <c r="AB780" s="1" t="s">
        <v>7339</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7340</v>
      </c>
      <c r="AP780" s="1" t="s">
        <v>74</v>
      </c>
      <c r="AQ780" s="1" t="s">
        <v>7341</v>
      </c>
      <c r="AR780" s="1" t="s">
        <v>74</v>
      </c>
      <c r="AS780" s="1" t="s">
        <v>74</v>
      </c>
      <c r="AT780" s="1" t="s">
        <v>74</v>
      </c>
      <c r="AU780" s="1">
        <v>2022.0</v>
      </c>
      <c r="AV780" s="1" t="s">
        <v>74</v>
      </c>
      <c r="AW780" s="1" t="s">
        <v>74</v>
      </c>
      <c r="AX780" s="1" t="s">
        <v>74</v>
      </c>
      <c r="AY780" s="1" t="s">
        <v>74</v>
      </c>
      <c r="AZ780" s="1" t="s">
        <v>74</v>
      </c>
      <c r="BA780" s="1" t="s">
        <v>74</v>
      </c>
      <c r="BB780" s="1">
        <v>482.0</v>
      </c>
      <c r="BC780" s="1">
        <v>488.0</v>
      </c>
      <c r="BD780" s="1" t="s">
        <v>74</v>
      </c>
      <c r="BE780" s="1" t="s">
        <v>7342</v>
      </c>
      <c r="BF780" s="2" t="str">
        <f>HYPERLINK("http://dx.doi.org/10.1109/ICSC57768.2022.9993896","http://dx.doi.org/10.1109/ICSC57768.2022.9993896")</f>
        <v>http://dx.doi.org/10.1109/ICSC57768.2022.9993896</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7343</v>
      </c>
      <c r="BT780" s="1" t="str">
        <f>HYPERLINK("https%3A%2F%2Fwww.webofscience.com%2Fwos%2Fwoscc%2Ffull-record%2FWOS:000927654200081","View Full Record in Web of Science")</f>
        <v>View Full Record in Web of Science</v>
      </c>
    </row>
    <row r="781" ht="12.75" customHeight="1">
      <c r="A781" s="1" t="s">
        <v>72</v>
      </c>
      <c r="B781" s="1" t="s">
        <v>7344</v>
      </c>
      <c r="C781" s="1" t="s">
        <v>74</v>
      </c>
      <c r="D781" s="1" t="s">
        <v>74</v>
      </c>
      <c r="E781" s="1" t="s">
        <v>74</v>
      </c>
      <c r="F781" s="1" t="s">
        <v>7345</v>
      </c>
      <c r="G781" s="1" t="s">
        <v>74</v>
      </c>
      <c r="H781" s="1" t="s">
        <v>74</v>
      </c>
      <c r="I781" s="1" t="s">
        <v>7346</v>
      </c>
      <c r="J781" s="1" t="s">
        <v>7347</v>
      </c>
      <c r="K781" s="1" t="s">
        <v>74</v>
      </c>
      <c r="L781" s="1" t="s">
        <v>74</v>
      </c>
      <c r="M781" s="1" t="s">
        <v>74</v>
      </c>
      <c r="N781" s="1" t="s">
        <v>74</v>
      </c>
      <c r="O781" s="1" t="s">
        <v>74</v>
      </c>
      <c r="P781" s="1" t="s">
        <v>74</v>
      </c>
      <c r="Q781" s="1" t="s">
        <v>74</v>
      </c>
      <c r="R781" s="1" t="s">
        <v>74</v>
      </c>
      <c r="S781" s="1" t="s">
        <v>74</v>
      </c>
      <c r="T781" s="1" t="s">
        <v>74</v>
      </c>
      <c r="U781" s="1" t="s">
        <v>74</v>
      </c>
      <c r="V781" s="1" t="s">
        <v>7348</v>
      </c>
      <c r="W781" s="1" t="s">
        <v>74</v>
      </c>
      <c r="X781" s="1" t="s">
        <v>74</v>
      </c>
      <c r="Y781" s="1" t="s">
        <v>74</v>
      </c>
      <c r="Z781" s="1" t="s">
        <v>74</v>
      </c>
      <c r="AA781" s="1" t="s">
        <v>7349</v>
      </c>
      <c r="AB781" s="1" t="s">
        <v>7350</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7351</v>
      </c>
      <c r="AP781" s="1" t="s">
        <v>7352</v>
      </c>
      <c r="AQ781" s="1" t="s">
        <v>74</v>
      </c>
      <c r="AR781" s="1" t="s">
        <v>74</v>
      </c>
      <c r="AS781" s="1" t="s">
        <v>74</v>
      </c>
      <c r="AT781" s="1" t="s">
        <v>6047</v>
      </c>
      <c r="AU781" s="1">
        <v>2022.0</v>
      </c>
      <c r="AV781" s="1">
        <v>315.0</v>
      </c>
      <c r="AW781" s="1" t="s">
        <v>74</v>
      </c>
      <c r="AX781" s="1" t="s">
        <v>74</v>
      </c>
      <c r="AY781" s="1" t="s">
        <v>74</v>
      </c>
      <c r="AZ781" s="1" t="s">
        <v>74</v>
      </c>
      <c r="BA781" s="1" t="s">
        <v>74</v>
      </c>
      <c r="BB781" s="1" t="s">
        <v>74</v>
      </c>
      <c r="BC781" s="1" t="s">
        <v>74</v>
      </c>
      <c r="BD781" s="1">
        <v>125617.0</v>
      </c>
      <c r="BE781" s="1" t="s">
        <v>7353</v>
      </c>
      <c r="BF781" s="2" t="str">
        <f>HYPERLINK("http://dx.doi.org/10.1016/j.conbuildmat.2021.125617","http://dx.doi.org/10.1016/j.conbuildmat.2021.125617")</f>
        <v>http://dx.doi.org/10.1016/j.conbuildmat.2021.125617</v>
      </c>
      <c r="BG781" s="1" t="s">
        <v>74</v>
      </c>
      <c r="BH781" s="1" t="s">
        <v>7354</v>
      </c>
      <c r="BI781" s="1" t="s">
        <v>74</v>
      </c>
      <c r="BJ781" s="1" t="s">
        <v>74</v>
      </c>
      <c r="BK781" s="1" t="s">
        <v>74</v>
      </c>
      <c r="BL781" s="1" t="s">
        <v>74</v>
      </c>
      <c r="BM781" s="1" t="s">
        <v>74</v>
      </c>
      <c r="BN781" s="1" t="s">
        <v>74</v>
      </c>
      <c r="BO781" s="1" t="s">
        <v>74</v>
      </c>
      <c r="BP781" s="1" t="s">
        <v>74</v>
      </c>
      <c r="BQ781" s="1" t="s">
        <v>74</v>
      </c>
      <c r="BR781" s="1" t="s">
        <v>74</v>
      </c>
      <c r="BS781" s="1" t="s">
        <v>7355</v>
      </c>
      <c r="BT781" s="1" t="str">
        <f>HYPERLINK("https%3A%2F%2Fwww.webofscience.com%2Fwos%2Fwoscc%2Ffull-record%2FWOS:000740146400002","View Full Record in Web of Science")</f>
        <v>View Full Record in Web of Science</v>
      </c>
    </row>
    <row r="782" ht="12.75" customHeight="1">
      <c r="A782" s="1" t="s">
        <v>72</v>
      </c>
      <c r="B782" s="1" t="s">
        <v>7356</v>
      </c>
      <c r="C782" s="1" t="s">
        <v>74</v>
      </c>
      <c r="D782" s="1" t="s">
        <v>74</v>
      </c>
      <c r="E782" s="1" t="s">
        <v>74</v>
      </c>
      <c r="F782" s="1" t="s">
        <v>7357</v>
      </c>
      <c r="G782" s="1" t="s">
        <v>74</v>
      </c>
      <c r="H782" s="1" t="s">
        <v>74</v>
      </c>
      <c r="I782" s="1" t="s">
        <v>7358</v>
      </c>
      <c r="J782" s="1" t="s">
        <v>7359</v>
      </c>
      <c r="K782" s="1" t="s">
        <v>74</v>
      </c>
      <c r="L782" s="1" t="s">
        <v>74</v>
      </c>
      <c r="M782" s="1" t="s">
        <v>74</v>
      </c>
      <c r="N782" s="1" t="s">
        <v>74</v>
      </c>
      <c r="O782" s="1" t="s">
        <v>74</v>
      </c>
      <c r="P782" s="1" t="s">
        <v>74</v>
      </c>
      <c r="Q782" s="1" t="s">
        <v>74</v>
      </c>
      <c r="R782" s="1" t="s">
        <v>74</v>
      </c>
      <c r="S782" s="1" t="s">
        <v>74</v>
      </c>
      <c r="T782" s="1" t="s">
        <v>74</v>
      </c>
      <c r="U782" s="1" t="s">
        <v>74</v>
      </c>
      <c r="V782" s="1" t="s">
        <v>7360</v>
      </c>
      <c r="W782" s="1" t="s">
        <v>74</v>
      </c>
      <c r="X782" s="1" t="s">
        <v>74</v>
      </c>
      <c r="Y782" s="1" t="s">
        <v>74</v>
      </c>
      <c r="Z782" s="1" t="s">
        <v>74</v>
      </c>
      <c r="AA782" s="1" t="s">
        <v>2727</v>
      </c>
      <c r="AB782" s="1" t="s">
        <v>74</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7361</v>
      </c>
      <c r="AP782" s="1" t="s">
        <v>7362</v>
      </c>
      <c r="AQ782" s="1" t="s">
        <v>74</v>
      </c>
      <c r="AR782" s="1" t="s">
        <v>74</v>
      </c>
      <c r="AS782" s="1" t="s">
        <v>74</v>
      </c>
      <c r="AT782" s="1" t="s">
        <v>496</v>
      </c>
      <c r="AU782" s="1">
        <v>2021.0</v>
      </c>
      <c r="AV782" s="1">
        <v>39.0</v>
      </c>
      <c r="AW782" s="1">
        <v>59.0</v>
      </c>
      <c r="AX782" s="1" t="s">
        <v>74</v>
      </c>
      <c r="AY782" s="1" t="s">
        <v>74</v>
      </c>
      <c r="AZ782" s="1" t="s">
        <v>74</v>
      </c>
      <c r="BA782" s="1" t="s">
        <v>74</v>
      </c>
      <c r="BB782" s="1">
        <v>118.0</v>
      </c>
      <c r="BC782" s="1">
        <v>137.0</v>
      </c>
      <c r="BD782" s="1" t="s">
        <v>74</v>
      </c>
      <c r="BE782" s="1" t="s">
        <v>7363</v>
      </c>
      <c r="BF782" s="2" t="str">
        <f>HYPERLINK("http://dx.doi.org/10.22320/07196466.2021.39.059.07","http://dx.doi.org/10.22320/07196466.2021.39.059.07")</f>
        <v>http://dx.doi.org/10.22320/07196466.2021.39.059.07</v>
      </c>
      <c r="BG782" s="1" t="s">
        <v>74</v>
      </c>
      <c r="BH782" s="1" t="s">
        <v>74</v>
      </c>
      <c r="BI782" s="1" t="s">
        <v>74</v>
      </c>
      <c r="BJ782" s="1" t="s">
        <v>74</v>
      </c>
      <c r="BK782" s="1" t="s">
        <v>74</v>
      </c>
      <c r="BL782" s="1" t="s">
        <v>74</v>
      </c>
      <c r="BM782" s="1" t="s">
        <v>74</v>
      </c>
      <c r="BN782" s="1" t="s">
        <v>74</v>
      </c>
      <c r="BO782" s="1" t="s">
        <v>74</v>
      </c>
      <c r="BP782" s="1" t="s">
        <v>74</v>
      </c>
      <c r="BQ782" s="1" t="s">
        <v>74</v>
      </c>
      <c r="BR782" s="1" t="s">
        <v>74</v>
      </c>
      <c r="BS782" s="1" t="s">
        <v>7364</v>
      </c>
      <c r="BT782" s="1" t="str">
        <f>HYPERLINK("https%3A%2F%2Fwww.webofscience.com%2Fwos%2Fwoscc%2Ffull-record%2FWOS:000670226000008","View Full Record in Web of Science")</f>
        <v>View Full Record in Web of Science</v>
      </c>
    </row>
    <row r="783" ht="12.75" customHeight="1">
      <c r="A783" s="1" t="s">
        <v>72</v>
      </c>
      <c r="B783" s="1" t="s">
        <v>7365</v>
      </c>
      <c r="C783" s="1" t="s">
        <v>74</v>
      </c>
      <c r="D783" s="1" t="s">
        <v>74</v>
      </c>
      <c r="E783" s="1" t="s">
        <v>74</v>
      </c>
      <c r="F783" s="1" t="s">
        <v>7366</v>
      </c>
      <c r="G783" s="1" t="s">
        <v>74</v>
      </c>
      <c r="H783" s="1" t="s">
        <v>74</v>
      </c>
      <c r="I783" s="1" t="s">
        <v>7367</v>
      </c>
      <c r="J783" s="1" t="s">
        <v>7368</v>
      </c>
      <c r="K783" s="1" t="s">
        <v>74</v>
      </c>
      <c r="L783" s="1" t="s">
        <v>74</v>
      </c>
      <c r="M783" s="1" t="s">
        <v>74</v>
      </c>
      <c r="N783" s="1" t="s">
        <v>74</v>
      </c>
      <c r="O783" s="1" t="s">
        <v>74</v>
      </c>
      <c r="P783" s="1" t="s">
        <v>74</v>
      </c>
      <c r="Q783" s="1" t="s">
        <v>74</v>
      </c>
      <c r="R783" s="1" t="s">
        <v>74</v>
      </c>
      <c r="S783" s="1" t="s">
        <v>74</v>
      </c>
      <c r="T783" s="1" t="s">
        <v>74</v>
      </c>
      <c r="U783" s="1" t="s">
        <v>74</v>
      </c>
      <c r="V783" s="1" t="s">
        <v>7369</v>
      </c>
      <c r="W783" s="1" t="s">
        <v>74</v>
      </c>
      <c r="X783" s="1" t="s">
        <v>74</v>
      </c>
      <c r="Y783" s="1" t="s">
        <v>74</v>
      </c>
      <c r="Z783" s="1" t="s">
        <v>74</v>
      </c>
      <c r="AA783" s="1" t="s">
        <v>7370</v>
      </c>
      <c r="AB783" s="1" t="s">
        <v>7371</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7372</v>
      </c>
      <c r="AP783" s="1" t="s">
        <v>7373</v>
      </c>
      <c r="AQ783" s="1" t="s">
        <v>74</v>
      </c>
      <c r="AR783" s="1" t="s">
        <v>74</v>
      </c>
      <c r="AS783" s="1" t="s">
        <v>74</v>
      </c>
      <c r="AT783" s="1" t="s">
        <v>95</v>
      </c>
      <c r="AU783" s="1">
        <v>2020.0</v>
      </c>
      <c r="AV783" s="1">
        <v>35.0</v>
      </c>
      <c r="AW783" s="1">
        <v>12.0</v>
      </c>
      <c r="AX783" s="1" t="s">
        <v>74</v>
      </c>
      <c r="AY783" s="1" t="s">
        <v>74</v>
      </c>
      <c r="AZ783" s="1" t="s">
        <v>74</v>
      </c>
      <c r="BA783" s="1" t="s">
        <v>74</v>
      </c>
      <c r="BB783" s="1">
        <v>13077.0</v>
      </c>
      <c r="BC783" s="1">
        <v>13084.0</v>
      </c>
      <c r="BD783" s="1" t="s">
        <v>74</v>
      </c>
      <c r="BE783" s="1" t="s">
        <v>7374</v>
      </c>
      <c r="BF783" s="2" t="str">
        <f>HYPERLINK("http://dx.doi.org/10.1109/TPEL.2020.2990667","http://dx.doi.org/10.1109/TPEL.2020.2990667")</f>
        <v>http://dx.doi.org/10.1109/TPEL.2020.2990667</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7375</v>
      </c>
      <c r="BT783" s="1" t="str">
        <f>HYPERLINK("https%3A%2F%2Fwww.webofscience.com%2Fwos%2Fwoscc%2Ffull-record%2FWOS:000557436900048","View Full Record in Web of Science")</f>
        <v>View Full Record in Web of Science</v>
      </c>
    </row>
    <row r="784" ht="12.75" customHeight="1">
      <c r="A784" s="1" t="s">
        <v>72</v>
      </c>
      <c r="B784" s="1" t="s">
        <v>7376</v>
      </c>
      <c r="C784" s="1" t="s">
        <v>74</v>
      </c>
      <c r="D784" s="1" t="s">
        <v>74</v>
      </c>
      <c r="E784" s="1" t="s">
        <v>74</v>
      </c>
      <c r="F784" s="1" t="s">
        <v>7377</v>
      </c>
      <c r="G784" s="1" t="s">
        <v>74</v>
      </c>
      <c r="H784" s="1" t="s">
        <v>74</v>
      </c>
      <c r="I784" s="1" t="s">
        <v>7378</v>
      </c>
      <c r="J784" s="1" t="s">
        <v>7379</v>
      </c>
      <c r="K784" s="1" t="s">
        <v>74</v>
      </c>
      <c r="L784" s="1" t="s">
        <v>74</v>
      </c>
      <c r="M784" s="1" t="s">
        <v>74</v>
      </c>
      <c r="N784" s="1" t="s">
        <v>74</v>
      </c>
      <c r="O784" s="1" t="s">
        <v>74</v>
      </c>
      <c r="P784" s="1" t="s">
        <v>74</v>
      </c>
      <c r="Q784" s="1" t="s">
        <v>74</v>
      </c>
      <c r="R784" s="1" t="s">
        <v>74</v>
      </c>
      <c r="S784" s="1" t="s">
        <v>74</v>
      </c>
      <c r="T784" s="1" t="s">
        <v>74</v>
      </c>
      <c r="U784" s="1" t="s">
        <v>74</v>
      </c>
      <c r="V784" s="1" t="s">
        <v>7380</v>
      </c>
      <c r="W784" s="1" t="s">
        <v>74</v>
      </c>
      <c r="X784" s="1" t="s">
        <v>74</v>
      </c>
      <c r="Y784" s="1" t="s">
        <v>74</v>
      </c>
      <c r="Z784" s="1" t="s">
        <v>74</v>
      </c>
      <c r="AA784" s="1" t="s">
        <v>7381</v>
      </c>
      <c r="AB784" s="1" t="s">
        <v>7382</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7383</v>
      </c>
      <c r="AP784" s="1" t="s">
        <v>74</v>
      </c>
      <c r="AQ784" s="1" t="s">
        <v>74</v>
      </c>
      <c r="AR784" s="1" t="s">
        <v>74</v>
      </c>
      <c r="AS784" s="1" t="s">
        <v>74</v>
      </c>
      <c r="AT784" s="1" t="s">
        <v>83</v>
      </c>
      <c r="AU784" s="1">
        <v>2020.0</v>
      </c>
      <c r="AV784" s="1">
        <v>9.0</v>
      </c>
      <c r="AW784" s="1">
        <v>12.0</v>
      </c>
      <c r="AX784" s="1" t="s">
        <v>74</v>
      </c>
      <c r="AY784" s="1" t="s">
        <v>74</v>
      </c>
      <c r="AZ784" s="1" t="s">
        <v>74</v>
      </c>
      <c r="BA784" s="1" t="s">
        <v>74</v>
      </c>
      <c r="BB784" s="1" t="s">
        <v>74</v>
      </c>
      <c r="BC784" s="1" t="s">
        <v>74</v>
      </c>
      <c r="BD784" s="1" t="s">
        <v>7384</v>
      </c>
      <c r="BE784" s="1" t="s">
        <v>7385</v>
      </c>
      <c r="BF784" s="2" t="str">
        <f>HYPERLINK("http://dx.doi.org/10.1128/MRA.01562-19","http://dx.doi.org/10.1128/MRA.01562-19")</f>
        <v>http://dx.doi.org/10.1128/MRA.01562-19</v>
      </c>
      <c r="BG784" s="1" t="s">
        <v>74</v>
      </c>
      <c r="BH784" s="1" t="s">
        <v>74</v>
      </c>
      <c r="BI784" s="1" t="s">
        <v>74</v>
      </c>
      <c r="BJ784" s="1" t="s">
        <v>74</v>
      </c>
      <c r="BK784" s="1" t="s">
        <v>74</v>
      </c>
      <c r="BL784" s="1" t="s">
        <v>74</v>
      </c>
      <c r="BM784" s="1" t="s">
        <v>74</v>
      </c>
      <c r="BN784" s="1">
        <v>3.2193245E7</v>
      </c>
      <c r="BO784" s="1" t="s">
        <v>74</v>
      </c>
      <c r="BP784" s="1" t="s">
        <v>74</v>
      </c>
      <c r="BQ784" s="1" t="s">
        <v>74</v>
      </c>
      <c r="BR784" s="1" t="s">
        <v>74</v>
      </c>
      <c r="BS784" s="1" t="s">
        <v>7386</v>
      </c>
      <c r="BT784" s="1" t="str">
        <f>HYPERLINK("https%3A%2F%2Fwww.webofscience.com%2Fwos%2Fwoscc%2Ffull-record%2FWOS:000521129100016","View Full Record in Web of Science")</f>
        <v>View Full Record in Web of Science</v>
      </c>
    </row>
    <row r="785" ht="12.75" customHeight="1">
      <c r="A785" s="1" t="s">
        <v>380</v>
      </c>
      <c r="B785" s="1" t="s">
        <v>7387</v>
      </c>
      <c r="C785" s="1" t="s">
        <v>74</v>
      </c>
      <c r="D785" s="1" t="s">
        <v>7388</v>
      </c>
      <c r="E785" s="1" t="s">
        <v>74</v>
      </c>
      <c r="F785" s="1" t="s">
        <v>7389</v>
      </c>
      <c r="G785" s="1" t="s">
        <v>74</v>
      </c>
      <c r="H785" s="1" t="s">
        <v>74</v>
      </c>
      <c r="I785" s="1" t="s">
        <v>7390</v>
      </c>
      <c r="J785" s="1" t="s">
        <v>7391</v>
      </c>
      <c r="K785" s="1" t="s">
        <v>74</v>
      </c>
      <c r="L785" s="1" t="s">
        <v>74</v>
      </c>
      <c r="M785" s="1" t="s">
        <v>74</v>
      </c>
      <c r="N785" s="1" t="s">
        <v>74</v>
      </c>
      <c r="O785" s="1" t="s">
        <v>74</v>
      </c>
      <c r="P785" s="1" t="s">
        <v>74</v>
      </c>
      <c r="Q785" s="1" t="s">
        <v>74</v>
      </c>
      <c r="R785" s="1" t="s">
        <v>74</v>
      </c>
      <c r="S785" s="1" t="s">
        <v>74</v>
      </c>
      <c r="T785" s="1" t="s">
        <v>74</v>
      </c>
      <c r="U785" s="1" t="s">
        <v>74</v>
      </c>
      <c r="V785" s="1" t="s">
        <v>74</v>
      </c>
      <c r="W785" s="1" t="s">
        <v>74</v>
      </c>
      <c r="X785" s="1" t="s">
        <v>74</v>
      </c>
      <c r="Y785" s="1" t="s">
        <v>74</v>
      </c>
      <c r="Z785" s="1" t="s">
        <v>74</v>
      </c>
      <c r="AA785" s="1" t="s">
        <v>7392</v>
      </c>
      <c r="AB785" s="1" t="s">
        <v>74</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74</v>
      </c>
      <c r="AP785" s="1" t="s">
        <v>74</v>
      </c>
      <c r="AQ785" s="1" t="s">
        <v>7393</v>
      </c>
      <c r="AR785" s="1" t="s">
        <v>74</v>
      </c>
      <c r="AS785" s="1" t="s">
        <v>74</v>
      </c>
      <c r="AT785" s="1" t="s">
        <v>74</v>
      </c>
      <c r="AU785" s="1">
        <v>2020.0</v>
      </c>
      <c r="AV785" s="1" t="s">
        <v>74</v>
      </c>
      <c r="AW785" s="1" t="s">
        <v>74</v>
      </c>
      <c r="AX785" s="1" t="s">
        <v>74</v>
      </c>
      <c r="AY785" s="1" t="s">
        <v>74</v>
      </c>
      <c r="AZ785" s="1" t="s">
        <v>74</v>
      </c>
      <c r="BA785" s="1" t="s">
        <v>74</v>
      </c>
      <c r="BB785" s="1">
        <v>41.0</v>
      </c>
      <c r="BC785" s="1">
        <v>60.0</v>
      </c>
      <c r="BD785" s="1" t="s">
        <v>74</v>
      </c>
      <c r="BE785" s="1" t="s">
        <v>74</v>
      </c>
      <c r="BF785" s="1" t="s">
        <v>74</v>
      </c>
      <c r="BG785" s="1" t="s">
        <v>7394</v>
      </c>
      <c r="BH785" s="1" t="s">
        <v>74</v>
      </c>
      <c r="BI785" s="1" t="s">
        <v>74</v>
      </c>
      <c r="BJ785" s="1" t="s">
        <v>74</v>
      </c>
      <c r="BK785" s="1" t="s">
        <v>74</v>
      </c>
      <c r="BL785" s="1" t="s">
        <v>74</v>
      </c>
      <c r="BM785" s="1" t="s">
        <v>74</v>
      </c>
      <c r="BN785" s="1" t="s">
        <v>74</v>
      </c>
      <c r="BO785" s="1" t="s">
        <v>74</v>
      </c>
      <c r="BP785" s="1" t="s">
        <v>74</v>
      </c>
      <c r="BQ785" s="1" t="s">
        <v>74</v>
      </c>
      <c r="BR785" s="1" t="s">
        <v>74</v>
      </c>
      <c r="BS785" s="1" t="s">
        <v>7395</v>
      </c>
      <c r="BT785" s="1" t="str">
        <f>HYPERLINK("https%3A%2F%2Fwww.webofscience.com%2Fwos%2Fwoscc%2Ffull-record%2FWOS:000649832500002","View Full Record in Web of Science")</f>
        <v>View Full Record in Web of Science</v>
      </c>
    </row>
    <row r="786" ht="12.75" customHeight="1">
      <c r="A786" s="1" t="s">
        <v>380</v>
      </c>
      <c r="B786" s="1" t="s">
        <v>7396</v>
      </c>
      <c r="C786" s="1" t="s">
        <v>74</v>
      </c>
      <c r="D786" s="1" t="s">
        <v>985</v>
      </c>
      <c r="E786" s="1" t="s">
        <v>74</v>
      </c>
      <c r="F786" s="1" t="s">
        <v>7397</v>
      </c>
      <c r="G786" s="1" t="s">
        <v>74</v>
      </c>
      <c r="H786" s="1" t="s">
        <v>74</v>
      </c>
      <c r="I786" s="1" t="s">
        <v>7398</v>
      </c>
      <c r="J786" s="1" t="s">
        <v>988</v>
      </c>
      <c r="K786" s="1" t="s">
        <v>989</v>
      </c>
      <c r="L786" s="1" t="s">
        <v>74</v>
      </c>
      <c r="M786" s="1" t="s">
        <v>74</v>
      </c>
      <c r="N786" s="1" t="s">
        <v>74</v>
      </c>
      <c r="O786" s="1" t="s">
        <v>74</v>
      </c>
      <c r="P786" s="1" t="s">
        <v>74</v>
      </c>
      <c r="Q786" s="1" t="s">
        <v>74</v>
      </c>
      <c r="R786" s="1" t="s">
        <v>74</v>
      </c>
      <c r="S786" s="1" t="s">
        <v>74</v>
      </c>
      <c r="T786" s="1" t="s">
        <v>74</v>
      </c>
      <c r="U786" s="1" t="s">
        <v>74</v>
      </c>
      <c r="V786" s="1" t="s">
        <v>74</v>
      </c>
      <c r="W786" s="1" t="s">
        <v>74</v>
      </c>
      <c r="X786" s="1" t="s">
        <v>74</v>
      </c>
      <c r="Y786" s="1" t="s">
        <v>74</v>
      </c>
      <c r="Z786" s="1" t="s">
        <v>74</v>
      </c>
      <c r="AA786" s="1" t="s">
        <v>990</v>
      </c>
      <c r="AB786" s="1" t="s">
        <v>74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74</v>
      </c>
      <c r="AP786" s="1" t="s">
        <v>74</v>
      </c>
      <c r="AQ786" s="1" t="s">
        <v>991</v>
      </c>
      <c r="AR786" s="1" t="s">
        <v>74</v>
      </c>
      <c r="AS786" s="1" t="s">
        <v>74</v>
      </c>
      <c r="AT786" s="1" t="s">
        <v>74</v>
      </c>
      <c r="AU786" s="1">
        <v>2020.0</v>
      </c>
      <c r="AV786" s="1">
        <v>8.0</v>
      </c>
      <c r="AW786" s="1" t="s">
        <v>74</v>
      </c>
      <c r="AX786" s="1" t="s">
        <v>74</v>
      </c>
      <c r="AY786" s="1" t="s">
        <v>74</v>
      </c>
      <c r="AZ786" s="1" t="s">
        <v>74</v>
      </c>
      <c r="BA786" s="1" t="s">
        <v>74</v>
      </c>
      <c r="BB786" s="1">
        <v>11.0</v>
      </c>
      <c r="BC786" s="1">
        <v>16.0</v>
      </c>
      <c r="BD786" s="1" t="s">
        <v>74</v>
      </c>
      <c r="BE786" s="1" t="s">
        <v>74</v>
      </c>
      <c r="BF786" s="1" t="s">
        <v>74</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7399</v>
      </c>
      <c r="BT786" s="1" t="str">
        <f>HYPERLINK("https%3A%2F%2Fwww.webofscience.com%2Fwos%2Fwoscc%2Ffull-record%2FWOS:000608865900001","View Full Record in Web of Science")</f>
        <v>View Full Record in Web of Science</v>
      </c>
    </row>
    <row r="787" ht="12.75" customHeight="1">
      <c r="A787" s="1" t="s">
        <v>72</v>
      </c>
      <c r="B787" s="1" t="s">
        <v>7400</v>
      </c>
      <c r="C787" s="1" t="s">
        <v>74</v>
      </c>
      <c r="D787" s="1" t="s">
        <v>74</v>
      </c>
      <c r="E787" s="1" t="s">
        <v>74</v>
      </c>
      <c r="F787" s="1" t="s">
        <v>7401</v>
      </c>
      <c r="G787" s="1" t="s">
        <v>74</v>
      </c>
      <c r="H787" s="1" t="s">
        <v>74</v>
      </c>
      <c r="I787" s="1" t="s">
        <v>7402</v>
      </c>
      <c r="J787" s="1" t="s">
        <v>4794</v>
      </c>
      <c r="K787" s="1" t="s">
        <v>74</v>
      </c>
      <c r="L787" s="1" t="s">
        <v>74</v>
      </c>
      <c r="M787" s="1" t="s">
        <v>74</v>
      </c>
      <c r="N787" s="1" t="s">
        <v>74</v>
      </c>
      <c r="O787" s="1" t="s">
        <v>74</v>
      </c>
      <c r="P787" s="1" t="s">
        <v>74</v>
      </c>
      <c r="Q787" s="1" t="s">
        <v>74</v>
      </c>
      <c r="R787" s="1" t="s">
        <v>74</v>
      </c>
      <c r="S787" s="1" t="s">
        <v>74</v>
      </c>
      <c r="T787" s="1" t="s">
        <v>74</v>
      </c>
      <c r="U787" s="1" t="s">
        <v>74</v>
      </c>
      <c r="V787" s="1" t="s">
        <v>7403</v>
      </c>
      <c r="W787" s="1" t="s">
        <v>74</v>
      </c>
      <c r="X787" s="1" t="s">
        <v>74</v>
      </c>
      <c r="Y787" s="1" t="s">
        <v>74</v>
      </c>
      <c r="Z787" s="1" t="s">
        <v>74</v>
      </c>
      <c r="AA787" s="1" t="s">
        <v>7404</v>
      </c>
      <c r="AB787" s="1" t="s">
        <v>7405</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4798</v>
      </c>
      <c r="AP787" s="1" t="s">
        <v>4799</v>
      </c>
      <c r="AQ787" s="1" t="s">
        <v>74</v>
      </c>
      <c r="AR787" s="1" t="s">
        <v>74</v>
      </c>
      <c r="AS787" s="1" t="s">
        <v>74</v>
      </c>
      <c r="AT787" s="1" t="s">
        <v>1467</v>
      </c>
      <c r="AU787" s="1">
        <v>2019.0</v>
      </c>
      <c r="AV787" s="1">
        <v>479.0</v>
      </c>
      <c r="AW787" s="1">
        <v>1.0</v>
      </c>
      <c r="AX787" s="1" t="s">
        <v>74</v>
      </c>
      <c r="AY787" s="1" t="s">
        <v>74</v>
      </c>
      <c r="AZ787" s="1" t="s">
        <v>74</v>
      </c>
      <c r="BA787" s="1" t="s">
        <v>74</v>
      </c>
      <c r="BB787" s="1">
        <v>941.0</v>
      </c>
      <c r="BC787" s="1">
        <v>962.0</v>
      </c>
      <c r="BD787" s="1" t="s">
        <v>74</v>
      </c>
      <c r="BE787" s="1" t="s">
        <v>7406</v>
      </c>
      <c r="BF787" s="2" t="str">
        <f>HYPERLINK("http://dx.doi.org/10.1016/j.jmaa.2019.06.059","http://dx.doi.org/10.1016/j.jmaa.2019.06.059")</f>
        <v>http://dx.doi.org/10.1016/j.jmaa.2019.06.059</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7407</v>
      </c>
      <c r="BT787" s="1" t="str">
        <f>HYPERLINK("https%3A%2F%2Fwww.webofscience.com%2Fwos%2Fwoscc%2Ffull-record%2FWOS:000480510700045","View Full Record in Web of Science")</f>
        <v>View Full Record in Web of Science</v>
      </c>
    </row>
    <row r="788" ht="12.75" customHeight="1">
      <c r="A788" s="1" t="s">
        <v>72</v>
      </c>
      <c r="B788" s="1" t="s">
        <v>7408</v>
      </c>
      <c r="C788" s="1" t="s">
        <v>74</v>
      </c>
      <c r="D788" s="1" t="s">
        <v>74</v>
      </c>
      <c r="E788" s="1" t="s">
        <v>74</v>
      </c>
      <c r="F788" s="1" t="s">
        <v>7409</v>
      </c>
      <c r="G788" s="1" t="s">
        <v>74</v>
      </c>
      <c r="H788" s="1" t="s">
        <v>74</v>
      </c>
      <c r="I788" s="1" t="s">
        <v>7410</v>
      </c>
      <c r="J788" s="1" t="s">
        <v>7187</v>
      </c>
      <c r="K788" s="1" t="s">
        <v>74</v>
      </c>
      <c r="L788" s="1" t="s">
        <v>74</v>
      </c>
      <c r="M788" s="1" t="s">
        <v>74</v>
      </c>
      <c r="N788" s="1" t="s">
        <v>74</v>
      </c>
      <c r="O788" s="1" t="s">
        <v>74</v>
      </c>
      <c r="P788" s="1" t="s">
        <v>74</v>
      </c>
      <c r="Q788" s="1" t="s">
        <v>74</v>
      </c>
      <c r="R788" s="1" t="s">
        <v>74</v>
      </c>
      <c r="S788" s="1" t="s">
        <v>74</v>
      </c>
      <c r="T788" s="1" t="s">
        <v>74</v>
      </c>
      <c r="U788" s="1" t="s">
        <v>74</v>
      </c>
      <c r="V788" s="1" t="s">
        <v>7411</v>
      </c>
      <c r="W788" s="1" t="s">
        <v>74</v>
      </c>
      <c r="X788" s="1" t="s">
        <v>74</v>
      </c>
      <c r="Y788" s="1" t="s">
        <v>74</v>
      </c>
      <c r="Z788" s="1" t="s">
        <v>74</v>
      </c>
      <c r="AA788" s="1" t="s">
        <v>7412</v>
      </c>
      <c r="AB788" s="1" t="s">
        <v>7413</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7191</v>
      </c>
      <c r="AP788" s="1" t="s">
        <v>7192</v>
      </c>
      <c r="AQ788" s="1" t="s">
        <v>74</v>
      </c>
      <c r="AR788" s="1" t="s">
        <v>74</v>
      </c>
      <c r="AS788" s="1" t="s">
        <v>74</v>
      </c>
      <c r="AT788" s="1" t="s">
        <v>596</v>
      </c>
      <c r="AU788" s="1">
        <v>2020.0</v>
      </c>
      <c r="AV788" s="1">
        <v>11.0</v>
      </c>
      <c r="AW788" s="1">
        <v>11.0</v>
      </c>
      <c r="AX788" s="1" t="s">
        <v>74</v>
      </c>
      <c r="AY788" s="1" t="s">
        <v>74</v>
      </c>
      <c r="AZ788" s="1" t="s">
        <v>74</v>
      </c>
      <c r="BA788" s="1" t="s">
        <v>74</v>
      </c>
      <c r="BB788" s="1">
        <v>6273.0</v>
      </c>
      <c r="BC788" s="1">
        <v>6284.0</v>
      </c>
      <c r="BD788" s="1" t="s">
        <v>74</v>
      </c>
      <c r="BE788" s="1" t="s">
        <v>7414</v>
      </c>
      <c r="BF788" s="2" t="str">
        <f>HYPERLINK("http://dx.doi.org/10.1007/s12649-019-00836-1","http://dx.doi.org/10.1007/s12649-019-00836-1")</f>
        <v>http://dx.doi.org/10.1007/s12649-019-00836-1</v>
      </c>
      <c r="BG788" s="1" t="s">
        <v>74</v>
      </c>
      <c r="BH788" s="1" t="s">
        <v>7415</v>
      </c>
      <c r="BI788" s="1" t="s">
        <v>74</v>
      </c>
      <c r="BJ788" s="1" t="s">
        <v>74</v>
      </c>
      <c r="BK788" s="1" t="s">
        <v>74</v>
      </c>
      <c r="BL788" s="1" t="s">
        <v>74</v>
      </c>
      <c r="BM788" s="1" t="s">
        <v>74</v>
      </c>
      <c r="BN788" s="1" t="s">
        <v>74</v>
      </c>
      <c r="BO788" s="1" t="s">
        <v>74</v>
      </c>
      <c r="BP788" s="1" t="s">
        <v>74</v>
      </c>
      <c r="BQ788" s="1" t="s">
        <v>74</v>
      </c>
      <c r="BR788" s="1" t="s">
        <v>74</v>
      </c>
      <c r="BS788" s="1" t="s">
        <v>7416</v>
      </c>
      <c r="BT788" s="1" t="str">
        <f>HYPERLINK("https%3A%2F%2Fwww.webofscience.com%2Fwos%2Fwoscc%2Ffull-record%2FWOS:000541856900002","View Full Record in Web of Science")</f>
        <v>View Full Record in Web of Science</v>
      </c>
    </row>
    <row r="789" ht="12.75" customHeight="1">
      <c r="A789" s="1" t="s">
        <v>72</v>
      </c>
      <c r="B789" s="1" t="s">
        <v>7417</v>
      </c>
      <c r="C789" s="1" t="s">
        <v>74</v>
      </c>
      <c r="D789" s="1" t="s">
        <v>74</v>
      </c>
      <c r="E789" s="1" t="s">
        <v>74</v>
      </c>
      <c r="F789" s="1" t="s">
        <v>7418</v>
      </c>
      <c r="G789" s="1" t="s">
        <v>74</v>
      </c>
      <c r="H789" s="1" t="s">
        <v>74</v>
      </c>
      <c r="I789" s="1" t="s">
        <v>7419</v>
      </c>
      <c r="J789" s="1" t="s">
        <v>7420</v>
      </c>
      <c r="K789" s="1" t="s">
        <v>74</v>
      </c>
      <c r="L789" s="1" t="s">
        <v>74</v>
      </c>
      <c r="M789" s="1" t="s">
        <v>74</v>
      </c>
      <c r="N789" s="1" t="s">
        <v>74</v>
      </c>
      <c r="O789" s="1" t="s">
        <v>74</v>
      </c>
      <c r="P789" s="1" t="s">
        <v>74</v>
      </c>
      <c r="Q789" s="1" t="s">
        <v>74</v>
      </c>
      <c r="R789" s="1" t="s">
        <v>74</v>
      </c>
      <c r="S789" s="1" t="s">
        <v>74</v>
      </c>
      <c r="T789" s="1" t="s">
        <v>74</v>
      </c>
      <c r="U789" s="1" t="s">
        <v>74</v>
      </c>
      <c r="V789" s="1" t="s">
        <v>7421</v>
      </c>
      <c r="W789" s="1" t="s">
        <v>74</v>
      </c>
      <c r="X789" s="1" t="s">
        <v>74</v>
      </c>
      <c r="Y789" s="1" t="s">
        <v>74</v>
      </c>
      <c r="Z789" s="1" t="s">
        <v>74</v>
      </c>
      <c r="AA789" s="1" t="s">
        <v>7422</v>
      </c>
      <c r="AB789" s="1" t="s">
        <v>7423</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7424</v>
      </c>
      <c r="AP789" s="1" t="s">
        <v>7425</v>
      </c>
      <c r="AQ789" s="1" t="s">
        <v>74</v>
      </c>
      <c r="AR789" s="1" t="s">
        <v>74</v>
      </c>
      <c r="AS789" s="1" t="s">
        <v>74</v>
      </c>
      <c r="AT789" s="1" t="s">
        <v>232</v>
      </c>
      <c r="AU789" s="1">
        <v>2019.0</v>
      </c>
      <c r="AV789" s="1">
        <v>195.0</v>
      </c>
      <c r="AW789" s="1" t="s">
        <v>74</v>
      </c>
      <c r="AX789" s="1" t="s">
        <v>74</v>
      </c>
      <c r="AY789" s="1" t="s">
        <v>74</v>
      </c>
      <c r="AZ789" s="1" t="s">
        <v>74</v>
      </c>
      <c r="BA789" s="1" t="s">
        <v>74</v>
      </c>
      <c r="BB789" s="1" t="s">
        <v>74</v>
      </c>
      <c r="BC789" s="1" t="s">
        <v>74</v>
      </c>
      <c r="BD789" s="1">
        <v>163028.0</v>
      </c>
      <c r="BE789" s="1" t="s">
        <v>7426</v>
      </c>
      <c r="BF789" s="2" t="str">
        <f>HYPERLINK("http://dx.doi.org/10.1016/j.ijleo.2019.163028","http://dx.doi.org/10.1016/j.ijleo.2019.163028")</f>
        <v>http://dx.doi.org/10.1016/j.ijleo.2019.163028</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7427</v>
      </c>
      <c r="BT789" s="1" t="str">
        <f>HYPERLINK("https%3A%2F%2Fwww.webofscience.com%2Fwos%2Fwoscc%2Ffull-record%2FWOS:000494477600005","View Full Record in Web of Science")</f>
        <v>View Full Record in Web of Science</v>
      </c>
    </row>
    <row r="790" ht="12.75" customHeight="1">
      <c r="A790" s="1" t="s">
        <v>72</v>
      </c>
      <c r="B790" s="1" t="s">
        <v>7428</v>
      </c>
      <c r="C790" s="1" t="s">
        <v>74</v>
      </c>
      <c r="D790" s="1" t="s">
        <v>74</v>
      </c>
      <c r="E790" s="1" t="s">
        <v>74</v>
      </c>
      <c r="F790" s="1" t="s">
        <v>7429</v>
      </c>
      <c r="G790" s="1" t="s">
        <v>74</v>
      </c>
      <c r="H790" s="1" t="s">
        <v>74</v>
      </c>
      <c r="I790" s="1" t="s">
        <v>7430</v>
      </c>
      <c r="J790" s="1" t="s">
        <v>90</v>
      </c>
      <c r="K790" s="1" t="s">
        <v>74</v>
      </c>
      <c r="L790" s="1" t="s">
        <v>74</v>
      </c>
      <c r="M790" s="1" t="s">
        <v>74</v>
      </c>
      <c r="N790" s="1" t="s">
        <v>74</v>
      </c>
      <c r="O790" s="1" t="s">
        <v>74</v>
      </c>
      <c r="P790" s="1" t="s">
        <v>74</v>
      </c>
      <c r="Q790" s="1" t="s">
        <v>74</v>
      </c>
      <c r="R790" s="1" t="s">
        <v>74</v>
      </c>
      <c r="S790" s="1" t="s">
        <v>74</v>
      </c>
      <c r="T790" s="1" t="s">
        <v>74</v>
      </c>
      <c r="U790" s="1" t="s">
        <v>74</v>
      </c>
      <c r="V790" s="1" t="s">
        <v>7431</v>
      </c>
      <c r="W790" s="1" t="s">
        <v>74</v>
      </c>
      <c r="X790" s="1" t="s">
        <v>74</v>
      </c>
      <c r="Y790" s="1" t="s">
        <v>74</v>
      </c>
      <c r="Z790" s="1" t="s">
        <v>74</v>
      </c>
      <c r="AA790" s="1" t="s">
        <v>7432</v>
      </c>
      <c r="AB790" s="1" t="s">
        <v>7433</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74</v>
      </c>
      <c r="AP790" s="1" t="s">
        <v>94</v>
      </c>
      <c r="AQ790" s="1" t="s">
        <v>74</v>
      </c>
      <c r="AR790" s="1" t="s">
        <v>74</v>
      </c>
      <c r="AS790" s="1" t="s">
        <v>74</v>
      </c>
      <c r="AT790" s="1" t="s">
        <v>1316</v>
      </c>
      <c r="AU790" s="1">
        <v>2019.0</v>
      </c>
      <c r="AV790" s="1">
        <v>24.0</v>
      </c>
      <c r="AW790" s="1">
        <v>1.0</v>
      </c>
      <c r="AX790" s="1" t="s">
        <v>74</v>
      </c>
      <c r="AY790" s="1" t="s">
        <v>74</v>
      </c>
      <c r="AZ790" s="1" t="s">
        <v>74</v>
      </c>
      <c r="BA790" s="1" t="s">
        <v>74</v>
      </c>
      <c r="BB790" s="1" t="s">
        <v>74</v>
      </c>
      <c r="BC790" s="1" t="s">
        <v>74</v>
      </c>
      <c r="BD790" s="1">
        <v>44.0</v>
      </c>
      <c r="BE790" s="1" t="s">
        <v>7434</v>
      </c>
      <c r="BF790" s="2" t="str">
        <f>HYPERLINK("http://dx.doi.org/10.3390/molecules24010044","http://dx.doi.org/10.3390/molecules24010044")</f>
        <v>http://dx.doi.org/10.3390/molecules24010044</v>
      </c>
      <c r="BG790" s="1" t="s">
        <v>74</v>
      </c>
      <c r="BH790" s="1" t="s">
        <v>74</v>
      </c>
      <c r="BI790" s="1" t="s">
        <v>74</v>
      </c>
      <c r="BJ790" s="1" t="s">
        <v>74</v>
      </c>
      <c r="BK790" s="1" t="s">
        <v>74</v>
      </c>
      <c r="BL790" s="1" t="s">
        <v>74</v>
      </c>
      <c r="BM790" s="1" t="s">
        <v>74</v>
      </c>
      <c r="BN790" s="1">
        <v>3.0583556E7</v>
      </c>
      <c r="BO790" s="1" t="s">
        <v>74</v>
      </c>
      <c r="BP790" s="1" t="s">
        <v>74</v>
      </c>
      <c r="BQ790" s="1" t="s">
        <v>74</v>
      </c>
      <c r="BR790" s="1" t="s">
        <v>74</v>
      </c>
      <c r="BS790" s="1" t="s">
        <v>7435</v>
      </c>
      <c r="BT790" s="1" t="str">
        <f>HYPERLINK("https%3A%2F%2Fwww.webofscience.com%2Fwos%2Fwoscc%2Ffull-record%2FWOS:000457150200044","View Full Record in Web of Science")</f>
        <v>View Full Record in Web of Science</v>
      </c>
    </row>
    <row r="791" ht="12.75" customHeight="1">
      <c r="A791" s="1" t="s">
        <v>72</v>
      </c>
      <c r="B791" s="1" t="s">
        <v>7436</v>
      </c>
      <c r="C791" s="1" t="s">
        <v>74</v>
      </c>
      <c r="D791" s="1" t="s">
        <v>74</v>
      </c>
      <c r="E791" s="1" t="s">
        <v>74</v>
      </c>
      <c r="F791" s="1" t="s">
        <v>7437</v>
      </c>
      <c r="G791" s="1" t="s">
        <v>74</v>
      </c>
      <c r="H791" s="1" t="s">
        <v>74</v>
      </c>
      <c r="I791" s="1" t="s">
        <v>7438</v>
      </c>
      <c r="J791" s="1" t="s">
        <v>7439</v>
      </c>
      <c r="K791" s="1" t="s">
        <v>74</v>
      </c>
      <c r="L791" s="1" t="s">
        <v>74</v>
      </c>
      <c r="M791" s="1" t="s">
        <v>74</v>
      </c>
      <c r="N791" s="1" t="s">
        <v>74</v>
      </c>
      <c r="O791" s="1" t="s">
        <v>74</v>
      </c>
      <c r="P791" s="1" t="s">
        <v>74</v>
      </c>
      <c r="Q791" s="1" t="s">
        <v>74</v>
      </c>
      <c r="R791" s="1" t="s">
        <v>74</v>
      </c>
      <c r="S791" s="1" t="s">
        <v>74</v>
      </c>
      <c r="T791" s="1" t="s">
        <v>74</v>
      </c>
      <c r="U791" s="1" t="s">
        <v>74</v>
      </c>
      <c r="V791" s="1" t="s">
        <v>7440</v>
      </c>
      <c r="W791" s="1" t="s">
        <v>74</v>
      </c>
      <c r="X791" s="1" t="s">
        <v>74</v>
      </c>
      <c r="Y791" s="1" t="s">
        <v>74</v>
      </c>
      <c r="Z791" s="1" t="s">
        <v>74</v>
      </c>
      <c r="AA791" s="1" t="s">
        <v>7441</v>
      </c>
      <c r="AB791" s="1" t="s">
        <v>7442</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7443</v>
      </c>
      <c r="AP791" s="1" t="s">
        <v>74</v>
      </c>
      <c r="AQ791" s="1" t="s">
        <v>74</v>
      </c>
      <c r="AR791" s="1" t="s">
        <v>74</v>
      </c>
      <c r="AS791" s="1" t="s">
        <v>74</v>
      </c>
      <c r="AT791" s="1" t="s">
        <v>95</v>
      </c>
      <c r="AU791" s="1">
        <v>2018.0</v>
      </c>
      <c r="AV791" s="1">
        <v>88.0</v>
      </c>
      <c r="AW791" s="1" t="s">
        <v>74</v>
      </c>
      <c r="AX791" s="1" t="s">
        <v>74</v>
      </c>
      <c r="AY791" s="1" t="s">
        <v>74</v>
      </c>
      <c r="AZ791" s="1" t="s">
        <v>74</v>
      </c>
      <c r="BA791" s="1" t="s">
        <v>74</v>
      </c>
      <c r="BB791" s="1">
        <v>367.0</v>
      </c>
      <c r="BC791" s="1">
        <v>373.0</v>
      </c>
      <c r="BD791" s="1" t="s">
        <v>74</v>
      </c>
      <c r="BE791" s="1" t="s">
        <v>7444</v>
      </c>
      <c r="BF791" s="2" t="str">
        <f>HYPERLINK("http://dx.doi.org/10.1016/j.jsames.2018.09.014","http://dx.doi.org/10.1016/j.jsames.2018.09.014")</f>
        <v>http://dx.doi.org/10.1016/j.jsames.2018.09.014</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7445</v>
      </c>
      <c r="BT791" s="1" t="str">
        <f>HYPERLINK("https%3A%2F%2Fwww.webofscience.com%2Fwos%2Fwoscc%2Ffull-record%2FWOS:000452946100026","View Full Record in Web of Science")</f>
        <v>View Full Record in Web of Science</v>
      </c>
    </row>
    <row r="792" ht="12.75" customHeight="1">
      <c r="A792" s="1" t="s">
        <v>72</v>
      </c>
      <c r="B792" s="1" t="s">
        <v>7446</v>
      </c>
      <c r="C792" s="1" t="s">
        <v>74</v>
      </c>
      <c r="D792" s="1" t="s">
        <v>74</v>
      </c>
      <c r="E792" s="1" t="s">
        <v>74</v>
      </c>
      <c r="F792" s="1" t="s">
        <v>7447</v>
      </c>
      <c r="G792" s="1" t="s">
        <v>74</v>
      </c>
      <c r="H792" s="1" t="s">
        <v>74</v>
      </c>
      <c r="I792" s="1" t="s">
        <v>7448</v>
      </c>
      <c r="J792" s="1" t="s">
        <v>7449</v>
      </c>
      <c r="K792" s="1" t="s">
        <v>74</v>
      </c>
      <c r="L792" s="1" t="s">
        <v>74</v>
      </c>
      <c r="M792" s="1" t="s">
        <v>74</v>
      </c>
      <c r="N792" s="1" t="s">
        <v>74</v>
      </c>
      <c r="O792" s="1" t="s">
        <v>74</v>
      </c>
      <c r="P792" s="1" t="s">
        <v>74</v>
      </c>
      <c r="Q792" s="1" t="s">
        <v>74</v>
      </c>
      <c r="R792" s="1" t="s">
        <v>74</v>
      </c>
      <c r="S792" s="1" t="s">
        <v>74</v>
      </c>
      <c r="T792" s="1" t="s">
        <v>74</v>
      </c>
      <c r="U792" s="1" t="s">
        <v>74</v>
      </c>
      <c r="V792" s="1" t="s">
        <v>7450</v>
      </c>
      <c r="W792" s="1" t="s">
        <v>74</v>
      </c>
      <c r="X792" s="1" t="s">
        <v>74</v>
      </c>
      <c r="Y792" s="1" t="s">
        <v>74</v>
      </c>
      <c r="Z792" s="1" t="s">
        <v>74</v>
      </c>
      <c r="AA792" s="1" t="s">
        <v>7451</v>
      </c>
      <c r="AB792" s="1" t="s">
        <v>7452</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7453</v>
      </c>
      <c r="AP792" s="1" t="s">
        <v>74</v>
      </c>
      <c r="AQ792" s="1" t="s">
        <v>74</v>
      </c>
      <c r="AR792" s="1" t="s">
        <v>74</v>
      </c>
      <c r="AS792" s="1" t="s">
        <v>74</v>
      </c>
      <c r="AT792" s="1" t="s">
        <v>1474</v>
      </c>
      <c r="AU792" s="1">
        <v>2018.0</v>
      </c>
      <c r="AV792" s="1">
        <v>58.0</v>
      </c>
      <c r="AW792" s="1">
        <v>4.0</v>
      </c>
      <c r="AX792" s="1" t="s">
        <v>74</v>
      </c>
      <c r="AY792" s="1" t="s">
        <v>74</v>
      </c>
      <c r="AZ792" s="1" t="s">
        <v>74</v>
      </c>
      <c r="BA792" s="1" t="s">
        <v>74</v>
      </c>
      <c r="BB792" s="1">
        <v>393.0</v>
      </c>
      <c r="BC792" s="1">
        <v>404.0</v>
      </c>
      <c r="BD792" s="1" t="s">
        <v>74</v>
      </c>
      <c r="BE792" s="1" t="s">
        <v>7454</v>
      </c>
      <c r="BF792" s="2" t="str">
        <f>HYPERLINK("http://dx.doi.org/10.1590/S0034-759020180405","http://dx.doi.org/10.1590/S0034-759020180405")</f>
        <v>http://dx.doi.org/10.1590/S0034-759020180405</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7455</v>
      </c>
      <c r="BT792" s="1" t="str">
        <f>HYPERLINK("https%3A%2F%2Fwww.webofscience.com%2Fwos%2Fwoscc%2Ffull-record%2FWOS:000440864400005","View Full Record in Web of Science")</f>
        <v>View Full Record in Web of Science</v>
      </c>
    </row>
    <row r="793" ht="12.75" customHeight="1">
      <c r="A793" s="1" t="s">
        <v>72</v>
      </c>
      <c r="B793" s="1" t="s">
        <v>7456</v>
      </c>
      <c r="C793" s="1" t="s">
        <v>74</v>
      </c>
      <c r="D793" s="1" t="s">
        <v>74</v>
      </c>
      <c r="E793" s="1" t="s">
        <v>74</v>
      </c>
      <c r="F793" s="1" t="s">
        <v>7457</v>
      </c>
      <c r="G793" s="1" t="s">
        <v>74</v>
      </c>
      <c r="H793" s="1" t="s">
        <v>74</v>
      </c>
      <c r="I793" s="1" t="s">
        <v>7458</v>
      </c>
      <c r="J793" s="1" t="s">
        <v>1440</v>
      </c>
      <c r="K793" s="1" t="s">
        <v>74</v>
      </c>
      <c r="L793" s="1" t="s">
        <v>74</v>
      </c>
      <c r="M793" s="1" t="s">
        <v>74</v>
      </c>
      <c r="N793" s="1" t="s">
        <v>74</v>
      </c>
      <c r="O793" s="1" t="s">
        <v>74</v>
      </c>
      <c r="P793" s="1" t="s">
        <v>74</v>
      </c>
      <c r="Q793" s="1" t="s">
        <v>74</v>
      </c>
      <c r="R793" s="1" t="s">
        <v>74</v>
      </c>
      <c r="S793" s="1" t="s">
        <v>74</v>
      </c>
      <c r="T793" s="1" t="s">
        <v>74</v>
      </c>
      <c r="U793" s="1" t="s">
        <v>74</v>
      </c>
      <c r="V793" s="1" t="s">
        <v>7459</v>
      </c>
      <c r="W793" s="1" t="s">
        <v>74</v>
      </c>
      <c r="X793" s="1" t="s">
        <v>74</v>
      </c>
      <c r="Y793" s="1" t="s">
        <v>74</v>
      </c>
      <c r="Z793" s="1" t="s">
        <v>74</v>
      </c>
      <c r="AA793" s="1" t="s">
        <v>7460</v>
      </c>
      <c r="AB793" s="1" t="s">
        <v>74</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1443</v>
      </c>
      <c r="AP793" s="1" t="s">
        <v>1444</v>
      </c>
      <c r="AQ793" s="1" t="s">
        <v>74</v>
      </c>
      <c r="AR793" s="1" t="s">
        <v>74</v>
      </c>
      <c r="AS793" s="1" t="s">
        <v>74</v>
      </c>
      <c r="AT793" s="1" t="s">
        <v>647</v>
      </c>
      <c r="AU793" s="1">
        <v>2017.0</v>
      </c>
      <c r="AV793" s="1">
        <v>145.0</v>
      </c>
      <c r="AW793" s="1">
        <v>8.0</v>
      </c>
      <c r="AX793" s="1" t="s">
        <v>74</v>
      </c>
      <c r="AY793" s="1" t="s">
        <v>74</v>
      </c>
      <c r="AZ793" s="1" t="s">
        <v>74</v>
      </c>
      <c r="BA793" s="1" t="s">
        <v>74</v>
      </c>
      <c r="BB793" s="1">
        <v>1067.0</v>
      </c>
      <c r="BC793" s="1">
        <v>1071.0</v>
      </c>
      <c r="BD793" s="1" t="s">
        <v>74</v>
      </c>
      <c r="BE793" s="1" t="s">
        <v>7461</v>
      </c>
      <c r="BF793" s="2" t="str">
        <f>HYPERLINK("http://dx.doi.org/10.4067/s0034-98872017000801067","http://dx.doi.org/10.4067/s0034-98872017000801067")</f>
        <v>http://dx.doi.org/10.4067/s0034-98872017000801067</v>
      </c>
      <c r="BG793" s="1" t="s">
        <v>74</v>
      </c>
      <c r="BH793" s="1" t="s">
        <v>74</v>
      </c>
      <c r="BI793" s="1" t="s">
        <v>74</v>
      </c>
      <c r="BJ793" s="1" t="s">
        <v>74</v>
      </c>
      <c r="BK793" s="1" t="s">
        <v>74</v>
      </c>
      <c r="BL793" s="1" t="s">
        <v>74</v>
      </c>
      <c r="BM793" s="1" t="s">
        <v>74</v>
      </c>
      <c r="BN793" s="1">
        <v>2.9189866E7</v>
      </c>
      <c r="BO793" s="1" t="s">
        <v>74</v>
      </c>
      <c r="BP793" s="1" t="s">
        <v>74</v>
      </c>
      <c r="BQ793" s="1" t="s">
        <v>74</v>
      </c>
      <c r="BR793" s="1" t="s">
        <v>74</v>
      </c>
      <c r="BS793" s="1" t="s">
        <v>7462</v>
      </c>
      <c r="BT793" s="1" t="str">
        <f>HYPERLINK("https%3A%2F%2Fwww.webofscience.com%2Fwos%2Fwoscc%2Ffull-record%2FWOS:000413293700014","View Full Record in Web of Science")</f>
        <v>View Full Record in Web of Science</v>
      </c>
    </row>
    <row r="794" ht="12.75" customHeight="1">
      <c r="A794" s="1" t="s">
        <v>72</v>
      </c>
      <c r="B794" s="1" t="s">
        <v>7463</v>
      </c>
      <c r="C794" s="1" t="s">
        <v>74</v>
      </c>
      <c r="D794" s="1" t="s">
        <v>74</v>
      </c>
      <c r="E794" s="1" t="s">
        <v>74</v>
      </c>
      <c r="F794" s="1" t="s">
        <v>7464</v>
      </c>
      <c r="G794" s="1" t="s">
        <v>74</v>
      </c>
      <c r="H794" s="1" t="s">
        <v>74</v>
      </c>
      <c r="I794" s="1" t="s">
        <v>7465</v>
      </c>
      <c r="J794" s="1" t="s">
        <v>2716</v>
      </c>
      <c r="K794" s="1" t="s">
        <v>74</v>
      </c>
      <c r="L794" s="1" t="s">
        <v>74</v>
      </c>
      <c r="M794" s="1" t="s">
        <v>74</v>
      </c>
      <c r="N794" s="1" t="s">
        <v>74</v>
      </c>
      <c r="O794" s="1" t="s">
        <v>74</v>
      </c>
      <c r="P794" s="1" t="s">
        <v>74</v>
      </c>
      <c r="Q794" s="1" t="s">
        <v>74</v>
      </c>
      <c r="R794" s="1" t="s">
        <v>74</v>
      </c>
      <c r="S794" s="1" t="s">
        <v>74</v>
      </c>
      <c r="T794" s="1" t="s">
        <v>74</v>
      </c>
      <c r="U794" s="1" t="s">
        <v>74</v>
      </c>
      <c r="V794" s="1" t="s">
        <v>7466</v>
      </c>
      <c r="W794" s="1" t="s">
        <v>74</v>
      </c>
      <c r="X794" s="1" t="s">
        <v>74</v>
      </c>
      <c r="Y794" s="1" t="s">
        <v>74</v>
      </c>
      <c r="Z794" s="1" t="s">
        <v>74</v>
      </c>
      <c r="AA794" s="1" t="s">
        <v>7467</v>
      </c>
      <c r="AB794" s="1" t="s">
        <v>7468</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2720</v>
      </c>
      <c r="AP794" s="1" t="s">
        <v>74</v>
      </c>
      <c r="AQ794" s="1" t="s">
        <v>74</v>
      </c>
      <c r="AR794" s="1" t="s">
        <v>74</v>
      </c>
      <c r="AS794" s="1" t="s">
        <v>74</v>
      </c>
      <c r="AT794" s="1" t="s">
        <v>187</v>
      </c>
      <c r="AU794" s="1">
        <v>2017.0</v>
      </c>
      <c r="AV794" s="1">
        <v>15.0</v>
      </c>
      <c r="AW794" s="1">
        <v>4.0</v>
      </c>
      <c r="AX794" s="1" t="s">
        <v>74</v>
      </c>
      <c r="AY794" s="1" t="s">
        <v>74</v>
      </c>
      <c r="AZ794" s="1" t="s">
        <v>74</v>
      </c>
      <c r="BA794" s="1" t="s">
        <v>74</v>
      </c>
      <c r="BB794" s="1">
        <v>581.0</v>
      </c>
      <c r="BC794" s="1">
        <v>587.0</v>
      </c>
      <c r="BD794" s="1" t="s">
        <v>74</v>
      </c>
      <c r="BE794" s="1" t="s">
        <v>7469</v>
      </c>
      <c r="BF794" s="2" t="str">
        <f>HYPERLINK("http://dx.doi.org/10.1109/TLA.2017.7896341","http://dx.doi.org/10.1109/TLA.2017.7896341")</f>
        <v>http://dx.doi.org/10.1109/TLA.2017.7896341</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7470</v>
      </c>
      <c r="BT794" s="1" t="str">
        <f>HYPERLINK("https%3A%2F%2Fwww.webofscience.com%2Fwos%2Fwoscc%2Ffull-record%2FWOS:000399728300002","View Full Record in Web of Science")</f>
        <v>View Full Record in Web of Science</v>
      </c>
    </row>
    <row r="795" ht="12.75" customHeight="1">
      <c r="A795" s="1" t="s">
        <v>72</v>
      </c>
      <c r="B795" s="1" t="s">
        <v>7471</v>
      </c>
      <c r="C795" s="1" t="s">
        <v>74</v>
      </c>
      <c r="D795" s="1" t="s">
        <v>74</v>
      </c>
      <c r="E795" s="1" t="s">
        <v>74</v>
      </c>
      <c r="F795" s="1" t="s">
        <v>7472</v>
      </c>
      <c r="G795" s="1" t="s">
        <v>74</v>
      </c>
      <c r="H795" s="1" t="s">
        <v>74</v>
      </c>
      <c r="I795" s="1" t="s">
        <v>7473</v>
      </c>
      <c r="J795" s="1" t="s">
        <v>2365</v>
      </c>
      <c r="K795" s="1" t="s">
        <v>74</v>
      </c>
      <c r="L795" s="1" t="s">
        <v>74</v>
      </c>
      <c r="M795" s="1" t="s">
        <v>74</v>
      </c>
      <c r="N795" s="1" t="s">
        <v>74</v>
      </c>
      <c r="O795" s="1" t="s">
        <v>74</v>
      </c>
      <c r="P795" s="1" t="s">
        <v>74</v>
      </c>
      <c r="Q795" s="1" t="s">
        <v>74</v>
      </c>
      <c r="R795" s="1" t="s">
        <v>74</v>
      </c>
      <c r="S795" s="1" t="s">
        <v>74</v>
      </c>
      <c r="T795" s="1" t="s">
        <v>74</v>
      </c>
      <c r="U795" s="1" t="s">
        <v>74</v>
      </c>
      <c r="V795" s="1" t="s">
        <v>7474</v>
      </c>
      <c r="W795" s="1" t="s">
        <v>74</v>
      </c>
      <c r="X795" s="1" t="s">
        <v>74</v>
      </c>
      <c r="Y795" s="1" t="s">
        <v>74</v>
      </c>
      <c r="Z795" s="1" t="s">
        <v>74</v>
      </c>
      <c r="AA795" s="1" t="s">
        <v>1441</v>
      </c>
      <c r="AB795" s="1" t="s">
        <v>7475</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2369</v>
      </c>
      <c r="AP795" s="1" t="s">
        <v>74</v>
      </c>
      <c r="AQ795" s="1" t="s">
        <v>74</v>
      </c>
      <c r="AR795" s="1" t="s">
        <v>74</v>
      </c>
      <c r="AS795" s="1" t="s">
        <v>74</v>
      </c>
      <c r="AT795" s="1" t="s">
        <v>7476</v>
      </c>
      <c r="AU795" s="1">
        <v>2016.0</v>
      </c>
      <c r="AV795" s="1">
        <v>7.0</v>
      </c>
      <c r="AW795" s="1" t="s">
        <v>74</v>
      </c>
      <c r="AX795" s="1" t="s">
        <v>74</v>
      </c>
      <c r="AY795" s="1" t="s">
        <v>74</v>
      </c>
      <c r="AZ795" s="1" t="s">
        <v>74</v>
      </c>
      <c r="BA795" s="1" t="s">
        <v>74</v>
      </c>
      <c r="BB795" s="1" t="s">
        <v>74</v>
      </c>
      <c r="BC795" s="1" t="s">
        <v>74</v>
      </c>
      <c r="BD795" s="1">
        <v>853.0</v>
      </c>
      <c r="BE795" s="1" t="s">
        <v>7477</v>
      </c>
      <c r="BF795" s="2" t="str">
        <f>HYPERLINK("http://dx.doi.org/10.3389/fpsyg.2016.00853","http://dx.doi.org/10.3389/fpsyg.2016.00853")</f>
        <v>http://dx.doi.org/10.3389/fpsyg.2016.00853</v>
      </c>
      <c r="BG795" s="1" t="s">
        <v>74</v>
      </c>
      <c r="BH795" s="1" t="s">
        <v>74</v>
      </c>
      <c r="BI795" s="1" t="s">
        <v>74</v>
      </c>
      <c r="BJ795" s="1" t="s">
        <v>74</v>
      </c>
      <c r="BK795" s="1" t="s">
        <v>74</v>
      </c>
      <c r="BL795" s="1" t="s">
        <v>74</v>
      </c>
      <c r="BM795" s="1" t="s">
        <v>74</v>
      </c>
      <c r="BN795" s="1">
        <v>2.7375531E7</v>
      </c>
      <c r="BO795" s="1" t="s">
        <v>74</v>
      </c>
      <c r="BP795" s="1" t="s">
        <v>74</v>
      </c>
      <c r="BQ795" s="1" t="s">
        <v>74</v>
      </c>
      <c r="BR795" s="1" t="s">
        <v>74</v>
      </c>
      <c r="BS795" s="1" t="s">
        <v>7478</v>
      </c>
      <c r="BT795" s="1" t="str">
        <f>HYPERLINK("https%3A%2F%2Fwww.webofscience.com%2Fwos%2Fwoscc%2Ffull-record%2FWOS:000377075300001","View Full Record in Web of Science")</f>
        <v>View Full Record in Web of Science</v>
      </c>
    </row>
    <row r="796" ht="12.75" customHeight="1">
      <c r="A796" s="1" t="s">
        <v>72</v>
      </c>
      <c r="B796" s="1" t="s">
        <v>7479</v>
      </c>
      <c r="C796" s="1" t="s">
        <v>74</v>
      </c>
      <c r="D796" s="1" t="s">
        <v>74</v>
      </c>
      <c r="E796" s="1" t="s">
        <v>74</v>
      </c>
      <c r="F796" s="1" t="s">
        <v>7480</v>
      </c>
      <c r="G796" s="1" t="s">
        <v>74</v>
      </c>
      <c r="H796" s="1" t="s">
        <v>74</v>
      </c>
      <c r="I796" s="1" t="s">
        <v>7481</v>
      </c>
      <c r="J796" s="1" t="s">
        <v>7482</v>
      </c>
      <c r="K796" s="1" t="s">
        <v>74</v>
      </c>
      <c r="L796" s="1" t="s">
        <v>74</v>
      </c>
      <c r="M796" s="1" t="s">
        <v>74</v>
      </c>
      <c r="N796" s="1" t="s">
        <v>74</v>
      </c>
      <c r="O796" s="1" t="s">
        <v>74</v>
      </c>
      <c r="P796" s="1" t="s">
        <v>74</v>
      </c>
      <c r="Q796" s="1" t="s">
        <v>74</v>
      </c>
      <c r="R796" s="1" t="s">
        <v>74</v>
      </c>
      <c r="S796" s="1" t="s">
        <v>74</v>
      </c>
      <c r="T796" s="1" t="s">
        <v>74</v>
      </c>
      <c r="U796" s="1" t="s">
        <v>74</v>
      </c>
      <c r="V796" s="1" t="s">
        <v>7483</v>
      </c>
      <c r="W796" s="1" t="s">
        <v>74</v>
      </c>
      <c r="X796" s="1" t="s">
        <v>74</v>
      </c>
      <c r="Y796" s="1" t="s">
        <v>74</v>
      </c>
      <c r="Z796" s="1" t="s">
        <v>74</v>
      </c>
      <c r="AA796" s="1" t="s">
        <v>7484</v>
      </c>
      <c r="AB796" s="1" t="s">
        <v>7485</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7486</v>
      </c>
      <c r="AP796" s="1" t="s">
        <v>7487</v>
      </c>
      <c r="AQ796" s="1" t="s">
        <v>74</v>
      </c>
      <c r="AR796" s="1" t="s">
        <v>74</v>
      </c>
      <c r="AS796" s="1" t="s">
        <v>74</v>
      </c>
      <c r="AT796" s="1" t="s">
        <v>83</v>
      </c>
      <c r="AU796" s="1">
        <v>2016.0</v>
      </c>
      <c r="AV796" s="1">
        <v>39.0</v>
      </c>
      <c r="AW796" s="1">
        <v>1.0</v>
      </c>
      <c r="AX796" s="1" t="s">
        <v>74</v>
      </c>
      <c r="AY796" s="1" t="s">
        <v>74</v>
      </c>
      <c r="AZ796" s="1" t="s">
        <v>74</v>
      </c>
      <c r="BA796" s="1" t="s">
        <v>74</v>
      </c>
      <c r="BB796" s="1">
        <v>193.0</v>
      </c>
      <c r="BC796" s="1">
        <v>196.0</v>
      </c>
      <c r="BD796" s="1" t="s">
        <v>74</v>
      </c>
      <c r="BE796" s="1" t="s">
        <v>7488</v>
      </c>
      <c r="BF796" s="2" t="str">
        <f>HYPERLINK("http://dx.doi.org/10.1007/s40415-015-0237-8","http://dx.doi.org/10.1007/s40415-015-0237-8")</f>
        <v>http://dx.doi.org/10.1007/s40415-015-0237-8</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7489</v>
      </c>
      <c r="BT796" s="1" t="str">
        <f>HYPERLINK("https%3A%2F%2Fwww.webofscience.com%2Fwos%2Fwoscc%2Ffull-record%2FWOS:000373897100020","View Full Record in Web of Science")</f>
        <v>View Full Record in Web of Science</v>
      </c>
    </row>
    <row r="797" ht="12.75" customHeight="1">
      <c r="A797" s="1" t="s">
        <v>72</v>
      </c>
      <c r="B797" s="1" t="s">
        <v>7490</v>
      </c>
      <c r="C797" s="1" t="s">
        <v>74</v>
      </c>
      <c r="D797" s="1" t="s">
        <v>74</v>
      </c>
      <c r="E797" s="1" t="s">
        <v>74</v>
      </c>
      <c r="F797" s="1" t="s">
        <v>7491</v>
      </c>
      <c r="G797" s="1" t="s">
        <v>74</v>
      </c>
      <c r="H797" s="1" t="s">
        <v>74</v>
      </c>
      <c r="I797" s="1" t="s">
        <v>7492</v>
      </c>
      <c r="J797" s="1" t="s">
        <v>4743</v>
      </c>
      <c r="K797" s="1" t="s">
        <v>74</v>
      </c>
      <c r="L797" s="1" t="s">
        <v>74</v>
      </c>
      <c r="M797" s="1" t="s">
        <v>74</v>
      </c>
      <c r="N797" s="1" t="s">
        <v>74</v>
      </c>
      <c r="O797" s="1" t="s">
        <v>74</v>
      </c>
      <c r="P797" s="1" t="s">
        <v>74</v>
      </c>
      <c r="Q797" s="1" t="s">
        <v>74</v>
      </c>
      <c r="R797" s="1" t="s">
        <v>74</v>
      </c>
      <c r="S797" s="1" t="s">
        <v>74</v>
      </c>
      <c r="T797" s="1" t="s">
        <v>74</v>
      </c>
      <c r="U797" s="1" t="s">
        <v>74</v>
      </c>
      <c r="V797" s="1" t="s">
        <v>7493</v>
      </c>
      <c r="W797" s="1" t="s">
        <v>74</v>
      </c>
      <c r="X797" s="1" t="s">
        <v>74</v>
      </c>
      <c r="Y797" s="1" t="s">
        <v>74</v>
      </c>
      <c r="Z797" s="1" t="s">
        <v>74</v>
      </c>
      <c r="AA797" s="1" t="s">
        <v>7494</v>
      </c>
      <c r="AB797" s="1" t="s">
        <v>7495</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4747</v>
      </c>
      <c r="AP797" s="1" t="s">
        <v>4748</v>
      </c>
      <c r="AQ797" s="1" t="s">
        <v>74</v>
      </c>
      <c r="AR797" s="1" t="s">
        <v>74</v>
      </c>
      <c r="AS797" s="1" t="s">
        <v>74</v>
      </c>
      <c r="AT797" s="1" t="s">
        <v>7496</v>
      </c>
      <c r="AU797" s="1">
        <v>2015.0</v>
      </c>
      <c r="AV797" s="1">
        <v>75.0</v>
      </c>
      <c r="AW797" s="1">
        <v>4.0</v>
      </c>
      <c r="AX797" s="1" t="s">
        <v>74</v>
      </c>
      <c r="AY797" s="1" t="s">
        <v>74</v>
      </c>
      <c r="AZ797" s="1" t="s">
        <v>74</v>
      </c>
      <c r="BA797" s="1" t="s">
        <v>74</v>
      </c>
      <c r="BB797" s="1" t="s">
        <v>74</v>
      </c>
      <c r="BC797" s="1" t="s">
        <v>74</v>
      </c>
      <c r="BD797" s="1">
        <v>148.0</v>
      </c>
      <c r="BE797" s="1" t="s">
        <v>7497</v>
      </c>
      <c r="BF797" s="2" t="str">
        <f>HYPERLINK("http://dx.doi.org/10.1140/epjc/s10052-015-3366-0","http://dx.doi.org/10.1140/epjc/s10052-015-3366-0")</f>
        <v>http://dx.doi.org/10.1140/epjc/s10052-015-3366-0</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7498</v>
      </c>
      <c r="BT797" s="1" t="str">
        <f>HYPERLINK("https%3A%2F%2Fwww.webofscience.com%2Fwos%2Fwoscc%2Ffull-record%2FWOS:000355669300007","View Full Record in Web of Science")</f>
        <v>View Full Record in Web of Science</v>
      </c>
    </row>
    <row r="798" ht="12.75" customHeight="1">
      <c r="A798" s="1" t="s">
        <v>72</v>
      </c>
      <c r="B798" s="1" t="s">
        <v>7499</v>
      </c>
      <c r="C798" s="1" t="s">
        <v>74</v>
      </c>
      <c r="D798" s="1" t="s">
        <v>74</v>
      </c>
      <c r="E798" s="1" t="s">
        <v>74</v>
      </c>
      <c r="F798" s="1" t="s">
        <v>7500</v>
      </c>
      <c r="G798" s="1" t="s">
        <v>74</v>
      </c>
      <c r="H798" s="1" t="s">
        <v>74</v>
      </c>
      <c r="I798" s="1" t="s">
        <v>7501</v>
      </c>
      <c r="J798" s="1" t="s">
        <v>6753</v>
      </c>
      <c r="K798" s="1" t="s">
        <v>74</v>
      </c>
      <c r="L798" s="1" t="s">
        <v>74</v>
      </c>
      <c r="M798" s="1" t="s">
        <v>74</v>
      </c>
      <c r="N798" s="1" t="s">
        <v>74</v>
      </c>
      <c r="O798" s="1" t="s">
        <v>74</v>
      </c>
      <c r="P798" s="1" t="s">
        <v>74</v>
      </c>
      <c r="Q798" s="1" t="s">
        <v>74</v>
      </c>
      <c r="R798" s="1" t="s">
        <v>74</v>
      </c>
      <c r="S798" s="1" t="s">
        <v>74</v>
      </c>
      <c r="T798" s="1" t="s">
        <v>74</v>
      </c>
      <c r="U798" s="1" t="s">
        <v>74</v>
      </c>
      <c r="V798" s="1" t="s">
        <v>7502</v>
      </c>
      <c r="W798" s="1" t="s">
        <v>74</v>
      </c>
      <c r="X798" s="1" t="s">
        <v>74</v>
      </c>
      <c r="Y798" s="1" t="s">
        <v>74</v>
      </c>
      <c r="Z798" s="1" t="s">
        <v>74</v>
      </c>
      <c r="AA798" s="1" t="s">
        <v>7503</v>
      </c>
      <c r="AB798" s="1" t="s">
        <v>7504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6757</v>
      </c>
      <c r="AP798" s="1" t="s">
        <v>74</v>
      </c>
      <c r="AQ798" s="1" t="s">
        <v>74</v>
      </c>
      <c r="AR798" s="1" t="s">
        <v>74</v>
      </c>
      <c r="AS798" s="1" t="s">
        <v>74</v>
      </c>
      <c r="AT798" s="1" t="s">
        <v>7505</v>
      </c>
      <c r="AU798" s="1">
        <v>2015.0</v>
      </c>
      <c r="AV798" s="1">
        <v>14.0</v>
      </c>
      <c r="AW798" s="1">
        <v>1.0</v>
      </c>
      <c r="AX798" s="1" t="s">
        <v>74</v>
      </c>
      <c r="AY798" s="1" t="s">
        <v>74</v>
      </c>
      <c r="AZ798" s="1" t="s">
        <v>74</v>
      </c>
      <c r="BA798" s="1" t="s">
        <v>74</v>
      </c>
      <c r="BB798" s="1">
        <v>29.0</v>
      </c>
      <c r="BC798" s="1">
        <v>41.0</v>
      </c>
      <c r="BD798" s="1" t="s">
        <v>74</v>
      </c>
      <c r="BE798" s="1" t="s">
        <v>74</v>
      </c>
      <c r="BF798" s="1" t="s">
        <v>74</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7506</v>
      </c>
      <c r="BT798" s="1" t="str">
        <f>HYPERLINK("https%3A%2F%2Fwww.webofscience.com%2Fwos%2Fwoscc%2Ffull-record%2FWOS:000367989500003","View Full Record in Web of Science")</f>
        <v>View Full Record in Web of Science</v>
      </c>
    </row>
    <row r="799" ht="12.75" customHeight="1">
      <c r="A799" s="1" t="s">
        <v>346</v>
      </c>
      <c r="B799" s="1" t="s">
        <v>7507</v>
      </c>
      <c r="C799" s="1" t="s">
        <v>74</v>
      </c>
      <c r="D799" s="1" t="s">
        <v>7508</v>
      </c>
      <c r="E799" s="1" t="s">
        <v>74</v>
      </c>
      <c r="F799" s="1" t="s">
        <v>7509</v>
      </c>
      <c r="G799" s="1" t="s">
        <v>74</v>
      </c>
      <c r="H799" s="1" t="s">
        <v>74</v>
      </c>
      <c r="I799" s="1" t="s">
        <v>7510</v>
      </c>
      <c r="J799" s="1" t="s">
        <v>7511</v>
      </c>
      <c r="K799" s="1" t="s">
        <v>1495</v>
      </c>
      <c r="L799" s="1" t="s">
        <v>74</v>
      </c>
      <c r="M799" s="1" t="s">
        <v>74</v>
      </c>
      <c r="N799" s="1" t="s">
        <v>74</v>
      </c>
      <c r="O799" s="1" t="s">
        <v>7512</v>
      </c>
      <c r="P799" s="1" t="s">
        <v>7513</v>
      </c>
      <c r="Q799" s="1" t="s">
        <v>1101</v>
      </c>
      <c r="R799" s="1" t="s">
        <v>7514</v>
      </c>
      <c r="S799" s="1" t="s">
        <v>74</v>
      </c>
      <c r="T799" s="1" t="s">
        <v>74</v>
      </c>
      <c r="U799" s="1" t="s">
        <v>74</v>
      </c>
      <c r="V799" s="1" t="s">
        <v>7515</v>
      </c>
      <c r="W799" s="1" t="s">
        <v>74</v>
      </c>
      <c r="X799" s="1" t="s">
        <v>74</v>
      </c>
      <c r="Y799" s="1" t="s">
        <v>74</v>
      </c>
      <c r="Z799" s="1" t="s">
        <v>74</v>
      </c>
      <c r="AA799" s="1" t="s">
        <v>74</v>
      </c>
      <c r="AB799" s="1" t="s">
        <v>74</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1502</v>
      </c>
      <c r="AP799" s="1" t="s">
        <v>74</v>
      </c>
      <c r="AQ799" s="1" t="s">
        <v>7516</v>
      </c>
      <c r="AR799" s="1" t="s">
        <v>74</v>
      </c>
      <c r="AS799" s="1" t="s">
        <v>74</v>
      </c>
      <c r="AT799" s="1" t="s">
        <v>74</v>
      </c>
      <c r="AU799" s="1">
        <v>2014.0</v>
      </c>
      <c r="AV799" s="1" t="s">
        <v>7517</v>
      </c>
      <c r="AW799" s="1" t="s">
        <v>74</v>
      </c>
      <c r="AX799" s="1" t="s">
        <v>74</v>
      </c>
      <c r="AY799" s="1" t="s">
        <v>74</v>
      </c>
      <c r="AZ799" s="1" t="s">
        <v>74</v>
      </c>
      <c r="BA799" s="1" t="s">
        <v>74</v>
      </c>
      <c r="BB799" s="1">
        <v>2056.0</v>
      </c>
      <c r="BC799" s="1" t="s">
        <v>1164</v>
      </c>
      <c r="BD799" s="1" t="s">
        <v>74</v>
      </c>
      <c r="BE799" s="1" t="s">
        <v>7518</v>
      </c>
      <c r="BF799" s="2" t="str">
        <f>HYPERLINK("http://dx.doi.org/10.4028/www.scientific.net/AMR.875-877.2056","http://dx.doi.org/10.4028/www.scientific.net/AMR.875-877.2056")</f>
        <v>http://dx.doi.org/10.4028/www.scientific.net/AMR.875-877.2056</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7519</v>
      </c>
      <c r="BT799" s="1" t="str">
        <f>HYPERLINK("https%3A%2F%2Fwww.webofscience.com%2Fwos%2Fwoscc%2Ffull-record%2FWOS:000339412000371","View Full Record in Web of Science")</f>
        <v>View Full Record in Web of Science</v>
      </c>
    </row>
    <row r="800" ht="12.75" customHeight="1">
      <c r="A800" s="1" t="s">
        <v>72</v>
      </c>
      <c r="B800" s="1" t="s">
        <v>7520</v>
      </c>
      <c r="C800" s="1" t="s">
        <v>74</v>
      </c>
      <c r="D800" s="1" t="s">
        <v>74</v>
      </c>
      <c r="E800" s="1" t="s">
        <v>74</v>
      </c>
      <c r="F800" s="1" t="s">
        <v>7521</v>
      </c>
      <c r="G800" s="1" t="s">
        <v>74</v>
      </c>
      <c r="H800" s="1" t="s">
        <v>74</v>
      </c>
      <c r="I800" s="1" t="s">
        <v>7522</v>
      </c>
      <c r="J800" s="1" t="s">
        <v>1440</v>
      </c>
      <c r="K800" s="1" t="s">
        <v>74</v>
      </c>
      <c r="L800" s="1" t="s">
        <v>74</v>
      </c>
      <c r="M800" s="1" t="s">
        <v>74</v>
      </c>
      <c r="N800" s="1" t="s">
        <v>74</v>
      </c>
      <c r="O800" s="1" t="s">
        <v>74</v>
      </c>
      <c r="P800" s="1" t="s">
        <v>74</v>
      </c>
      <c r="Q800" s="1" t="s">
        <v>74</v>
      </c>
      <c r="R800" s="1" t="s">
        <v>74</v>
      </c>
      <c r="S800" s="1" t="s">
        <v>74</v>
      </c>
      <c r="T800" s="1" t="s">
        <v>74</v>
      </c>
      <c r="U800" s="1" t="s">
        <v>74</v>
      </c>
      <c r="V800" s="1" t="s">
        <v>7523</v>
      </c>
      <c r="W800" s="1" t="s">
        <v>74</v>
      </c>
      <c r="X800" s="1" t="s">
        <v>74</v>
      </c>
      <c r="Y800" s="1" t="s">
        <v>74</v>
      </c>
      <c r="Z800" s="1" t="s">
        <v>74</v>
      </c>
      <c r="AA800" s="1" t="s">
        <v>7524</v>
      </c>
      <c r="AB800" s="1" t="s">
        <v>74</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1443</v>
      </c>
      <c r="AP800" s="1" t="s">
        <v>1444</v>
      </c>
      <c r="AQ800" s="1" t="s">
        <v>74</v>
      </c>
      <c r="AR800" s="1" t="s">
        <v>74</v>
      </c>
      <c r="AS800" s="1" t="s">
        <v>74</v>
      </c>
      <c r="AT800" s="1" t="s">
        <v>164</v>
      </c>
      <c r="AU800" s="1">
        <v>2013.0</v>
      </c>
      <c r="AV800" s="1">
        <v>141.0</v>
      </c>
      <c r="AW800" s="1">
        <v>7.0</v>
      </c>
      <c r="AX800" s="1" t="s">
        <v>74</v>
      </c>
      <c r="AY800" s="1" t="s">
        <v>74</v>
      </c>
      <c r="AZ800" s="1" t="s">
        <v>74</v>
      </c>
      <c r="BA800" s="1" t="s">
        <v>74</v>
      </c>
      <c r="BB800" s="1">
        <v>823.0</v>
      </c>
      <c r="BC800" s="1">
        <v>830.0</v>
      </c>
      <c r="BD800" s="1" t="s">
        <v>74</v>
      </c>
      <c r="BE800" s="1" t="s">
        <v>7525</v>
      </c>
      <c r="BF800" s="2" t="str">
        <f>HYPERLINK("http://dx.doi.org/10.4067/S0034-98872013000700001","http://dx.doi.org/10.4067/S0034-98872013000700001")</f>
        <v>http://dx.doi.org/10.4067/S0034-98872013000700001</v>
      </c>
      <c r="BG800" s="1" t="s">
        <v>74</v>
      </c>
      <c r="BH800" s="1" t="s">
        <v>74</v>
      </c>
      <c r="BI800" s="1" t="s">
        <v>74</v>
      </c>
      <c r="BJ800" s="1" t="s">
        <v>74</v>
      </c>
      <c r="BK800" s="1" t="s">
        <v>74</v>
      </c>
      <c r="BL800" s="1" t="s">
        <v>74</v>
      </c>
      <c r="BM800" s="1" t="s">
        <v>74</v>
      </c>
      <c r="BN800" s="1">
        <v>2.435673E7</v>
      </c>
      <c r="BO800" s="1" t="s">
        <v>74</v>
      </c>
      <c r="BP800" s="1" t="s">
        <v>74</v>
      </c>
      <c r="BQ800" s="1" t="s">
        <v>74</v>
      </c>
      <c r="BR800" s="1" t="s">
        <v>74</v>
      </c>
      <c r="BS800" s="1" t="s">
        <v>7526</v>
      </c>
      <c r="BT800" s="1" t="str">
        <f>HYPERLINK("https%3A%2F%2Fwww.webofscience.com%2Fwos%2Fwoscc%2Ffull-record%2FWOS:000323798900001","View Full Record in Web of Science")</f>
        <v>View Full Record in Web of Science</v>
      </c>
    </row>
    <row r="801" ht="12.75" customHeight="1">
      <c r="A801" s="1" t="s">
        <v>72</v>
      </c>
      <c r="B801" s="1" t="s">
        <v>7527</v>
      </c>
      <c r="C801" s="1" t="s">
        <v>74</v>
      </c>
      <c r="D801" s="1" t="s">
        <v>74</v>
      </c>
      <c r="E801" s="1" t="s">
        <v>74</v>
      </c>
      <c r="F801" s="1" t="s">
        <v>7528</v>
      </c>
      <c r="G801" s="1" t="s">
        <v>74</v>
      </c>
      <c r="H801" s="1" t="s">
        <v>74</v>
      </c>
      <c r="I801" s="1" t="s">
        <v>7529</v>
      </c>
      <c r="J801" s="1" t="s">
        <v>7530</v>
      </c>
      <c r="K801" s="1" t="s">
        <v>74</v>
      </c>
      <c r="L801" s="1" t="s">
        <v>74</v>
      </c>
      <c r="M801" s="1" t="s">
        <v>74</v>
      </c>
      <c r="N801" s="1" t="s">
        <v>74</v>
      </c>
      <c r="O801" s="1" t="s">
        <v>74</v>
      </c>
      <c r="P801" s="1" t="s">
        <v>74</v>
      </c>
      <c r="Q801" s="1" t="s">
        <v>74</v>
      </c>
      <c r="R801" s="1" t="s">
        <v>74</v>
      </c>
      <c r="S801" s="1" t="s">
        <v>74</v>
      </c>
      <c r="T801" s="1" t="s">
        <v>74</v>
      </c>
      <c r="U801" s="1" t="s">
        <v>74</v>
      </c>
      <c r="V801" s="1" t="s">
        <v>7531</v>
      </c>
      <c r="W801" s="1" t="s">
        <v>74</v>
      </c>
      <c r="X801" s="1" t="s">
        <v>74</v>
      </c>
      <c r="Y801" s="1" t="s">
        <v>74</v>
      </c>
      <c r="Z801" s="1" t="s">
        <v>74</v>
      </c>
      <c r="AA801" s="1" t="s">
        <v>1986</v>
      </c>
      <c r="AB801" s="1" t="s">
        <v>3337</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7532</v>
      </c>
      <c r="AP801" s="1" t="s">
        <v>74</v>
      </c>
      <c r="AQ801" s="1" t="s">
        <v>74</v>
      </c>
      <c r="AR801" s="1" t="s">
        <v>74</v>
      </c>
      <c r="AS801" s="1" t="s">
        <v>74</v>
      </c>
      <c r="AT801" s="1" t="s">
        <v>74</v>
      </c>
      <c r="AU801" s="1">
        <v>2012.0</v>
      </c>
      <c r="AV801" s="1" t="s">
        <v>74</v>
      </c>
      <c r="AW801" s="1" t="s">
        <v>74</v>
      </c>
      <c r="AX801" s="1" t="s">
        <v>74</v>
      </c>
      <c r="AY801" s="1" t="s">
        <v>74</v>
      </c>
      <c r="AZ801" s="1" t="s">
        <v>74</v>
      </c>
      <c r="BA801" s="1" t="s">
        <v>74</v>
      </c>
      <c r="BB801" s="1">
        <v>1.0</v>
      </c>
      <c r="BC801" s="1">
        <v>5.0</v>
      </c>
      <c r="BD801" s="1">
        <v>279147.0</v>
      </c>
      <c r="BE801" s="1" t="s">
        <v>7533</v>
      </c>
      <c r="BF801" s="2" t="str">
        <f>HYPERLINK("http://dx.doi.org/10.1100/2012/279147","http://dx.doi.org/10.1100/2012/279147")</f>
        <v>http://dx.doi.org/10.1100/2012/279147</v>
      </c>
      <c r="BG801" s="1" t="s">
        <v>74</v>
      </c>
      <c r="BH801" s="1" t="s">
        <v>74</v>
      </c>
      <c r="BI801" s="1" t="s">
        <v>74</v>
      </c>
      <c r="BJ801" s="1" t="s">
        <v>74</v>
      </c>
      <c r="BK801" s="1" t="s">
        <v>74</v>
      </c>
      <c r="BL801" s="1" t="s">
        <v>74</v>
      </c>
      <c r="BM801" s="1" t="s">
        <v>74</v>
      </c>
      <c r="BN801" s="1">
        <v>2.253613E7</v>
      </c>
      <c r="BO801" s="1" t="s">
        <v>74</v>
      </c>
      <c r="BP801" s="1" t="s">
        <v>74</v>
      </c>
      <c r="BQ801" s="1" t="s">
        <v>74</v>
      </c>
      <c r="BR801" s="1" t="s">
        <v>74</v>
      </c>
      <c r="BS801" s="1" t="s">
        <v>7534</v>
      </c>
      <c r="BT801" s="1" t="str">
        <f>HYPERLINK("https%3A%2F%2Fwww.webofscience.com%2Fwos%2Fwoscc%2Ffull-record%2FWOS:000303016000001","View Full Record in Web of Science")</f>
        <v>View Full Record in Web of Science</v>
      </c>
    </row>
    <row r="802" ht="12.75" customHeight="1">
      <c r="A802" s="1" t="s">
        <v>72</v>
      </c>
      <c r="B802" s="1" t="s">
        <v>1458</v>
      </c>
      <c r="C802" s="1" t="s">
        <v>74</v>
      </c>
      <c r="D802" s="1" t="s">
        <v>74</v>
      </c>
      <c r="E802" s="1" t="s">
        <v>74</v>
      </c>
      <c r="F802" s="1" t="s">
        <v>1459</v>
      </c>
      <c r="G802" s="1" t="s">
        <v>74</v>
      </c>
      <c r="H802" s="1" t="s">
        <v>74</v>
      </c>
      <c r="I802" s="1" t="s">
        <v>7535</v>
      </c>
      <c r="J802" s="1" t="s">
        <v>338</v>
      </c>
      <c r="K802" s="1" t="s">
        <v>74</v>
      </c>
      <c r="L802" s="1" t="s">
        <v>74</v>
      </c>
      <c r="M802" s="1" t="s">
        <v>74</v>
      </c>
      <c r="N802" s="1" t="s">
        <v>74</v>
      </c>
      <c r="O802" s="1" t="s">
        <v>74</v>
      </c>
      <c r="P802" s="1" t="s">
        <v>74</v>
      </c>
      <c r="Q802" s="1" t="s">
        <v>74</v>
      </c>
      <c r="R802" s="1" t="s">
        <v>74</v>
      </c>
      <c r="S802" s="1" t="s">
        <v>74</v>
      </c>
      <c r="T802" s="1" t="s">
        <v>74</v>
      </c>
      <c r="U802" s="1" t="s">
        <v>74</v>
      </c>
      <c r="V802" s="1" t="s">
        <v>7536</v>
      </c>
      <c r="W802" s="1" t="s">
        <v>74</v>
      </c>
      <c r="X802" s="1" t="s">
        <v>74</v>
      </c>
      <c r="Y802" s="1" t="s">
        <v>74</v>
      </c>
      <c r="Z802" s="1" t="s">
        <v>74</v>
      </c>
      <c r="AA802" s="1" t="s">
        <v>1463</v>
      </c>
      <c r="AB802" s="1" t="s">
        <v>1464</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342</v>
      </c>
      <c r="AP802" s="1" t="s">
        <v>74</v>
      </c>
      <c r="AQ802" s="1" t="s">
        <v>74</v>
      </c>
      <c r="AR802" s="1" t="s">
        <v>74</v>
      </c>
      <c r="AS802" s="1" t="s">
        <v>74</v>
      </c>
      <c r="AT802" s="1" t="s">
        <v>74</v>
      </c>
      <c r="AU802" s="1">
        <v>2012.0</v>
      </c>
      <c r="AV802" s="1" t="s">
        <v>74</v>
      </c>
      <c r="AW802" s="1" t="s">
        <v>74</v>
      </c>
      <c r="AX802" s="1" t="s">
        <v>74</v>
      </c>
      <c r="AY802" s="1" t="s">
        <v>74</v>
      </c>
      <c r="AZ802" s="1" t="s">
        <v>74</v>
      </c>
      <c r="BA802" s="1" t="s">
        <v>74</v>
      </c>
      <c r="BB802" s="1" t="s">
        <v>74</v>
      </c>
      <c r="BC802" s="1" t="s">
        <v>74</v>
      </c>
      <c r="BD802" s="1">
        <v>495487.0</v>
      </c>
      <c r="BE802" s="1" t="s">
        <v>7537</v>
      </c>
      <c r="BF802" s="2" t="str">
        <f>HYPERLINK("http://dx.doi.org/10.1155/2012/495487","http://dx.doi.org/10.1155/2012/495487")</f>
        <v>http://dx.doi.org/10.1155/2012/495487</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7538</v>
      </c>
      <c r="BT802" s="1" t="str">
        <f>HYPERLINK("https%3A%2F%2Fwww.webofscience.com%2Fwos%2Fwoscc%2Ffull-record%2FWOS:000307562800001","View Full Record in Web of Science")</f>
        <v>View Full Record in Web of Science</v>
      </c>
    </row>
    <row r="803" ht="12.75" customHeight="1">
      <c r="A803" s="1" t="s">
        <v>72</v>
      </c>
      <c r="B803" s="1" t="s">
        <v>5777</v>
      </c>
      <c r="C803" s="1" t="s">
        <v>74</v>
      </c>
      <c r="D803" s="1" t="s">
        <v>74</v>
      </c>
      <c r="E803" s="1" t="s">
        <v>74</v>
      </c>
      <c r="F803" s="1" t="s">
        <v>5778</v>
      </c>
      <c r="G803" s="1" t="s">
        <v>74</v>
      </c>
      <c r="H803" s="1" t="s">
        <v>74</v>
      </c>
      <c r="I803" s="1" t="s">
        <v>7539</v>
      </c>
      <c r="J803" s="1" t="s">
        <v>7540</v>
      </c>
      <c r="K803" s="1" t="s">
        <v>74</v>
      </c>
      <c r="L803" s="1" t="s">
        <v>74</v>
      </c>
      <c r="M803" s="1" t="s">
        <v>74</v>
      </c>
      <c r="N803" s="1" t="s">
        <v>74</v>
      </c>
      <c r="O803" s="1" t="s">
        <v>74</v>
      </c>
      <c r="P803" s="1" t="s">
        <v>74</v>
      </c>
      <c r="Q803" s="1" t="s">
        <v>74</v>
      </c>
      <c r="R803" s="1" t="s">
        <v>74</v>
      </c>
      <c r="S803" s="1" t="s">
        <v>74</v>
      </c>
      <c r="T803" s="1" t="s">
        <v>74</v>
      </c>
      <c r="U803" s="1" t="s">
        <v>74</v>
      </c>
      <c r="V803" s="1" t="s">
        <v>7541</v>
      </c>
      <c r="W803" s="1" t="s">
        <v>74</v>
      </c>
      <c r="X803" s="1" t="s">
        <v>74</v>
      </c>
      <c r="Y803" s="1" t="s">
        <v>74</v>
      </c>
      <c r="Z803" s="1" t="s">
        <v>74</v>
      </c>
      <c r="AA803" s="1" t="s">
        <v>340</v>
      </c>
      <c r="AB803" s="1" t="s">
        <v>341</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7542</v>
      </c>
      <c r="AP803" s="1" t="s">
        <v>7543</v>
      </c>
      <c r="AQ803" s="1" t="s">
        <v>74</v>
      </c>
      <c r="AR803" s="1" t="s">
        <v>74</v>
      </c>
      <c r="AS803" s="1" t="s">
        <v>74</v>
      </c>
      <c r="AT803" s="1" t="s">
        <v>83</v>
      </c>
      <c r="AU803" s="1">
        <v>2011.0</v>
      </c>
      <c r="AV803" s="1">
        <v>284.0</v>
      </c>
      <c r="AW803" s="1">
        <v>4.0</v>
      </c>
      <c r="AX803" s="1" t="s">
        <v>74</v>
      </c>
      <c r="AY803" s="1" t="s">
        <v>74</v>
      </c>
      <c r="AZ803" s="1" t="s">
        <v>74</v>
      </c>
      <c r="BA803" s="1" t="s">
        <v>74</v>
      </c>
      <c r="BB803" s="1">
        <v>494.0</v>
      </c>
      <c r="BC803" s="1">
        <v>506.0</v>
      </c>
      <c r="BD803" s="1" t="s">
        <v>74</v>
      </c>
      <c r="BE803" s="1" t="s">
        <v>7544</v>
      </c>
      <c r="BF803" s="2" t="str">
        <f>HYPERLINK("http://dx.doi.org/10.1002/mana.200810158","http://dx.doi.org/10.1002/mana.200810158")</f>
        <v>http://dx.doi.org/10.1002/mana.200810158</v>
      </c>
      <c r="BG803" s="1" t="s">
        <v>74</v>
      </c>
      <c r="BH803" s="1" t="s">
        <v>74</v>
      </c>
      <c r="BI803" s="1" t="s">
        <v>74</v>
      </c>
      <c r="BJ803" s="1" t="s">
        <v>74</v>
      </c>
      <c r="BK803" s="1" t="s">
        <v>74</v>
      </c>
      <c r="BL803" s="1" t="s">
        <v>74</v>
      </c>
      <c r="BM803" s="1" t="s">
        <v>74</v>
      </c>
      <c r="BN803" s="1" t="s">
        <v>74</v>
      </c>
      <c r="BO803" s="1" t="s">
        <v>74</v>
      </c>
      <c r="BP803" s="1" t="s">
        <v>74</v>
      </c>
      <c r="BQ803" s="1" t="s">
        <v>74</v>
      </c>
      <c r="BR803" s="1" t="s">
        <v>74</v>
      </c>
      <c r="BS803" s="1" t="s">
        <v>7545</v>
      </c>
      <c r="BT803" s="1" t="str">
        <f>HYPERLINK("https%3A%2F%2Fwww.webofscience.com%2Fwos%2Fwoscc%2Ffull-record%2FWOS:000288092600005","View Full Record in Web of Science")</f>
        <v>View Full Record in Web of Science</v>
      </c>
    </row>
    <row r="804" ht="12.75" customHeight="1">
      <c r="A804" s="1" t="s">
        <v>72</v>
      </c>
      <c r="B804" s="1" t="s">
        <v>7546</v>
      </c>
      <c r="C804" s="1" t="s">
        <v>74</v>
      </c>
      <c r="D804" s="1" t="s">
        <v>74</v>
      </c>
      <c r="E804" s="1" t="s">
        <v>74</v>
      </c>
      <c r="F804" s="1" t="s">
        <v>7547</v>
      </c>
      <c r="G804" s="1" t="s">
        <v>74</v>
      </c>
      <c r="H804" s="1" t="s">
        <v>74</v>
      </c>
      <c r="I804" s="1" t="s">
        <v>7548</v>
      </c>
      <c r="J804" s="1" t="s">
        <v>3739</v>
      </c>
      <c r="K804" s="1" t="s">
        <v>74</v>
      </c>
      <c r="L804" s="1" t="s">
        <v>74</v>
      </c>
      <c r="M804" s="1" t="s">
        <v>74</v>
      </c>
      <c r="N804" s="1" t="s">
        <v>74</v>
      </c>
      <c r="O804" s="1" t="s">
        <v>74</v>
      </c>
      <c r="P804" s="1" t="s">
        <v>74</v>
      </c>
      <c r="Q804" s="1" t="s">
        <v>74</v>
      </c>
      <c r="R804" s="1" t="s">
        <v>74</v>
      </c>
      <c r="S804" s="1" t="s">
        <v>74</v>
      </c>
      <c r="T804" s="1" t="s">
        <v>74</v>
      </c>
      <c r="U804" s="1" t="s">
        <v>74</v>
      </c>
      <c r="V804" s="1" t="s">
        <v>7549</v>
      </c>
      <c r="W804" s="1" t="s">
        <v>74</v>
      </c>
      <c r="X804" s="1" t="s">
        <v>74</v>
      </c>
      <c r="Y804" s="1" t="s">
        <v>74</v>
      </c>
      <c r="Z804" s="1" t="s">
        <v>74</v>
      </c>
      <c r="AA804" s="1" t="s">
        <v>820</v>
      </c>
      <c r="AB804" s="1" t="s">
        <v>821</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3742</v>
      </c>
      <c r="AP804" s="1" t="s">
        <v>7550</v>
      </c>
      <c r="AQ804" s="1" t="s">
        <v>74</v>
      </c>
      <c r="AR804" s="1" t="s">
        <v>74</v>
      </c>
      <c r="AS804" s="1" t="s">
        <v>74</v>
      </c>
      <c r="AT804" s="1" t="s">
        <v>212</v>
      </c>
      <c r="AU804" s="1">
        <v>2008.0</v>
      </c>
      <c r="AV804" s="1">
        <v>16.0</v>
      </c>
      <c r="AW804" s="1">
        <v>20.0</v>
      </c>
      <c r="AX804" s="1" t="s">
        <v>74</v>
      </c>
      <c r="AY804" s="1" t="s">
        <v>74</v>
      </c>
      <c r="AZ804" s="1" t="s">
        <v>74</v>
      </c>
      <c r="BA804" s="1" t="s">
        <v>74</v>
      </c>
      <c r="BB804" s="1">
        <v>9171.0</v>
      </c>
      <c r="BC804" s="1">
        <v>9175.0</v>
      </c>
      <c r="BD804" s="1" t="s">
        <v>74</v>
      </c>
      <c r="BE804" s="1" t="s">
        <v>7551</v>
      </c>
      <c r="BF804" s="2" t="str">
        <f>HYPERLINK("http://dx.doi.org/10.1016/j.bmc.2008.09.024","http://dx.doi.org/10.1016/j.bmc.2008.09.024")</f>
        <v>http://dx.doi.org/10.1016/j.bmc.2008.09.024</v>
      </c>
      <c r="BG804" s="1" t="s">
        <v>74</v>
      </c>
      <c r="BH804" s="1" t="s">
        <v>74</v>
      </c>
      <c r="BI804" s="1" t="s">
        <v>74</v>
      </c>
      <c r="BJ804" s="1" t="s">
        <v>74</v>
      </c>
      <c r="BK804" s="1" t="s">
        <v>74</v>
      </c>
      <c r="BL804" s="1" t="s">
        <v>74</v>
      </c>
      <c r="BM804" s="1" t="s">
        <v>74</v>
      </c>
      <c r="BN804" s="1">
        <v>1.8819812E7</v>
      </c>
      <c r="BO804" s="1" t="s">
        <v>74</v>
      </c>
      <c r="BP804" s="1" t="s">
        <v>74</v>
      </c>
      <c r="BQ804" s="1" t="s">
        <v>74</v>
      </c>
      <c r="BR804" s="1" t="s">
        <v>74</v>
      </c>
      <c r="BS804" s="1" t="s">
        <v>7552</v>
      </c>
      <c r="BT804" s="1" t="str">
        <f>HYPERLINK("https%3A%2F%2Fwww.webofscience.com%2Fwos%2Fwoscc%2Ffull-record%2FWOS:000259973200011","View Full Record in Web of Science")</f>
        <v>View Full Record in Web of Science</v>
      </c>
    </row>
    <row r="805" ht="12.75" customHeight="1">
      <c r="A805" s="1" t="s">
        <v>72</v>
      </c>
      <c r="B805" s="1" t="s">
        <v>7553</v>
      </c>
      <c r="C805" s="1" t="s">
        <v>74</v>
      </c>
      <c r="D805" s="1" t="s">
        <v>74</v>
      </c>
      <c r="E805" s="1" t="s">
        <v>74</v>
      </c>
      <c r="F805" s="1" t="s">
        <v>7554</v>
      </c>
      <c r="G805" s="1" t="s">
        <v>74</v>
      </c>
      <c r="H805" s="1" t="s">
        <v>74</v>
      </c>
      <c r="I805" s="1" t="s">
        <v>7555</v>
      </c>
      <c r="J805" s="1" t="s">
        <v>4326</v>
      </c>
      <c r="K805" s="1" t="s">
        <v>74</v>
      </c>
      <c r="L805" s="1" t="s">
        <v>74</v>
      </c>
      <c r="M805" s="1" t="s">
        <v>74</v>
      </c>
      <c r="N805" s="1" t="s">
        <v>74</v>
      </c>
      <c r="O805" s="1" t="s">
        <v>74</v>
      </c>
      <c r="P805" s="1" t="s">
        <v>74</v>
      </c>
      <c r="Q805" s="1" t="s">
        <v>74</v>
      </c>
      <c r="R805" s="1" t="s">
        <v>74</v>
      </c>
      <c r="S805" s="1" t="s">
        <v>74</v>
      </c>
      <c r="T805" s="1" t="s">
        <v>74</v>
      </c>
      <c r="U805" s="1" t="s">
        <v>74</v>
      </c>
      <c r="V805" s="1" t="s">
        <v>7556</v>
      </c>
      <c r="W805" s="1" t="s">
        <v>74</v>
      </c>
      <c r="X805" s="1" t="s">
        <v>74</v>
      </c>
      <c r="Y805" s="1" t="s">
        <v>74</v>
      </c>
      <c r="Z805" s="1" t="s">
        <v>74</v>
      </c>
      <c r="AA805" s="1" t="s">
        <v>7557</v>
      </c>
      <c r="AB805" s="1" t="s">
        <v>7558</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4328</v>
      </c>
      <c r="AP805" s="1" t="s">
        <v>4329</v>
      </c>
      <c r="AQ805" s="1" t="s">
        <v>74</v>
      </c>
      <c r="AR805" s="1" t="s">
        <v>74</v>
      </c>
      <c r="AS805" s="1" t="s">
        <v>74</v>
      </c>
      <c r="AT805" s="1" t="s">
        <v>878</v>
      </c>
      <c r="AU805" s="1">
        <v>2007.0</v>
      </c>
      <c r="AV805" s="1">
        <v>99.0</v>
      </c>
      <c r="AW805" s="1">
        <v>1.0</v>
      </c>
      <c r="AX805" s="1" t="s">
        <v>74</v>
      </c>
      <c r="AY805" s="1" t="s">
        <v>74</v>
      </c>
      <c r="AZ805" s="1" t="s">
        <v>74</v>
      </c>
      <c r="BA805" s="1" t="s">
        <v>74</v>
      </c>
      <c r="BB805" s="1" t="s">
        <v>74</v>
      </c>
      <c r="BC805" s="1" t="s">
        <v>74</v>
      </c>
      <c r="BD805" s="1">
        <v>18301.0</v>
      </c>
      <c r="BE805" s="1" t="s">
        <v>7559</v>
      </c>
      <c r="BF805" s="2" t="str">
        <f>HYPERLINK("http://dx.doi.org/10.1103/PhysRevLett.99.018301","http://dx.doi.org/10.1103/PhysRevLett.99.018301")</f>
        <v>http://dx.doi.org/10.1103/PhysRevLett.99.018301</v>
      </c>
      <c r="BG805" s="1" t="s">
        <v>74</v>
      </c>
      <c r="BH805" s="1" t="s">
        <v>74</v>
      </c>
      <c r="BI805" s="1" t="s">
        <v>74</v>
      </c>
      <c r="BJ805" s="1" t="s">
        <v>74</v>
      </c>
      <c r="BK805" s="1" t="s">
        <v>74</v>
      </c>
      <c r="BL805" s="1" t="s">
        <v>74</v>
      </c>
      <c r="BM805" s="1" t="s">
        <v>74</v>
      </c>
      <c r="BN805" s="1">
        <v>1.7678192E7</v>
      </c>
      <c r="BO805" s="1" t="s">
        <v>74</v>
      </c>
      <c r="BP805" s="1" t="s">
        <v>74</v>
      </c>
      <c r="BQ805" s="1" t="s">
        <v>74</v>
      </c>
      <c r="BR805" s="1" t="s">
        <v>74</v>
      </c>
      <c r="BS805" s="1" t="s">
        <v>7560</v>
      </c>
      <c r="BT805" s="1" t="str">
        <f>HYPERLINK("https%3A%2F%2Fwww.webofscience.com%2Fwos%2Fwoscc%2Ffull-record%2FWOS:000247819900053","View Full Record in Web of Science")</f>
        <v>View Full Record in Web of Science</v>
      </c>
    </row>
    <row r="806" ht="12.75" customHeight="1">
      <c r="A806" s="1" t="s">
        <v>72</v>
      </c>
      <c r="B806" s="1" t="s">
        <v>7561</v>
      </c>
      <c r="C806" s="1" t="s">
        <v>74</v>
      </c>
      <c r="D806" s="1" t="s">
        <v>74</v>
      </c>
      <c r="E806" s="1" t="s">
        <v>74</v>
      </c>
      <c r="F806" s="1" t="s">
        <v>7562</v>
      </c>
      <c r="G806" s="1" t="s">
        <v>74</v>
      </c>
      <c r="H806" s="1" t="s">
        <v>74</v>
      </c>
      <c r="I806" s="1" t="s">
        <v>7563</v>
      </c>
      <c r="J806" s="1" t="s">
        <v>7564</v>
      </c>
      <c r="K806" s="1" t="s">
        <v>74</v>
      </c>
      <c r="L806" s="1" t="s">
        <v>74</v>
      </c>
      <c r="M806" s="1" t="s">
        <v>74</v>
      </c>
      <c r="N806" s="1" t="s">
        <v>74</v>
      </c>
      <c r="O806" s="1" t="s">
        <v>74</v>
      </c>
      <c r="P806" s="1" t="s">
        <v>74</v>
      </c>
      <c r="Q806" s="1" t="s">
        <v>74</v>
      </c>
      <c r="R806" s="1" t="s">
        <v>74</v>
      </c>
      <c r="S806" s="1" t="s">
        <v>74</v>
      </c>
      <c r="T806" s="1" t="s">
        <v>74</v>
      </c>
      <c r="U806" s="1" t="s">
        <v>74</v>
      </c>
      <c r="V806" s="1" t="s">
        <v>7565</v>
      </c>
      <c r="W806" s="1" t="s">
        <v>74</v>
      </c>
      <c r="X806" s="1" t="s">
        <v>74</v>
      </c>
      <c r="Y806" s="1" t="s">
        <v>74</v>
      </c>
      <c r="Z806" s="1" t="s">
        <v>74</v>
      </c>
      <c r="AA806" s="1" t="s">
        <v>74</v>
      </c>
      <c r="AB806" s="1" t="s">
        <v>74</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7566</v>
      </c>
      <c r="AP806" s="1" t="s">
        <v>7567</v>
      </c>
      <c r="AQ806" s="1" t="s">
        <v>74</v>
      </c>
      <c r="AR806" s="1" t="s">
        <v>74</v>
      </c>
      <c r="AS806" s="1" t="s">
        <v>74</v>
      </c>
      <c r="AT806" s="1" t="s">
        <v>7568</v>
      </c>
      <c r="AU806" s="1">
        <v>2006.0</v>
      </c>
      <c r="AV806" s="1">
        <v>167.0</v>
      </c>
      <c r="AW806" s="1">
        <v>3.0</v>
      </c>
      <c r="AX806" s="1" t="s">
        <v>74</v>
      </c>
      <c r="AY806" s="1" t="s">
        <v>74</v>
      </c>
      <c r="AZ806" s="1" t="s">
        <v>74</v>
      </c>
      <c r="BA806" s="1" t="s">
        <v>74</v>
      </c>
      <c r="BB806" s="1">
        <v>141.0</v>
      </c>
      <c r="BC806" s="1">
        <v>148.0</v>
      </c>
      <c r="BD806" s="1" t="s">
        <v>74</v>
      </c>
      <c r="BE806" s="1" t="s">
        <v>7569</v>
      </c>
      <c r="BF806" s="2" t="str">
        <f>HYPERLINK("http://dx.doi.org/10.1016/j.powtec.2006.06.009","http://dx.doi.org/10.1016/j.powtec.2006.06.009")</f>
        <v>http://dx.doi.org/10.1016/j.powtec.2006.06.009</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7570</v>
      </c>
      <c r="BT806" s="1" t="str">
        <f>HYPERLINK("https%3A%2F%2Fwww.webofscience.com%2Fwos%2Fwoscc%2Ffull-record%2FWOS:000240858600005","View Full Record in Web of Science")</f>
        <v>View Full Record in Web of Science</v>
      </c>
    </row>
    <row r="807" ht="12.75" customHeight="1">
      <c r="A807" s="1" t="s">
        <v>72</v>
      </c>
      <c r="B807" s="1" t="s">
        <v>3800</v>
      </c>
      <c r="C807" s="1" t="s">
        <v>74</v>
      </c>
      <c r="D807" s="1" t="s">
        <v>74</v>
      </c>
      <c r="E807" s="1" t="s">
        <v>74</v>
      </c>
      <c r="F807" s="1" t="s">
        <v>3800</v>
      </c>
      <c r="G807" s="1" t="s">
        <v>74</v>
      </c>
      <c r="H807" s="1" t="s">
        <v>74</v>
      </c>
      <c r="I807" s="1" t="s">
        <v>7571</v>
      </c>
      <c r="J807" s="1" t="s">
        <v>2295</v>
      </c>
      <c r="K807" s="1" t="s">
        <v>74</v>
      </c>
      <c r="L807" s="1" t="s">
        <v>74</v>
      </c>
      <c r="M807" s="1" t="s">
        <v>74</v>
      </c>
      <c r="N807" s="1" t="s">
        <v>74</v>
      </c>
      <c r="O807" s="1" t="s">
        <v>7572</v>
      </c>
      <c r="P807" s="1" t="s">
        <v>7573</v>
      </c>
      <c r="Q807" s="1" t="s">
        <v>7574</v>
      </c>
      <c r="R807" s="1" t="s">
        <v>74</v>
      </c>
      <c r="S807" s="1" t="s">
        <v>74</v>
      </c>
      <c r="T807" s="1" t="s">
        <v>74</v>
      </c>
      <c r="U807" s="1" t="s">
        <v>74</v>
      </c>
      <c r="V807" s="1" t="s">
        <v>7575</v>
      </c>
      <c r="W807" s="1" t="s">
        <v>74</v>
      </c>
      <c r="X807" s="1" t="s">
        <v>74</v>
      </c>
      <c r="Y807" s="1" t="s">
        <v>74</v>
      </c>
      <c r="Z807" s="1" t="s">
        <v>74</v>
      </c>
      <c r="AA807" s="1" t="s">
        <v>74</v>
      </c>
      <c r="AB807" s="1" t="s">
        <v>74</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2297</v>
      </c>
      <c r="AP807" s="1" t="s">
        <v>74</v>
      </c>
      <c r="AQ807" s="1" t="s">
        <v>74</v>
      </c>
      <c r="AR807" s="1" t="s">
        <v>74</v>
      </c>
      <c r="AS807" s="1" t="s">
        <v>74</v>
      </c>
      <c r="AT807" s="1" t="s">
        <v>7576</v>
      </c>
      <c r="AU807" s="1">
        <v>2004.0</v>
      </c>
      <c r="AV807" s="1">
        <v>37.0</v>
      </c>
      <c r="AW807" s="1">
        <v>43.0</v>
      </c>
      <c r="AX807" s="1" t="s">
        <v>74</v>
      </c>
      <c r="AY807" s="1" t="s">
        <v>74</v>
      </c>
      <c r="AZ807" s="1" t="s">
        <v>74</v>
      </c>
      <c r="BA807" s="1" t="s">
        <v>74</v>
      </c>
      <c r="BB807" s="1">
        <v>10375.0</v>
      </c>
      <c r="BC807" s="1">
        <v>10384.0</v>
      </c>
      <c r="BD807" s="1" t="s">
        <v>7577</v>
      </c>
      <c r="BE807" s="1" t="s">
        <v>7578</v>
      </c>
      <c r="BF807" s="2" t="str">
        <f>HYPERLINK("http://dx.doi.org/10.1088/0305-4470/37/43/024","http://dx.doi.org/10.1088/0305-4470/37/43/024")</f>
        <v>http://dx.doi.org/10.1088/0305-4470/37/43/024</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7579</v>
      </c>
      <c r="BT807" s="1" t="str">
        <f>HYPERLINK("https%3A%2F%2Fwww.webofscience.com%2Fwos%2Fwoscc%2Ffull-record%2FWOS:000225151100025","View Full Record in Web of Science")</f>
        <v>View Full Record in Web of Science</v>
      </c>
    </row>
    <row r="808" ht="12.75" customHeight="1">
      <c r="A808" s="1" t="s">
        <v>72</v>
      </c>
      <c r="B808" s="1" t="s">
        <v>7580</v>
      </c>
      <c r="C808" s="1" t="s">
        <v>74</v>
      </c>
      <c r="D808" s="1" t="s">
        <v>74</v>
      </c>
      <c r="E808" s="1" t="s">
        <v>74</v>
      </c>
      <c r="F808" s="1" t="s">
        <v>7580</v>
      </c>
      <c r="G808" s="1" t="s">
        <v>74</v>
      </c>
      <c r="H808" s="1" t="s">
        <v>74</v>
      </c>
      <c r="I808" s="1" t="s">
        <v>7581</v>
      </c>
      <c r="J808" s="1" t="s">
        <v>1145</v>
      </c>
      <c r="K808" s="1" t="s">
        <v>74</v>
      </c>
      <c r="L808" s="1" t="s">
        <v>74</v>
      </c>
      <c r="M808" s="1" t="s">
        <v>74</v>
      </c>
      <c r="N808" s="1" t="s">
        <v>74</v>
      </c>
      <c r="O808" s="1" t="s">
        <v>74</v>
      </c>
      <c r="P808" s="1" t="s">
        <v>74</v>
      </c>
      <c r="Q808" s="1" t="s">
        <v>74</v>
      </c>
      <c r="R808" s="1" t="s">
        <v>74</v>
      </c>
      <c r="S808" s="1" t="s">
        <v>74</v>
      </c>
      <c r="T808" s="1" t="s">
        <v>74</v>
      </c>
      <c r="U808" s="1" t="s">
        <v>74</v>
      </c>
      <c r="V808" s="1" t="s">
        <v>74</v>
      </c>
      <c r="W808" s="1" t="s">
        <v>74</v>
      </c>
      <c r="X808" s="1" t="s">
        <v>74</v>
      </c>
      <c r="Y808" s="1" t="s">
        <v>74</v>
      </c>
      <c r="Z808" s="1" t="s">
        <v>74</v>
      </c>
      <c r="AA808" s="1" t="s">
        <v>74</v>
      </c>
      <c r="AB808" s="1" t="s">
        <v>74</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1148</v>
      </c>
      <c r="AP808" s="1" t="s">
        <v>74</v>
      </c>
      <c r="AQ808" s="1" t="s">
        <v>74</v>
      </c>
      <c r="AR808" s="1" t="s">
        <v>74</v>
      </c>
      <c r="AS808" s="1" t="s">
        <v>74</v>
      </c>
      <c r="AT808" s="1" t="s">
        <v>95</v>
      </c>
      <c r="AU808" s="1">
        <v>2003.0</v>
      </c>
      <c r="AV808" s="1">
        <v>48.0</v>
      </c>
      <c r="AW808" s="1">
        <v>4.0</v>
      </c>
      <c r="AX808" s="1" t="s">
        <v>74</v>
      </c>
      <c r="AY808" s="1" t="s">
        <v>74</v>
      </c>
      <c r="AZ808" s="1" t="s">
        <v>74</v>
      </c>
      <c r="BA808" s="1" t="s">
        <v>74</v>
      </c>
      <c r="BB808" s="1">
        <v>141.0</v>
      </c>
      <c r="BC808" s="1">
        <v>141.0</v>
      </c>
      <c r="BD808" s="1" t="s">
        <v>74</v>
      </c>
      <c r="BE808" s="1" t="s">
        <v>74</v>
      </c>
      <c r="BF808" s="1" t="s">
        <v>74</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7582</v>
      </c>
      <c r="BT808" s="1" t="str">
        <f>HYPERLINK("https%3A%2F%2Fwww.webofscience.com%2Fwos%2Fwoscc%2Ffull-record%2FWOS:000187318000022","View Full Record in Web of Science")</f>
        <v>View Full Record in Web of Science</v>
      </c>
    </row>
    <row r="809" ht="12.75" customHeight="1">
      <c r="A809" s="1" t="s">
        <v>72</v>
      </c>
      <c r="B809" s="1" t="s">
        <v>7583</v>
      </c>
      <c r="C809" s="1" t="s">
        <v>74</v>
      </c>
      <c r="D809" s="1" t="s">
        <v>74</v>
      </c>
      <c r="E809" s="1" t="s">
        <v>74</v>
      </c>
      <c r="F809" s="1" t="s">
        <v>7583</v>
      </c>
      <c r="G809" s="1" t="s">
        <v>74</v>
      </c>
      <c r="H809" s="1" t="s">
        <v>74</v>
      </c>
      <c r="I809" s="1" t="s">
        <v>7584</v>
      </c>
      <c r="J809" s="1" t="s">
        <v>7585</v>
      </c>
      <c r="K809" s="1" t="s">
        <v>74</v>
      </c>
      <c r="L809" s="1" t="s">
        <v>74</v>
      </c>
      <c r="M809" s="1" t="s">
        <v>74</v>
      </c>
      <c r="N809" s="1" t="s">
        <v>74</v>
      </c>
      <c r="O809" s="1" t="s">
        <v>74</v>
      </c>
      <c r="P809" s="1" t="s">
        <v>74</v>
      </c>
      <c r="Q809" s="1" t="s">
        <v>74</v>
      </c>
      <c r="R809" s="1" t="s">
        <v>74</v>
      </c>
      <c r="S809" s="1" t="s">
        <v>74</v>
      </c>
      <c r="T809" s="1" t="s">
        <v>74</v>
      </c>
      <c r="U809" s="1" t="s">
        <v>74</v>
      </c>
      <c r="V809" s="1" t="s">
        <v>74</v>
      </c>
      <c r="W809" s="1" t="s">
        <v>74</v>
      </c>
      <c r="X809" s="1" t="s">
        <v>74</v>
      </c>
      <c r="Y809" s="1" t="s">
        <v>74</v>
      </c>
      <c r="Z809" s="1" t="s">
        <v>74</v>
      </c>
      <c r="AA809" s="1" t="s">
        <v>74</v>
      </c>
      <c r="AB809" s="1" t="s">
        <v>74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7586</v>
      </c>
      <c r="AP809" s="1" t="s">
        <v>74</v>
      </c>
      <c r="AQ809" s="1" t="s">
        <v>74</v>
      </c>
      <c r="AR809" s="1" t="s">
        <v>74</v>
      </c>
      <c r="AS809" s="1" t="s">
        <v>74</v>
      </c>
      <c r="AT809" s="1" t="s">
        <v>496</v>
      </c>
      <c r="AU809" s="1">
        <v>2001.0</v>
      </c>
      <c r="AV809" s="1">
        <v>80.0</v>
      </c>
      <c r="AW809" s="1">
        <v>1.0</v>
      </c>
      <c r="AX809" s="1">
        <v>2.0</v>
      </c>
      <c r="AY809" s="1" t="s">
        <v>74</v>
      </c>
      <c r="AZ809" s="1" t="s">
        <v>74</v>
      </c>
      <c r="BA809" s="1">
        <v>876.0</v>
      </c>
      <c r="BB809" s="1" t="s">
        <v>7587</v>
      </c>
      <c r="BC809" s="1" t="s">
        <v>7587</v>
      </c>
      <c r="BD809" s="1" t="s">
        <v>74</v>
      </c>
      <c r="BE809" s="1" t="s">
        <v>74</v>
      </c>
      <c r="BF809" s="1" t="s">
        <v>74</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7588</v>
      </c>
      <c r="BT809" s="1" t="str">
        <f>HYPERLINK("https%3A%2F%2Fwww.webofscience.com%2Fwos%2Fwoscc%2Ffull-record%2FWOS:000166692201009","View Full Record in Web of Science")</f>
        <v>View Full Record in Web of Science</v>
      </c>
    </row>
    <row r="810" ht="12.75" customHeight="1">
      <c r="A810" s="1" t="s">
        <v>72</v>
      </c>
      <c r="B810" s="1" t="s">
        <v>7589</v>
      </c>
      <c r="C810" s="1" t="s">
        <v>74</v>
      </c>
      <c r="D810" s="1" t="s">
        <v>74</v>
      </c>
      <c r="E810" s="1" t="s">
        <v>74</v>
      </c>
      <c r="F810" s="1" t="s">
        <v>7589</v>
      </c>
      <c r="G810" s="1" t="s">
        <v>74</v>
      </c>
      <c r="H810" s="1" t="s">
        <v>74</v>
      </c>
      <c r="I810" s="1" t="s">
        <v>7590</v>
      </c>
      <c r="J810" s="1" t="s">
        <v>4545</v>
      </c>
      <c r="K810" s="1" t="s">
        <v>74</v>
      </c>
      <c r="L810" s="1" t="s">
        <v>74</v>
      </c>
      <c r="M810" s="1" t="s">
        <v>74</v>
      </c>
      <c r="N810" s="1" t="s">
        <v>74</v>
      </c>
      <c r="O810" s="1" t="s">
        <v>74</v>
      </c>
      <c r="P810" s="1" t="s">
        <v>74</v>
      </c>
      <c r="Q810" s="1" t="s">
        <v>74</v>
      </c>
      <c r="R810" s="1" t="s">
        <v>74</v>
      </c>
      <c r="S810" s="1" t="s">
        <v>74</v>
      </c>
      <c r="T810" s="1" t="s">
        <v>74</v>
      </c>
      <c r="U810" s="1" t="s">
        <v>74</v>
      </c>
      <c r="V810" s="1" t="s">
        <v>7591</v>
      </c>
      <c r="W810" s="1" t="s">
        <v>74</v>
      </c>
      <c r="X810" s="1" t="s">
        <v>74</v>
      </c>
      <c r="Y810" s="1" t="s">
        <v>74</v>
      </c>
      <c r="Z810" s="1" t="s">
        <v>74</v>
      </c>
      <c r="AA810" s="1" t="s">
        <v>859</v>
      </c>
      <c r="AB810" s="1" t="s">
        <v>74</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4546</v>
      </c>
      <c r="AP810" s="1" t="s">
        <v>74</v>
      </c>
      <c r="AQ810" s="1" t="s">
        <v>74</v>
      </c>
      <c r="AR810" s="1" t="s">
        <v>74</v>
      </c>
      <c r="AS810" s="1" t="s">
        <v>74</v>
      </c>
      <c r="AT810" s="1" t="s">
        <v>5196</v>
      </c>
      <c r="AU810" s="1">
        <v>1999.0</v>
      </c>
      <c r="AV810" s="1">
        <v>32.0</v>
      </c>
      <c r="AW810" s="1">
        <v>20.0</v>
      </c>
      <c r="AX810" s="1" t="s">
        <v>74</v>
      </c>
      <c r="AY810" s="1" t="s">
        <v>74</v>
      </c>
      <c r="AZ810" s="1" t="s">
        <v>74</v>
      </c>
      <c r="BA810" s="1" t="s">
        <v>74</v>
      </c>
      <c r="BB810" s="1">
        <v>6570.0</v>
      </c>
      <c r="BC810" s="1">
        <v>6573.0</v>
      </c>
      <c r="BD810" s="1" t="s">
        <v>74</v>
      </c>
      <c r="BE810" s="1" t="s">
        <v>7592</v>
      </c>
      <c r="BF810" s="2" t="str">
        <f>HYPERLINK("http://dx.doi.org/10.1021/ma990946x","http://dx.doi.org/10.1021/ma990946x")</f>
        <v>http://dx.doi.org/10.1021/ma990946x</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7593</v>
      </c>
      <c r="BT810" s="1" t="str">
        <f>HYPERLINK("https%3A%2F%2Fwww.webofscience.com%2Fwos%2Fwoscc%2Ffull-record%2FWOS:000083003300025","View Full Record in Web of Science")</f>
        <v>View Full Record in Web of Science</v>
      </c>
    </row>
    <row r="811" ht="12.75" customHeight="1">
      <c r="A811" s="1" t="s">
        <v>72</v>
      </c>
      <c r="B811" s="1" t="s">
        <v>7594</v>
      </c>
      <c r="C811" s="1" t="s">
        <v>74</v>
      </c>
      <c r="D811" s="1" t="s">
        <v>74</v>
      </c>
      <c r="E811" s="1" t="s">
        <v>74</v>
      </c>
      <c r="F811" s="1" t="s">
        <v>7594</v>
      </c>
      <c r="G811" s="1" t="s">
        <v>74</v>
      </c>
      <c r="H811" s="1" t="s">
        <v>74</v>
      </c>
      <c r="I811" s="1" t="s">
        <v>7595</v>
      </c>
      <c r="J811" s="1" t="s">
        <v>4545</v>
      </c>
      <c r="K811" s="1" t="s">
        <v>74</v>
      </c>
      <c r="L811" s="1" t="s">
        <v>74</v>
      </c>
      <c r="M811" s="1" t="s">
        <v>74</v>
      </c>
      <c r="N811" s="1" t="s">
        <v>74</v>
      </c>
      <c r="O811" s="1" t="s">
        <v>74</v>
      </c>
      <c r="P811" s="1" t="s">
        <v>74</v>
      </c>
      <c r="Q811" s="1" t="s">
        <v>74</v>
      </c>
      <c r="R811" s="1" t="s">
        <v>74</v>
      </c>
      <c r="S811" s="1" t="s">
        <v>74</v>
      </c>
      <c r="T811" s="1" t="s">
        <v>74</v>
      </c>
      <c r="U811" s="1" t="s">
        <v>74</v>
      </c>
      <c r="V811" s="1" t="s">
        <v>7596</v>
      </c>
      <c r="W811" s="1" t="s">
        <v>74</v>
      </c>
      <c r="X811" s="1" t="s">
        <v>74</v>
      </c>
      <c r="Y811" s="1" t="s">
        <v>74</v>
      </c>
      <c r="Z811" s="1" t="s">
        <v>74</v>
      </c>
      <c r="AA811" s="1" t="s">
        <v>859</v>
      </c>
      <c r="AB811" s="1" t="s">
        <v>74</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4546</v>
      </c>
      <c r="AP811" s="1" t="s">
        <v>74</v>
      </c>
      <c r="AQ811" s="1" t="s">
        <v>74</v>
      </c>
      <c r="AR811" s="1" t="s">
        <v>74</v>
      </c>
      <c r="AS811" s="1" t="s">
        <v>74</v>
      </c>
      <c r="AT811" s="1" t="s">
        <v>7597</v>
      </c>
      <c r="AU811" s="1">
        <v>1999.0</v>
      </c>
      <c r="AV811" s="1">
        <v>32.0</v>
      </c>
      <c r="AW811" s="1">
        <v>9.0</v>
      </c>
      <c r="AX811" s="1" t="s">
        <v>74</v>
      </c>
      <c r="AY811" s="1" t="s">
        <v>74</v>
      </c>
      <c r="AZ811" s="1" t="s">
        <v>74</v>
      </c>
      <c r="BA811" s="1" t="s">
        <v>74</v>
      </c>
      <c r="BB811" s="1">
        <v>2920.0</v>
      </c>
      <c r="BC811" s="1">
        <v>2924.0</v>
      </c>
      <c r="BD811" s="1" t="s">
        <v>74</v>
      </c>
      <c r="BE811" s="1" t="s">
        <v>7598</v>
      </c>
      <c r="BF811" s="2" t="str">
        <f>HYPERLINK("http://dx.doi.org/10.1021/ma981246f","http://dx.doi.org/10.1021/ma981246f")</f>
        <v>http://dx.doi.org/10.1021/ma981246f</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7599</v>
      </c>
      <c r="BT811" s="1" t="str">
        <f>HYPERLINK("https%3A%2F%2Fwww.webofscience.com%2Fwos%2Fwoscc%2Ffull-record%2FWOS:000080179200017","View Full Record in Web of Science")</f>
        <v>View Full Record in Web of Science</v>
      </c>
    </row>
    <row r="812" ht="12.75" customHeight="1">
      <c r="A812" s="1" t="s">
        <v>72</v>
      </c>
      <c r="B812" s="1" t="s">
        <v>7600</v>
      </c>
      <c r="C812" s="1" t="s">
        <v>74</v>
      </c>
      <c r="D812" s="1" t="s">
        <v>74</v>
      </c>
      <c r="E812" s="1" t="s">
        <v>74</v>
      </c>
      <c r="F812" s="1" t="s">
        <v>7600</v>
      </c>
      <c r="G812" s="1" t="s">
        <v>74</v>
      </c>
      <c r="H812" s="1" t="s">
        <v>74</v>
      </c>
      <c r="I812" s="1" t="s">
        <v>7601</v>
      </c>
      <c r="J812" s="1" t="s">
        <v>7602</v>
      </c>
      <c r="K812" s="1" t="s">
        <v>74</v>
      </c>
      <c r="L812" s="1" t="s">
        <v>74</v>
      </c>
      <c r="M812" s="1" t="s">
        <v>74</v>
      </c>
      <c r="N812" s="1" t="s">
        <v>74</v>
      </c>
      <c r="O812" s="1" t="s">
        <v>74</v>
      </c>
      <c r="P812" s="1" t="s">
        <v>74</v>
      </c>
      <c r="Q812" s="1" t="s">
        <v>74</v>
      </c>
      <c r="R812" s="1" t="s">
        <v>74</v>
      </c>
      <c r="S812" s="1" t="s">
        <v>74</v>
      </c>
      <c r="T812" s="1" t="s">
        <v>74</v>
      </c>
      <c r="U812" s="1" t="s">
        <v>74</v>
      </c>
      <c r="V812" s="1" t="s">
        <v>7603</v>
      </c>
      <c r="W812" s="1" t="s">
        <v>74</v>
      </c>
      <c r="X812" s="1" t="s">
        <v>74</v>
      </c>
      <c r="Y812" s="1" t="s">
        <v>74</v>
      </c>
      <c r="Z812" s="1" t="s">
        <v>74</v>
      </c>
      <c r="AA812" s="1" t="s">
        <v>7604</v>
      </c>
      <c r="AB812" s="1" t="s">
        <v>7605</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7606</v>
      </c>
      <c r="AP812" s="1" t="s">
        <v>74</v>
      </c>
      <c r="AQ812" s="1" t="s">
        <v>74</v>
      </c>
      <c r="AR812" s="1" t="s">
        <v>74</v>
      </c>
      <c r="AS812" s="1" t="s">
        <v>74</v>
      </c>
      <c r="AT812" s="1" t="s">
        <v>647</v>
      </c>
      <c r="AU812" s="1">
        <v>1997.0</v>
      </c>
      <c r="AV812" s="1">
        <v>7.0</v>
      </c>
      <c r="AW812" s="1">
        <v>8.0</v>
      </c>
      <c r="AX812" s="1" t="s">
        <v>74</v>
      </c>
      <c r="AY812" s="1" t="s">
        <v>74</v>
      </c>
      <c r="AZ812" s="1" t="s">
        <v>74</v>
      </c>
      <c r="BA812" s="1" t="s">
        <v>74</v>
      </c>
      <c r="BB812" s="1">
        <v>1641.0</v>
      </c>
      <c r="BC812" s="1">
        <v>1645.0</v>
      </c>
      <c r="BD812" s="1" t="s">
        <v>74</v>
      </c>
      <c r="BE812" s="1" t="s">
        <v>7607</v>
      </c>
      <c r="BF812" s="2" t="str">
        <f>HYPERLINK("http://dx.doi.org/10.1039/a702077e","http://dx.doi.org/10.1039/a702077e")</f>
        <v>http://dx.doi.org/10.1039/a702077e</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7608</v>
      </c>
      <c r="BT812" s="1" t="str">
        <f>HYPERLINK("https%3A%2F%2Fwww.webofscience.com%2Fwos%2Fwoscc%2Ffull-record%2FWOS:A1997XQ20900056","View Full Record in Web of Science")</f>
        <v>View Full Record in Web of Science</v>
      </c>
    </row>
    <row r="813" ht="12.75" customHeight="1">
      <c r="A813" s="1" t="s">
        <v>72</v>
      </c>
      <c r="B813" s="1" t="s">
        <v>7609</v>
      </c>
      <c r="C813" s="1" t="s">
        <v>74</v>
      </c>
      <c r="D813" s="1" t="s">
        <v>74</v>
      </c>
      <c r="E813" s="1" t="s">
        <v>74</v>
      </c>
      <c r="F813" s="1" t="s">
        <v>7609</v>
      </c>
      <c r="G813" s="1" t="s">
        <v>74</v>
      </c>
      <c r="H813" s="1" t="s">
        <v>74</v>
      </c>
      <c r="I813" s="1" t="s">
        <v>7610</v>
      </c>
      <c r="J813" s="1" t="s">
        <v>7611</v>
      </c>
      <c r="K813" s="1" t="s">
        <v>74</v>
      </c>
      <c r="L813" s="1" t="s">
        <v>74</v>
      </c>
      <c r="M813" s="1" t="s">
        <v>74</v>
      </c>
      <c r="N813" s="1" t="s">
        <v>74</v>
      </c>
      <c r="O813" s="1" t="s">
        <v>74</v>
      </c>
      <c r="P813" s="1" t="s">
        <v>74</v>
      </c>
      <c r="Q813" s="1" t="s">
        <v>74</v>
      </c>
      <c r="R813" s="1" t="s">
        <v>74</v>
      </c>
      <c r="S813" s="1" t="s">
        <v>74</v>
      </c>
      <c r="T813" s="1" t="s">
        <v>74</v>
      </c>
      <c r="U813" s="1" t="s">
        <v>74</v>
      </c>
      <c r="V813" s="1" t="s">
        <v>7612</v>
      </c>
      <c r="W813" s="1" t="s">
        <v>74</v>
      </c>
      <c r="X813" s="1" t="s">
        <v>74</v>
      </c>
      <c r="Y813" s="1" t="s">
        <v>74</v>
      </c>
      <c r="Z813" s="1" t="s">
        <v>74</v>
      </c>
      <c r="AA813" s="1" t="s">
        <v>74</v>
      </c>
      <c r="AB813" s="1" t="s">
        <v>74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7613</v>
      </c>
      <c r="AP813" s="1" t="s">
        <v>74</v>
      </c>
      <c r="AQ813" s="1" t="s">
        <v>74</v>
      </c>
      <c r="AR813" s="1" t="s">
        <v>74</v>
      </c>
      <c r="AS813" s="1" t="s">
        <v>74</v>
      </c>
      <c r="AT813" s="1" t="s">
        <v>1174</v>
      </c>
      <c r="AU813" s="1">
        <v>1996.0</v>
      </c>
      <c r="AV813" s="1">
        <v>367.0</v>
      </c>
      <c r="AW813" s="1" t="s">
        <v>74</v>
      </c>
      <c r="AX813" s="1" t="s">
        <v>74</v>
      </c>
      <c r="AY813" s="1" t="s">
        <v>74</v>
      </c>
      <c r="AZ813" s="1" t="s">
        <v>74</v>
      </c>
      <c r="BA813" s="1" t="s">
        <v>74</v>
      </c>
      <c r="BB813" s="1">
        <v>97.0</v>
      </c>
      <c r="BC813" s="1">
        <v>110.0</v>
      </c>
      <c r="BD813" s="1" t="s">
        <v>74</v>
      </c>
      <c r="BE813" s="1" t="s">
        <v>7614</v>
      </c>
      <c r="BF813" s="2" t="str">
        <f>HYPERLINK("http://dx.doi.org/10.1016/S0166-1280(96)04575-7","http://dx.doi.org/10.1016/S0166-1280(96)04575-7")</f>
        <v>http://dx.doi.org/10.1016/S0166-1280(96)04575-7</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7615</v>
      </c>
      <c r="BT813" s="1" t="str">
        <f>HYPERLINK("https%3A%2F%2Fwww.webofscience.com%2Fwos%2Fwoscc%2Ffull-record%2FWOS:A1996VV06100013","View Full Record in Web of Science")</f>
        <v>View Full Record in Web of Science</v>
      </c>
    </row>
    <row r="814" ht="12.75" customHeight="1">
      <c r="A814" s="1" t="s">
        <v>72</v>
      </c>
      <c r="B814" s="1" t="s">
        <v>7616</v>
      </c>
      <c r="C814" s="1" t="s">
        <v>74</v>
      </c>
      <c r="D814" s="1" t="s">
        <v>74</v>
      </c>
      <c r="E814" s="1" t="s">
        <v>74</v>
      </c>
      <c r="F814" s="1" t="s">
        <v>7617</v>
      </c>
      <c r="G814" s="1" t="s">
        <v>74</v>
      </c>
      <c r="H814" s="1" t="s">
        <v>74</v>
      </c>
      <c r="I814" s="1" t="s">
        <v>7618</v>
      </c>
      <c r="J814" s="1" t="s">
        <v>7619</v>
      </c>
      <c r="K814" s="1" t="s">
        <v>74</v>
      </c>
      <c r="L814" s="1" t="s">
        <v>74</v>
      </c>
      <c r="M814" s="1" t="s">
        <v>74</v>
      </c>
      <c r="N814" s="1" t="s">
        <v>74</v>
      </c>
      <c r="O814" s="1" t="s">
        <v>74</v>
      </c>
      <c r="P814" s="1" t="s">
        <v>74</v>
      </c>
      <c r="Q814" s="1" t="s">
        <v>74</v>
      </c>
      <c r="R814" s="1" t="s">
        <v>74</v>
      </c>
      <c r="S814" s="1" t="s">
        <v>74</v>
      </c>
      <c r="T814" s="1" t="s">
        <v>74</v>
      </c>
      <c r="U814" s="1" t="s">
        <v>74</v>
      </c>
      <c r="V814" s="1" t="s">
        <v>7620</v>
      </c>
      <c r="W814" s="1" t="s">
        <v>74</v>
      </c>
      <c r="X814" s="1" t="s">
        <v>74</v>
      </c>
      <c r="Y814" s="1" t="s">
        <v>74</v>
      </c>
      <c r="Z814" s="1" t="s">
        <v>74</v>
      </c>
      <c r="AA814" s="1" t="s">
        <v>3093</v>
      </c>
      <c r="AB814" s="1" t="s">
        <v>3094</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7621</v>
      </c>
      <c r="AP814" s="1" t="s">
        <v>7622</v>
      </c>
      <c r="AQ814" s="1" t="s">
        <v>74</v>
      </c>
      <c r="AR814" s="1" t="s">
        <v>74</v>
      </c>
      <c r="AS814" s="1" t="s">
        <v>74</v>
      </c>
      <c r="AT814" s="1" t="s">
        <v>74</v>
      </c>
      <c r="AU814" s="1">
        <v>1996.0</v>
      </c>
      <c r="AV814" s="1">
        <v>3.0</v>
      </c>
      <c r="AW814" s="1">
        <v>4.0</v>
      </c>
      <c r="AX814" s="1" t="s">
        <v>74</v>
      </c>
      <c r="AY814" s="1" t="s">
        <v>74</v>
      </c>
      <c r="AZ814" s="1" t="s">
        <v>74</v>
      </c>
      <c r="BA814" s="1" t="s">
        <v>74</v>
      </c>
      <c r="BB814" s="1">
        <v>284.0</v>
      </c>
      <c r="BC814" s="1">
        <v>290.0</v>
      </c>
      <c r="BD814" s="1" t="s">
        <v>74</v>
      </c>
      <c r="BE814" s="1" t="s">
        <v>7623</v>
      </c>
      <c r="BF814" s="2" t="str">
        <f>HYPERLINK("http://dx.doi.org/10.5194/npg-3-284-1996","http://dx.doi.org/10.5194/npg-3-284-1996")</f>
        <v>http://dx.doi.org/10.5194/npg-3-284-1996</v>
      </c>
      <c r="BG814" s="1" t="s">
        <v>74</v>
      </c>
      <c r="BH814" s="1" t="s">
        <v>74</v>
      </c>
      <c r="BI814" s="1" t="s">
        <v>74</v>
      </c>
      <c r="BJ814" s="1" t="s">
        <v>74</v>
      </c>
      <c r="BK814" s="1" t="s">
        <v>74</v>
      </c>
      <c r="BL814" s="1" t="s">
        <v>74</v>
      </c>
      <c r="BM814" s="1" t="s">
        <v>74</v>
      </c>
      <c r="BN814" s="1" t="s">
        <v>74</v>
      </c>
      <c r="BO814" s="1" t="s">
        <v>74</v>
      </c>
      <c r="BP814" s="1" t="s">
        <v>74</v>
      </c>
      <c r="BQ814" s="1" t="s">
        <v>74</v>
      </c>
      <c r="BR814" s="1" t="s">
        <v>74</v>
      </c>
      <c r="BS814" s="1" t="s">
        <v>7624</v>
      </c>
      <c r="BT814" s="1" t="str">
        <f>HYPERLINK("https%3A%2F%2Fwww.webofscience.com%2Fwos%2Fwoscc%2Ffull-record%2FWOS:000509574300007","View Full Record in Web of Science")</f>
        <v>View Full Record in Web of Science</v>
      </c>
    </row>
    <row r="815" ht="12.75" customHeight="1">
      <c r="A815" s="1" t="s">
        <v>72</v>
      </c>
      <c r="B815" s="1" t="s">
        <v>7625</v>
      </c>
      <c r="C815" s="1" t="s">
        <v>74</v>
      </c>
      <c r="D815" s="1" t="s">
        <v>74</v>
      </c>
      <c r="E815" s="1" t="s">
        <v>74</v>
      </c>
      <c r="F815" s="1" t="s">
        <v>7626</v>
      </c>
      <c r="G815" s="1" t="s">
        <v>74</v>
      </c>
      <c r="H815" s="1" t="s">
        <v>74</v>
      </c>
      <c r="I815" s="1" t="s">
        <v>7627</v>
      </c>
      <c r="J815" s="1" t="s">
        <v>7628</v>
      </c>
      <c r="K815" s="1" t="s">
        <v>74</v>
      </c>
      <c r="L815" s="1" t="s">
        <v>74</v>
      </c>
      <c r="M815" s="1" t="s">
        <v>74</v>
      </c>
      <c r="N815" s="1" t="s">
        <v>74</v>
      </c>
      <c r="O815" s="1" t="s">
        <v>74</v>
      </c>
      <c r="P815" s="1" t="s">
        <v>74</v>
      </c>
      <c r="Q815" s="1" t="s">
        <v>74</v>
      </c>
      <c r="R815" s="1" t="s">
        <v>74</v>
      </c>
      <c r="S815" s="1" t="s">
        <v>74</v>
      </c>
      <c r="T815" s="1" t="s">
        <v>74</v>
      </c>
      <c r="U815" s="1" t="s">
        <v>74</v>
      </c>
      <c r="V815" s="1" t="s">
        <v>7629</v>
      </c>
      <c r="W815" s="1" t="s">
        <v>74</v>
      </c>
      <c r="X815" s="1" t="s">
        <v>74</v>
      </c>
      <c r="Y815" s="1" t="s">
        <v>74</v>
      </c>
      <c r="Z815" s="1" t="s">
        <v>74</v>
      </c>
      <c r="AA815" s="1" t="s">
        <v>7630</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7631</v>
      </c>
      <c r="AP815" s="1" t="s">
        <v>74</v>
      </c>
      <c r="AQ815" s="1" t="s">
        <v>74</v>
      </c>
      <c r="AR815" s="1" t="s">
        <v>74</v>
      </c>
      <c r="AS815" s="1" t="s">
        <v>74</v>
      </c>
      <c r="AT815" s="1" t="s">
        <v>4111</v>
      </c>
      <c r="AU815" s="1">
        <v>2025.0</v>
      </c>
      <c r="AV815" s="1">
        <v>11.0</v>
      </c>
      <c r="AW815" s="1">
        <v>1.0</v>
      </c>
      <c r="AX815" s="1" t="s">
        <v>74</v>
      </c>
      <c r="AY815" s="1" t="s">
        <v>74</v>
      </c>
      <c r="AZ815" s="1" t="s">
        <v>74</v>
      </c>
      <c r="BA815" s="1" t="s">
        <v>74</v>
      </c>
      <c r="BB815" s="1" t="s">
        <v>74</v>
      </c>
      <c r="BC815" s="1" t="s">
        <v>74</v>
      </c>
      <c r="BD815" s="1">
        <v>2480265.0</v>
      </c>
      <c r="BE815" s="1" t="s">
        <v>7632</v>
      </c>
      <c r="BF815" s="2" t="str">
        <f>HYPERLINK("http://dx.doi.org/10.1080/23311932.2025.2480265","http://dx.doi.org/10.1080/23311932.2025.2480265")</f>
        <v>http://dx.doi.org/10.1080/23311932.2025.2480265</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7633</v>
      </c>
      <c r="BT815" s="1" t="str">
        <f>HYPERLINK("https%3A%2F%2Fwww.webofscience.com%2Fwos%2Fwoscc%2Ffull-record%2FWOS:001455949200001","View Full Record in Web of Science")</f>
        <v>View Full Record in Web of Science</v>
      </c>
    </row>
    <row r="816" ht="12.75" customHeight="1">
      <c r="A816" s="1" t="s">
        <v>72</v>
      </c>
      <c r="B816" s="1" t="s">
        <v>7634</v>
      </c>
      <c r="C816" s="1" t="s">
        <v>74</v>
      </c>
      <c r="D816" s="1" t="s">
        <v>74</v>
      </c>
      <c r="E816" s="1" t="s">
        <v>74</v>
      </c>
      <c r="F816" s="1" t="s">
        <v>7635</v>
      </c>
      <c r="G816" s="1" t="s">
        <v>74</v>
      </c>
      <c r="H816" s="1" t="s">
        <v>74</v>
      </c>
      <c r="I816" s="1" t="s">
        <v>7636</v>
      </c>
      <c r="J816" s="1" t="s">
        <v>1216</v>
      </c>
      <c r="K816" s="1" t="s">
        <v>74</v>
      </c>
      <c r="L816" s="1" t="s">
        <v>74</v>
      </c>
      <c r="M816" s="1" t="s">
        <v>74</v>
      </c>
      <c r="N816" s="1" t="s">
        <v>74</v>
      </c>
      <c r="O816" s="1" t="s">
        <v>74</v>
      </c>
      <c r="P816" s="1" t="s">
        <v>74</v>
      </c>
      <c r="Q816" s="1" t="s">
        <v>74</v>
      </c>
      <c r="R816" s="1" t="s">
        <v>74</v>
      </c>
      <c r="S816" s="1" t="s">
        <v>74</v>
      </c>
      <c r="T816" s="1" t="s">
        <v>74</v>
      </c>
      <c r="U816" s="1" t="s">
        <v>74</v>
      </c>
      <c r="V816" s="1" t="s">
        <v>7637</v>
      </c>
      <c r="W816" s="1" t="s">
        <v>74</v>
      </c>
      <c r="X816" s="1" t="s">
        <v>74</v>
      </c>
      <c r="Y816" s="1" t="s">
        <v>74</v>
      </c>
      <c r="Z816" s="1" t="s">
        <v>74</v>
      </c>
      <c r="AA816" s="1" t="s">
        <v>7638</v>
      </c>
      <c r="AB816" s="1" t="s">
        <v>7639</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1220</v>
      </c>
      <c r="AP816" s="1" t="s">
        <v>4081</v>
      </c>
      <c r="AQ816" s="1" t="s">
        <v>74</v>
      </c>
      <c r="AR816" s="1" t="s">
        <v>74</v>
      </c>
      <c r="AS816" s="1" t="s">
        <v>74</v>
      </c>
      <c r="AT816" s="1" t="s">
        <v>647</v>
      </c>
      <c r="AU816" s="1">
        <v>2024.0</v>
      </c>
      <c r="AV816" s="1">
        <v>855.0</v>
      </c>
      <c r="AW816" s="1" t="s">
        <v>74</v>
      </c>
      <c r="AX816" s="1" t="s">
        <v>74</v>
      </c>
      <c r="AY816" s="1" t="s">
        <v>74</v>
      </c>
      <c r="AZ816" s="1" t="s">
        <v>74</v>
      </c>
      <c r="BA816" s="1" t="s">
        <v>74</v>
      </c>
      <c r="BB816" s="1" t="s">
        <v>74</v>
      </c>
      <c r="BC816" s="1" t="s">
        <v>74</v>
      </c>
      <c r="BD816" s="1">
        <v>138819.0</v>
      </c>
      <c r="BE816" s="1" t="s">
        <v>7640</v>
      </c>
      <c r="BF816" s="2" t="str">
        <f>HYPERLINK("http://dx.doi.org/10.1016/j.physletb.2024.138819","http://dx.doi.org/10.1016/j.physletb.2024.138819")</f>
        <v>http://dx.doi.org/10.1016/j.physletb.2024.138819</v>
      </c>
      <c r="BG816" s="1" t="s">
        <v>74</v>
      </c>
      <c r="BH816" s="1" t="s">
        <v>7641</v>
      </c>
      <c r="BI816" s="1" t="s">
        <v>74</v>
      </c>
      <c r="BJ816" s="1" t="s">
        <v>74</v>
      </c>
      <c r="BK816" s="1" t="s">
        <v>74</v>
      </c>
      <c r="BL816" s="1" t="s">
        <v>74</v>
      </c>
      <c r="BM816" s="1" t="s">
        <v>74</v>
      </c>
      <c r="BN816" s="1" t="s">
        <v>74</v>
      </c>
      <c r="BO816" s="1" t="s">
        <v>74</v>
      </c>
      <c r="BP816" s="1" t="s">
        <v>74</v>
      </c>
      <c r="BQ816" s="1" t="s">
        <v>74</v>
      </c>
      <c r="BR816" s="1" t="s">
        <v>74</v>
      </c>
      <c r="BS816" s="1" t="s">
        <v>7642</v>
      </c>
      <c r="BT816" s="1" t="str">
        <f>HYPERLINK("https%3A%2F%2Fwww.webofscience.com%2Fwos%2Fwoscc%2Ffull-record%2FWOS:001261240600001","View Full Record in Web of Science")</f>
        <v>View Full Record in Web of Science</v>
      </c>
    </row>
    <row r="817" ht="12.75" customHeight="1">
      <c r="A817" s="1" t="s">
        <v>346</v>
      </c>
      <c r="B817" s="1" t="s">
        <v>7643</v>
      </c>
      <c r="C817" s="1" t="s">
        <v>74</v>
      </c>
      <c r="D817" s="1" t="s">
        <v>74</v>
      </c>
      <c r="E817" s="1" t="s">
        <v>7644</v>
      </c>
      <c r="F817" s="1" t="s">
        <v>7645</v>
      </c>
      <c r="G817" s="1" t="s">
        <v>74</v>
      </c>
      <c r="H817" s="1" t="s">
        <v>74</v>
      </c>
      <c r="I817" s="1" t="s">
        <v>7646</v>
      </c>
      <c r="J817" s="1" t="s">
        <v>7647</v>
      </c>
      <c r="K817" s="1" t="s">
        <v>7648</v>
      </c>
      <c r="L817" s="1" t="s">
        <v>74</v>
      </c>
      <c r="M817" s="1" t="s">
        <v>74</v>
      </c>
      <c r="N817" s="1" t="s">
        <v>74</v>
      </c>
      <c r="O817" s="1" t="s">
        <v>7649</v>
      </c>
      <c r="P817" s="1" t="s">
        <v>7650</v>
      </c>
      <c r="Q817" s="1" t="s">
        <v>7651</v>
      </c>
      <c r="R817" s="1" t="s">
        <v>7652</v>
      </c>
      <c r="S817" s="1" t="s">
        <v>74</v>
      </c>
      <c r="T817" s="1" t="s">
        <v>74</v>
      </c>
      <c r="U817" s="1" t="s">
        <v>74</v>
      </c>
      <c r="V817" s="1" t="s">
        <v>7653</v>
      </c>
      <c r="W817" s="1" t="s">
        <v>74</v>
      </c>
      <c r="X817" s="1" t="s">
        <v>74</v>
      </c>
      <c r="Y817" s="1" t="s">
        <v>74</v>
      </c>
      <c r="Z817" s="1" t="s">
        <v>74</v>
      </c>
      <c r="AA817" s="1" t="s">
        <v>7654</v>
      </c>
      <c r="AB817" s="1" t="s">
        <v>74</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7655</v>
      </c>
      <c r="AP817" s="1" t="s">
        <v>74</v>
      </c>
      <c r="AQ817" s="1" t="s">
        <v>7656</v>
      </c>
      <c r="AR817" s="1" t="s">
        <v>74</v>
      </c>
      <c r="AS817" s="1" t="s">
        <v>74</v>
      </c>
      <c r="AT817" s="1" t="s">
        <v>74</v>
      </c>
      <c r="AU817" s="1">
        <v>2024.0</v>
      </c>
      <c r="AV817" s="1" t="s">
        <v>74</v>
      </c>
      <c r="AW817" s="1" t="s">
        <v>74</v>
      </c>
      <c r="AX817" s="1" t="s">
        <v>74</v>
      </c>
      <c r="AY817" s="1" t="s">
        <v>74</v>
      </c>
      <c r="AZ817" s="1" t="s">
        <v>74</v>
      </c>
      <c r="BA817" s="1" t="s">
        <v>74</v>
      </c>
      <c r="BB817" s="1" t="s">
        <v>74</v>
      </c>
      <c r="BC817" s="1" t="s">
        <v>74</v>
      </c>
      <c r="BD817" s="1">
        <v>153.0</v>
      </c>
      <c r="BE817" s="1" t="s">
        <v>7657</v>
      </c>
      <c r="BF817" s="2" t="str">
        <f>HYPERLINK("http://dx.doi.org/10.1109/ANDESCON61840.2024.10755891","http://dx.doi.org/10.1109/ANDESCON61840.2024.10755891")</f>
        <v>http://dx.doi.org/10.1109/ANDESCON61840.2024.10755891</v>
      </c>
      <c r="BG817" s="1" t="s">
        <v>74</v>
      </c>
      <c r="BH817" s="1" t="s">
        <v>74</v>
      </c>
      <c r="BI817" s="1" t="s">
        <v>74</v>
      </c>
      <c r="BJ817" s="1" t="s">
        <v>74</v>
      </c>
      <c r="BK817" s="1" t="s">
        <v>74</v>
      </c>
      <c r="BL817" s="1" t="s">
        <v>74</v>
      </c>
      <c r="BM817" s="1" t="s">
        <v>74</v>
      </c>
      <c r="BN817" s="1" t="s">
        <v>74</v>
      </c>
      <c r="BO817" s="1" t="s">
        <v>74</v>
      </c>
      <c r="BP817" s="1" t="s">
        <v>74</v>
      </c>
      <c r="BQ817" s="1" t="s">
        <v>74</v>
      </c>
      <c r="BR817" s="1" t="s">
        <v>74</v>
      </c>
      <c r="BS817" s="1" t="s">
        <v>7658</v>
      </c>
      <c r="BT817" s="1" t="str">
        <f>HYPERLINK("https%3A%2F%2Fwww.webofscience.com%2Fwos%2Fwoscc%2Ffull-record%2FWOS:001417553200106","View Full Record in Web of Science")</f>
        <v>View Full Record in Web of Science</v>
      </c>
    </row>
    <row r="818" ht="12.75" customHeight="1">
      <c r="A818" s="1" t="s">
        <v>72</v>
      </c>
      <c r="B818" s="1" t="s">
        <v>7659</v>
      </c>
      <c r="C818" s="1" t="s">
        <v>74</v>
      </c>
      <c r="D818" s="1" t="s">
        <v>74</v>
      </c>
      <c r="E818" s="1" t="s">
        <v>74</v>
      </c>
      <c r="F818" s="1" t="s">
        <v>7660</v>
      </c>
      <c r="G818" s="1" t="s">
        <v>74</v>
      </c>
      <c r="H818" s="1" t="s">
        <v>74</v>
      </c>
      <c r="I818" s="1" t="s">
        <v>7661</v>
      </c>
      <c r="J818" s="1" t="s">
        <v>7662</v>
      </c>
      <c r="K818" s="1" t="s">
        <v>74</v>
      </c>
      <c r="L818" s="1" t="s">
        <v>74</v>
      </c>
      <c r="M818" s="1" t="s">
        <v>74</v>
      </c>
      <c r="N818" s="1" t="s">
        <v>74</v>
      </c>
      <c r="O818" s="1" t="s">
        <v>74</v>
      </c>
      <c r="P818" s="1" t="s">
        <v>74</v>
      </c>
      <c r="Q818" s="1" t="s">
        <v>74</v>
      </c>
      <c r="R818" s="1" t="s">
        <v>74</v>
      </c>
      <c r="S818" s="1" t="s">
        <v>74</v>
      </c>
      <c r="T818" s="1" t="s">
        <v>74</v>
      </c>
      <c r="U818" s="1" t="s">
        <v>74</v>
      </c>
      <c r="V818" s="1" t="s">
        <v>7663</v>
      </c>
      <c r="W818" s="1" t="s">
        <v>74</v>
      </c>
      <c r="X818" s="1" t="s">
        <v>74</v>
      </c>
      <c r="Y818" s="1" t="s">
        <v>74</v>
      </c>
      <c r="Z818" s="1" t="s">
        <v>74</v>
      </c>
      <c r="AA818" s="1" t="s">
        <v>3127</v>
      </c>
      <c r="AB818" s="1" t="s">
        <v>7664</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7665</v>
      </c>
      <c r="AP818" s="1" t="s">
        <v>7666</v>
      </c>
      <c r="AQ818" s="1" t="s">
        <v>74</v>
      </c>
      <c r="AR818" s="1" t="s">
        <v>74</v>
      </c>
      <c r="AS818" s="1" t="s">
        <v>74</v>
      </c>
      <c r="AT818" s="1" t="s">
        <v>4111</v>
      </c>
      <c r="AU818" s="1">
        <v>2023.0</v>
      </c>
      <c r="AV818" s="1">
        <v>9.0</v>
      </c>
      <c r="AW818" s="1">
        <v>1.0</v>
      </c>
      <c r="AX818" s="1" t="s">
        <v>74</v>
      </c>
      <c r="AY818" s="1" t="s">
        <v>74</v>
      </c>
      <c r="AZ818" s="1" t="s">
        <v>74</v>
      </c>
      <c r="BA818" s="1" t="s">
        <v>74</v>
      </c>
      <c r="BB818" s="1" t="s">
        <v>74</v>
      </c>
      <c r="BC818" s="1" t="s">
        <v>74</v>
      </c>
      <c r="BD818" s="1">
        <v>2163470.0</v>
      </c>
      <c r="BE818" s="1" t="s">
        <v>7667</v>
      </c>
      <c r="BF818" s="2" t="str">
        <f>HYPERLINK("http://dx.doi.org/10.1080/23288604.2022.2163470","http://dx.doi.org/10.1080/23288604.2022.2163470")</f>
        <v>http://dx.doi.org/10.1080/23288604.2022.2163470</v>
      </c>
      <c r="BG818" s="1" t="s">
        <v>74</v>
      </c>
      <c r="BH818" s="1" t="s">
        <v>74</v>
      </c>
      <c r="BI818" s="1" t="s">
        <v>74</v>
      </c>
      <c r="BJ818" s="1" t="s">
        <v>74</v>
      </c>
      <c r="BK818" s="1" t="s">
        <v>74</v>
      </c>
      <c r="BL818" s="1" t="s">
        <v>74</v>
      </c>
      <c r="BM818" s="1" t="s">
        <v>74</v>
      </c>
      <c r="BN818" s="1">
        <v>3.6696684E7</v>
      </c>
      <c r="BO818" s="1" t="s">
        <v>74</v>
      </c>
      <c r="BP818" s="1" t="s">
        <v>74</v>
      </c>
      <c r="BQ818" s="1" t="s">
        <v>74</v>
      </c>
      <c r="BR818" s="1" t="s">
        <v>74</v>
      </c>
      <c r="BS818" s="1" t="s">
        <v>7668</v>
      </c>
      <c r="BT818" s="1" t="str">
        <f>HYPERLINK("https%3A%2F%2Fwww.webofscience.com%2Fwos%2Fwoscc%2Ffull-record%2FWOS:000918375200001","View Full Record in Web of Science")</f>
        <v>View Full Record in Web of Science</v>
      </c>
    </row>
    <row r="819" ht="12.75" customHeight="1">
      <c r="A819" s="1" t="s">
        <v>72</v>
      </c>
      <c r="B819" s="1" t="s">
        <v>7669</v>
      </c>
      <c r="C819" s="1" t="s">
        <v>74</v>
      </c>
      <c r="D819" s="1" t="s">
        <v>74</v>
      </c>
      <c r="E819" s="1" t="s">
        <v>74</v>
      </c>
      <c r="F819" s="1" t="s">
        <v>7670</v>
      </c>
      <c r="G819" s="1" t="s">
        <v>74</v>
      </c>
      <c r="H819" s="1" t="s">
        <v>74</v>
      </c>
      <c r="I819" s="1" t="s">
        <v>7671</v>
      </c>
      <c r="J819" s="1" t="s">
        <v>4931</v>
      </c>
      <c r="K819" s="1" t="s">
        <v>74</v>
      </c>
      <c r="L819" s="1" t="s">
        <v>74</v>
      </c>
      <c r="M819" s="1" t="s">
        <v>74</v>
      </c>
      <c r="N819" s="1" t="s">
        <v>74</v>
      </c>
      <c r="O819" s="1" t="s">
        <v>7672</v>
      </c>
      <c r="P819" s="1" t="s">
        <v>7673</v>
      </c>
      <c r="Q819" s="1" t="s">
        <v>7674</v>
      </c>
      <c r="R819" s="1" t="s">
        <v>7675</v>
      </c>
      <c r="S819" s="1" t="s">
        <v>74</v>
      </c>
      <c r="T819" s="1" t="s">
        <v>74</v>
      </c>
      <c r="U819" s="1" t="s">
        <v>74</v>
      </c>
      <c r="V819" s="1" t="s">
        <v>74</v>
      </c>
      <c r="W819" s="1" t="s">
        <v>74</v>
      </c>
      <c r="X819" s="1" t="s">
        <v>74</v>
      </c>
      <c r="Y819" s="1" t="s">
        <v>74</v>
      </c>
      <c r="Z819" s="1" t="s">
        <v>74</v>
      </c>
      <c r="AA819" s="1" t="s">
        <v>7676</v>
      </c>
      <c r="AB819" s="1" t="s">
        <v>74</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4933</v>
      </c>
      <c r="AP819" s="1" t="s">
        <v>4934</v>
      </c>
      <c r="AQ819" s="1" t="s">
        <v>74</v>
      </c>
      <c r="AR819" s="1" t="s">
        <v>74</v>
      </c>
      <c r="AS819" s="1" t="s">
        <v>74</v>
      </c>
      <c r="AT819" s="1" t="s">
        <v>1467</v>
      </c>
      <c r="AU819" s="1">
        <v>2023.0</v>
      </c>
      <c r="AV819" s="1">
        <v>208.0</v>
      </c>
      <c r="AW819" s="1" t="s">
        <v>74</v>
      </c>
      <c r="AX819" s="1" t="s">
        <v>74</v>
      </c>
      <c r="AY819" s="1">
        <v>1.0</v>
      </c>
      <c r="AZ819" s="1" t="s">
        <v>74</v>
      </c>
      <c r="BA819" s="1">
        <v>317.0</v>
      </c>
      <c r="BB819" s="1" t="s">
        <v>7677</v>
      </c>
      <c r="BC819" s="1" t="s">
        <v>7677</v>
      </c>
      <c r="BD819" s="1" t="s">
        <v>74</v>
      </c>
      <c r="BE819" s="1" t="s">
        <v>7678</v>
      </c>
      <c r="BF819" s="2" t="str">
        <f>HYPERLINK("http://dx.doi.org/10.1016/j.freeradbiomed.2023.10.330","http://dx.doi.org/10.1016/j.freeradbiomed.2023.10.330")</f>
        <v>http://dx.doi.org/10.1016/j.freeradbiomed.2023.10.330</v>
      </c>
      <c r="BG819" s="1" t="s">
        <v>74</v>
      </c>
      <c r="BH819" s="1" t="s">
        <v>1259</v>
      </c>
      <c r="BI819" s="1" t="s">
        <v>74</v>
      </c>
      <c r="BJ819" s="1" t="s">
        <v>74</v>
      </c>
      <c r="BK819" s="1" t="s">
        <v>74</v>
      </c>
      <c r="BL819" s="1" t="s">
        <v>74</v>
      </c>
      <c r="BM819" s="1" t="s">
        <v>74</v>
      </c>
      <c r="BN819" s="1" t="s">
        <v>74</v>
      </c>
      <c r="BO819" s="1" t="s">
        <v>74</v>
      </c>
      <c r="BP819" s="1" t="s">
        <v>74</v>
      </c>
      <c r="BQ819" s="1" t="s">
        <v>74</v>
      </c>
      <c r="BR819" s="1" t="s">
        <v>74</v>
      </c>
      <c r="BS819" s="1" t="s">
        <v>7679</v>
      </c>
      <c r="BT819" s="1" t="str">
        <f>HYPERLINK("https%3A%2F%2Fwww.webofscience.com%2Fwos%2Fwoscc%2Ffull-record%2FWOS:001098825800320","View Full Record in Web of Science")</f>
        <v>View Full Record in Web of Science</v>
      </c>
    </row>
    <row r="820" ht="12.75" customHeight="1">
      <c r="A820" s="1" t="s">
        <v>72</v>
      </c>
      <c r="B820" s="1" t="s">
        <v>7680</v>
      </c>
      <c r="C820" s="1" t="s">
        <v>74</v>
      </c>
      <c r="D820" s="1" t="s">
        <v>74</v>
      </c>
      <c r="E820" s="1" t="s">
        <v>74</v>
      </c>
      <c r="F820" s="1" t="s">
        <v>7681</v>
      </c>
      <c r="G820" s="1" t="s">
        <v>74</v>
      </c>
      <c r="H820" s="1" t="s">
        <v>74</v>
      </c>
      <c r="I820" s="1" t="s">
        <v>7682</v>
      </c>
      <c r="J820" s="1" t="s">
        <v>1440</v>
      </c>
      <c r="K820" s="1" t="s">
        <v>74</v>
      </c>
      <c r="L820" s="1" t="s">
        <v>74</v>
      </c>
      <c r="M820" s="1" t="s">
        <v>74</v>
      </c>
      <c r="N820" s="1" t="s">
        <v>74</v>
      </c>
      <c r="O820" s="1" t="s">
        <v>74</v>
      </c>
      <c r="P820" s="1" t="s">
        <v>74</v>
      </c>
      <c r="Q820" s="1" t="s">
        <v>74</v>
      </c>
      <c r="R820" s="1" t="s">
        <v>74</v>
      </c>
      <c r="S820" s="1" t="s">
        <v>74</v>
      </c>
      <c r="T820" s="1" t="s">
        <v>74</v>
      </c>
      <c r="U820" s="1" t="s">
        <v>74</v>
      </c>
      <c r="V820" s="1" t="s">
        <v>74</v>
      </c>
      <c r="W820" s="1" t="s">
        <v>74</v>
      </c>
      <c r="X820" s="1" t="s">
        <v>74</v>
      </c>
      <c r="Y820" s="1" t="s">
        <v>74</v>
      </c>
      <c r="Z820" s="1" t="s">
        <v>74</v>
      </c>
      <c r="AA820" s="1" t="s">
        <v>1265</v>
      </c>
      <c r="AB820" s="1" t="s">
        <v>74</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1443</v>
      </c>
      <c r="AP820" s="1" t="s">
        <v>1444</v>
      </c>
      <c r="AQ820" s="1" t="s">
        <v>74</v>
      </c>
      <c r="AR820" s="1" t="s">
        <v>74</v>
      </c>
      <c r="AS820" s="1" t="s">
        <v>74</v>
      </c>
      <c r="AT820" s="1" t="s">
        <v>596</v>
      </c>
      <c r="AU820" s="1">
        <v>2022.0</v>
      </c>
      <c r="AV820" s="1">
        <v>150.0</v>
      </c>
      <c r="AW820" s="1">
        <v>11.0</v>
      </c>
      <c r="AX820" s="1" t="s">
        <v>74</v>
      </c>
      <c r="AY820" s="1" t="s">
        <v>74</v>
      </c>
      <c r="AZ820" s="1" t="s">
        <v>74</v>
      </c>
      <c r="BA820" s="1" t="s">
        <v>74</v>
      </c>
      <c r="BB820" s="1">
        <v>1547.0</v>
      </c>
      <c r="BC820" s="1">
        <v>1548.0</v>
      </c>
      <c r="BD820" s="1" t="s">
        <v>74</v>
      </c>
      <c r="BE820" s="1" t="s">
        <v>74</v>
      </c>
      <c r="BF820" s="1" t="s">
        <v>74</v>
      </c>
      <c r="BG820" s="1" t="s">
        <v>74</v>
      </c>
      <c r="BH820" s="1" t="s">
        <v>74</v>
      </c>
      <c r="BI820" s="1" t="s">
        <v>74</v>
      </c>
      <c r="BJ820" s="1" t="s">
        <v>74</v>
      </c>
      <c r="BK820" s="1" t="s">
        <v>74</v>
      </c>
      <c r="BL820" s="1" t="s">
        <v>74</v>
      </c>
      <c r="BM820" s="1" t="s">
        <v>74</v>
      </c>
      <c r="BN820" s="1">
        <v>3.7358183E7</v>
      </c>
      <c r="BO820" s="1" t="s">
        <v>74</v>
      </c>
      <c r="BP820" s="1" t="s">
        <v>74</v>
      </c>
      <c r="BQ820" s="1" t="s">
        <v>74</v>
      </c>
      <c r="BR820" s="1" t="s">
        <v>74</v>
      </c>
      <c r="BS820" s="1" t="s">
        <v>7683</v>
      </c>
      <c r="BT820" s="1" t="str">
        <f>HYPERLINK("https%3A%2F%2Fwww.webofscience.com%2Fwos%2Fwoscc%2Ffull-record%2FWOS:001002197900018","View Full Record in Web of Science")</f>
        <v>View Full Record in Web of Science</v>
      </c>
    </row>
    <row r="821" ht="12.75" customHeight="1">
      <c r="A821" s="1" t="s">
        <v>72</v>
      </c>
      <c r="B821" s="1" t="s">
        <v>7684</v>
      </c>
      <c r="C821" s="1" t="s">
        <v>74</v>
      </c>
      <c r="D821" s="1" t="s">
        <v>74</v>
      </c>
      <c r="E821" s="1" t="s">
        <v>74</v>
      </c>
      <c r="F821" s="1" t="s">
        <v>7685</v>
      </c>
      <c r="G821" s="1" t="s">
        <v>74</v>
      </c>
      <c r="H821" s="1" t="s">
        <v>74</v>
      </c>
      <c r="I821" s="1" t="s">
        <v>7686</v>
      </c>
      <c r="J821" s="1" t="s">
        <v>1440</v>
      </c>
      <c r="K821" s="1" t="s">
        <v>74</v>
      </c>
      <c r="L821" s="1" t="s">
        <v>74</v>
      </c>
      <c r="M821" s="1" t="s">
        <v>74</v>
      </c>
      <c r="N821" s="1" t="s">
        <v>74</v>
      </c>
      <c r="O821" s="1" t="s">
        <v>74</v>
      </c>
      <c r="P821" s="1" t="s">
        <v>74</v>
      </c>
      <c r="Q821" s="1" t="s">
        <v>74</v>
      </c>
      <c r="R821" s="1" t="s">
        <v>74</v>
      </c>
      <c r="S821" s="1" t="s">
        <v>74</v>
      </c>
      <c r="T821" s="1" t="s">
        <v>74</v>
      </c>
      <c r="U821" s="1" t="s">
        <v>74</v>
      </c>
      <c r="V821" s="1" t="s">
        <v>7687</v>
      </c>
      <c r="W821" s="1" t="s">
        <v>74</v>
      </c>
      <c r="X821" s="1" t="s">
        <v>74</v>
      </c>
      <c r="Y821" s="1" t="s">
        <v>74</v>
      </c>
      <c r="Z821" s="1" t="s">
        <v>74</v>
      </c>
      <c r="AA821" s="1" t="s">
        <v>74</v>
      </c>
      <c r="AB821" s="1" t="s">
        <v>74</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1443</v>
      </c>
      <c r="AP821" s="1" t="s">
        <v>1444</v>
      </c>
      <c r="AQ821" s="1" t="s">
        <v>74</v>
      </c>
      <c r="AR821" s="1" t="s">
        <v>74</v>
      </c>
      <c r="AS821" s="1" t="s">
        <v>74</v>
      </c>
      <c r="AT821" s="1" t="s">
        <v>496</v>
      </c>
      <c r="AU821" s="1">
        <v>2022.0</v>
      </c>
      <c r="AV821" s="1">
        <v>150.0</v>
      </c>
      <c r="AW821" s="1">
        <v>1.0</v>
      </c>
      <c r="AX821" s="1" t="s">
        <v>74</v>
      </c>
      <c r="AY821" s="1" t="s">
        <v>74</v>
      </c>
      <c r="AZ821" s="1" t="s">
        <v>74</v>
      </c>
      <c r="BA821" s="1" t="s">
        <v>74</v>
      </c>
      <c r="BB821" s="1">
        <v>125.0</v>
      </c>
      <c r="BC821" s="1">
        <v>130.0</v>
      </c>
      <c r="BD821" s="1" t="s">
        <v>74</v>
      </c>
      <c r="BE821" s="1" t="s">
        <v>74</v>
      </c>
      <c r="BF821" s="1" t="s">
        <v>74</v>
      </c>
      <c r="BG821" s="1" t="s">
        <v>74</v>
      </c>
      <c r="BH821" s="1" t="s">
        <v>74</v>
      </c>
      <c r="BI821" s="1" t="s">
        <v>74</v>
      </c>
      <c r="BJ821" s="1" t="s">
        <v>74</v>
      </c>
      <c r="BK821" s="1" t="s">
        <v>74</v>
      </c>
      <c r="BL821" s="1" t="s">
        <v>74</v>
      </c>
      <c r="BM821" s="1" t="s">
        <v>74</v>
      </c>
      <c r="BN821" s="1">
        <v>3.5856975E7</v>
      </c>
      <c r="BO821" s="1" t="s">
        <v>74</v>
      </c>
      <c r="BP821" s="1" t="s">
        <v>74</v>
      </c>
      <c r="BQ821" s="1" t="s">
        <v>74</v>
      </c>
      <c r="BR821" s="1" t="s">
        <v>74</v>
      </c>
      <c r="BS821" s="1" t="s">
        <v>7688</v>
      </c>
      <c r="BT821" s="1" t="str">
        <f>HYPERLINK("https%3A%2F%2Fwww.webofscience.com%2Fwos%2Fwoscc%2Ffull-record%2FWOS:000827225300016","View Full Record in Web of Science")</f>
        <v>View Full Record in Web of Science</v>
      </c>
    </row>
    <row r="822" ht="12.75" customHeight="1">
      <c r="A822" s="1" t="s">
        <v>72</v>
      </c>
      <c r="B822" s="1" t="s">
        <v>7689</v>
      </c>
      <c r="C822" s="1" t="s">
        <v>74</v>
      </c>
      <c r="D822" s="1" t="s">
        <v>74</v>
      </c>
      <c r="E822" s="1" t="s">
        <v>74</v>
      </c>
      <c r="F822" s="1" t="s">
        <v>7690</v>
      </c>
      <c r="G822" s="1" t="s">
        <v>74</v>
      </c>
      <c r="H822" s="1" t="s">
        <v>74</v>
      </c>
      <c r="I822" s="1" t="s">
        <v>7691</v>
      </c>
      <c r="J822" s="1" t="s">
        <v>7692</v>
      </c>
      <c r="K822" s="1" t="s">
        <v>74</v>
      </c>
      <c r="L822" s="1" t="s">
        <v>74</v>
      </c>
      <c r="M822" s="1" t="s">
        <v>74</v>
      </c>
      <c r="N822" s="1" t="s">
        <v>74</v>
      </c>
      <c r="O822" s="1" t="s">
        <v>74</v>
      </c>
      <c r="P822" s="1" t="s">
        <v>74</v>
      </c>
      <c r="Q822" s="1" t="s">
        <v>74</v>
      </c>
      <c r="R822" s="1" t="s">
        <v>74</v>
      </c>
      <c r="S822" s="1" t="s">
        <v>74</v>
      </c>
      <c r="T822" s="1" t="s">
        <v>74</v>
      </c>
      <c r="U822" s="1" t="s">
        <v>74</v>
      </c>
      <c r="V822" s="1" t="s">
        <v>7693</v>
      </c>
      <c r="W822" s="1" t="s">
        <v>74</v>
      </c>
      <c r="X822" s="1" t="s">
        <v>74</v>
      </c>
      <c r="Y822" s="1" t="s">
        <v>74</v>
      </c>
      <c r="Z822" s="1" t="s">
        <v>74</v>
      </c>
      <c r="AA822" s="1" t="s">
        <v>7694</v>
      </c>
      <c r="AB822" s="1" t="s">
        <v>7695</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74</v>
      </c>
      <c r="AP822" s="1" t="s">
        <v>7696</v>
      </c>
      <c r="AQ822" s="1" t="s">
        <v>74</v>
      </c>
      <c r="AR822" s="1" t="s">
        <v>74</v>
      </c>
      <c r="AS822" s="1" t="s">
        <v>74</v>
      </c>
      <c r="AT822" s="1" t="s">
        <v>461</v>
      </c>
      <c r="AU822" s="1">
        <v>2021.0</v>
      </c>
      <c r="AV822" s="1">
        <v>9.0</v>
      </c>
      <c r="AW822" s="1">
        <v>17.0</v>
      </c>
      <c r="AX822" s="1" t="s">
        <v>74</v>
      </c>
      <c r="AY822" s="1" t="s">
        <v>74</v>
      </c>
      <c r="AZ822" s="1" t="s">
        <v>74</v>
      </c>
      <c r="BA822" s="1" t="s">
        <v>74</v>
      </c>
      <c r="BB822" s="1" t="s">
        <v>74</v>
      </c>
      <c r="BC822" s="1" t="s">
        <v>74</v>
      </c>
      <c r="BD822" s="1">
        <v>2145.0</v>
      </c>
      <c r="BE822" s="1" t="s">
        <v>7697</v>
      </c>
      <c r="BF822" s="2" t="str">
        <f>HYPERLINK("http://dx.doi.org/10.3390/math9172145","http://dx.doi.org/10.3390/math9172145")</f>
        <v>http://dx.doi.org/10.3390/math9172145</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7698</v>
      </c>
      <c r="BT822" s="1" t="str">
        <f>HYPERLINK("https%3A%2F%2Fwww.webofscience.com%2Fwos%2Fwoscc%2Ffull-record%2FWOS:000694341900001","View Full Record in Web of Science")</f>
        <v>View Full Record in Web of Science</v>
      </c>
    </row>
    <row r="823" ht="12.75" customHeight="1">
      <c r="A823" s="1" t="s">
        <v>72</v>
      </c>
      <c r="B823" s="1" t="s">
        <v>7699</v>
      </c>
      <c r="C823" s="1" t="s">
        <v>74</v>
      </c>
      <c r="D823" s="1" t="s">
        <v>74</v>
      </c>
      <c r="E823" s="1" t="s">
        <v>74</v>
      </c>
      <c r="F823" s="1" t="s">
        <v>7700</v>
      </c>
      <c r="G823" s="1" t="s">
        <v>74</v>
      </c>
      <c r="H823" s="1" t="s">
        <v>74</v>
      </c>
      <c r="I823" s="1" t="s">
        <v>7701</v>
      </c>
      <c r="J823" s="1" t="s">
        <v>7702</v>
      </c>
      <c r="K823" s="1" t="s">
        <v>74</v>
      </c>
      <c r="L823" s="1" t="s">
        <v>74</v>
      </c>
      <c r="M823" s="1" t="s">
        <v>74</v>
      </c>
      <c r="N823" s="1" t="s">
        <v>74</v>
      </c>
      <c r="O823" s="1" t="s">
        <v>74</v>
      </c>
      <c r="P823" s="1" t="s">
        <v>74</v>
      </c>
      <c r="Q823" s="1" t="s">
        <v>74</v>
      </c>
      <c r="R823" s="1" t="s">
        <v>74</v>
      </c>
      <c r="S823" s="1" t="s">
        <v>74</v>
      </c>
      <c r="T823" s="1" t="s">
        <v>74</v>
      </c>
      <c r="U823" s="1" t="s">
        <v>74</v>
      </c>
      <c r="V823" s="1" t="s">
        <v>7703</v>
      </c>
      <c r="W823" s="1" t="s">
        <v>74</v>
      </c>
      <c r="X823" s="1" t="s">
        <v>74</v>
      </c>
      <c r="Y823" s="1" t="s">
        <v>74</v>
      </c>
      <c r="Z823" s="1" t="s">
        <v>74</v>
      </c>
      <c r="AA823" s="1" t="s">
        <v>7704</v>
      </c>
      <c r="AB823" s="1" t="s">
        <v>7705</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74</v>
      </c>
      <c r="AP823" s="1" t="s">
        <v>7706</v>
      </c>
      <c r="AQ823" s="1" t="s">
        <v>74</v>
      </c>
      <c r="AR823" s="1" t="s">
        <v>74</v>
      </c>
      <c r="AS823" s="1" t="s">
        <v>74</v>
      </c>
      <c r="AT823" s="1" t="s">
        <v>461</v>
      </c>
      <c r="AU823" s="1">
        <v>2021.0</v>
      </c>
      <c r="AV823" s="1">
        <v>9.0</v>
      </c>
      <c r="AW823" s="1">
        <v>9.0</v>
      </c>
      <c r="AX823" s="1" t="s">
        <v>74</v>
      </c>
      <c r="AY823" s="1" t="s">
        <v>74</v>
      </c>
      <c r="AZ823" s="1" t="s">
        <v>74</v>
      </c>
      <c r="BA823" s="1" t="s">
        <v>74</v>
      </c>
      <c r="BB823" s="1" t="s">
        <v>74</v>
      </c>
      <c r="BC823" s="1" t="s">
        <v>74</v>
      </c>
      <c r="BD823" s="1">
        <v>1607.0</v>
      </c>
      <c r="BE823" s="1" t="s">
        <v>7707</v>
      </c>
      <c r="BF823" s="2" t="str">
        <f>HYPERLINK("http://dx.doi.org/10.3390/pr9091607","http://dx.doi.org/10.3390/pr9091607")</f>
        <v>http://dx.doi.org/10.3390/pr9091607</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7708</v>
      </c>
      <c r="BT823" s="1" t="str">
        <f>HYPERLINK("https%3A%2F%2Fwww.webofscience.com%2Fwos%2Fwoscc%2Ffull-record%2FWOS:000701916700001","View Full Record in Web of Science")</f>
        <v>View Full Record in Web of Science</v>
      </c>
    </row>
    <row r="824" ht="12.75" customHeight="1">
      <c r="A824" s="1" t="s">
        <v>72</v>
      </c>
      <c r="B824" s="1" t="s">
        <v>7709</v>
      </c>
      <c r="C824" s="1" t="s">
        <v>74</v>
      </c>
      <c r="D824" s="1" t="s">
        <v>74</v>
      </c>
      <c r="E824" s="1" t="s">
        <v>74</v>
      </c>
      <c r="F824" s="1" t="s">
        <v>7710</v>
      </c>
      <c r="G824" s="1" t="s">
        <v>74</v>
      </c>
      <c r="H824" s="1" t="s">
        <v>74</v>
      </c>
      <c r="I824" s="1" t="s">
        <v>7711</v>
      </c>
      <c r="J824" s="1" t="s">
        <v>90</v>
      </c>
      <c r="K824" s="1" t="s">
        <v>74</v>
      </c>
      <c r="L824" s="1" t="s">
        <v>74</v>
      </c>
      <c r="M824" s="1" t="s">
        <v>74</v>
      </c>
      <c r="N824" s="1" t="s">
        <v>74</v>
      </c>
      <c r="O824" s="1" t="s">
        <v>74</v>
      </c>
      <c r="P824" s="1" t="s">
        <v>74</v>
      </c>
      <c r="Q824" s="1" t="s">
        <v>74</v>
      </c>
      <c r="R824" s="1" t="s">
        <v>74</v>
      </c>
      <c r="S824" s="1" t="s">
        <v>74</v>
      </c>
      <c r="T824" s="1" t="s">
        <v>74</v>
      </c>
      <c r="U824" s="1" t="s">
        <v>74</v>
      </c>
      <c r="V824" s="1" t="s">
        <v>7712</v>
      </c>
      <c r="W824" s="1" t="s">
        <v>74</v>
      </c>
      <c r="X824" s="1" t="s">
        <v>74</v>
      </c>
      <c r="Y824" s="1" t="s">
        <v>74</v>
      </c>
      <c r="Z824" s="1" t="s">
        <v>74</v>
      </c>
      <c r="AA824" s="1" t="s">
        <v>7713</v>
      </c>
      <c r="AB824" s="1" t="s">
        <v>7714</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74</v>
      </c>
      <c r="AP824" s="1" t="s">
        <v>94</v>
      </c>
      <c r="AQ824" s="1" t="s">
        <v>74</v>
      </c>
      <c r="AR824" s="1" t="s">
        <v>74</v>
      </c>
      <c r="AS824" s="1" t="s">
        <v>74</v>
      </c>
      <c r="AT824" s="1" t="s">
        <v>164</v>
      </c>
      <c r="AU824" s="1">
        <v>2021.0</v>
      </c>
      <c r="AV824" s="1">
        <v>26.0</v>
      </c>
      <c r="AW824" s="1">
        <v>13.0</v>
      </c>
      <c r="AX824" s="1" t="s">
        <v>74</v>
      </c>
      <c r="AY824" s="1" t="s">
        <v>74</v>
      </c>
      <c r="AZ824" s="1" t="s">
        <v>74</v>
      </c>
      <c r="BA824" s="1" t="s">
        <v>74</v>
      </c>
      <c r="BB824" s="1" t="s">
        <v>74</v>
      </c>
      <c r="BC824" s="1" t="s">
        <v>74</v>
      </c>
      <c r="BD824" s="1">
        <v>4042.0</v>
      </c>
      <c r="BE824" s="1" t="s">
        <v>7715</v>
      </c>
      <c r="BF824" s="2" t="str">
        <f>HYPERLINK("http://dx.doi.org/10.3390/molecules26134042","http://dx.doi.org/10.3390/molecules26134042")</f>
        <v>http://dx.doi.org/10.3390/molecules26134042</v>
      </c>
      <c r="BG824" s="1" t="s">
        <v>74</v>
      </c>
      <c r="BH824" s="1" t="s">
        <v>74</v>
      </c>
      <c r="BI824" s="1" t="s">
        <v>74</v>
      </c>
      <c r="BJ824" s="1" t="s">
        <v>74</v>
      </c>
      <c r="BK824" s="1" t="s">
        <v>74</v>
      </c>
      <c r="BL824" s="1" t="s">
        <v>74</v>
      </c>
      <c r="BM824" s="1" t="s">
        <v>74</v>
      </c>
      <c r="BN824" s="1">
        <v>3.4279379E7</v>
      </c>
      <c r="BO824" s="1" t="s">
        <v>74</v>
      </c>
      <c r="BP824" s="1" t="s">
        <v>74</v>
      </c>
      <c r="BQ824" s="1" t="s">
        <v>74</v>
      </c>
      <c r="BR824" s="1" t="s">
        <v>74</v>
      </c>
      <c r="BS824" s="1" t="s">
        <v>7716</v>
      </c>
      <c r="BT824" s="1" t="str">
        <f>HYPERLINK("https%3A%2F%2Fwww.webofscience.com%2Fwos%2Fwoscc%2Ffull-record%2FWOS:000671277600001","View Full Record in Web of Science")</f>
        <v>View Full Record in Web of Science</v>
      </c>
    </row>
    <row r="825" ht="12.75" customHeight="1">
      <c r="A825" s="1" t="s">
        <v>72</v>
      </c>
      <c r="B825" s="1" t="s">
        <v>7717</v>
      </c>
      <c r="C825" s="1" t="s">
        <v>74</v>
      </c>
      <c r="D825" s="1" t="s">
        <v>74</v>
      </c>
      <c r="E825" s="1" t="s">
        <v>74</v>
      </c>
      <c r="F825" s="1" t="s">
        <v>7718</v>
      </c>
      <c r="G825" s="1" t="s">
        <v>74</v>
      </c>
      <c r="H825" s="1" t="s">
        <v>74</v>
      </c>
      <c r="I825" s="1" t="s">
        <v>7719</v>
      </c>
      <c r="J825" s="1" t="s">
        <v>7720</v>
      </c>
      <c r="K825" s="1" t="s">
        <v>74</v>
      </c>
      <c r="L825" s="1" t="s">
        <v>74</v>
      </c>
      <c r="M825" s="1" t="s">
        <v>74</v>
      </c>
      <c r="N825" s="1" t="s">
        <v>74</v>
      </c>
      <c r="O825" s="1" t="s">
        <v>74</v>
      </c>
      <c r="P825" s="1" t="s">
        <v>74</v>
      </c>
      <c r="Q825" s="1" t="s">
        <v>74</v>
      </c>
      <c r="R825" s="1" t="s">
        <v>74</v>
      </c>
      <c r="S825" s="1" t="s">
        <v>74</v>
      </c>
      <c r="T825" s="1" t="s">
        <v>74</v>
      </c>
      <c r="U825" s="1" t="s">
        <v>74</v>
      </c>
      <c r="V825" s="1" t="s">
        <v>7721</v>
      </c>
      <c r="W825" s="1" t="s">
        <v>74</v>
      </c>
      <c r="X825" s="1" t="s">
        <v>74</v>
      </c>
      <c r="Y825" s="1" t="s">
        <v>74</v>
      </c>
      <c r="Z825" s="1" t="s">
        <v>74</v>
      </c>
      <c r="AA825" s="1" t="s">
        <v>7722</v>
      </c>
      <c r="AB825" s="1" t="s">
        <v>7723</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74</v>
      </c>
      <c r="AP825" s="1" t="s">
        <v>7724</v>
      </c>
      <c r="AQ825" s="1" t="s">
        <v>74</v>
      </c>
      <c r="AR825" s="1" t="s">
        <v>74</v>
      </c>
      <c r="AS825" s="1" t="s">
        <v>74</v>
      </c>
      <c r="AT825" s="1" t="s">
        <v>187</v>
      </c>
      <c r="AU825" s="1">
        <v>2021.0</v>
      </c>
      <c r="AV825" s="1">
        <v>7.0</v>
      </c>
      <c r="AW825" s="1">
        <v>4.0</v>
      </c>
      <c r="AX825" s="1" t="s">
        <v>74</v>
      </c>
      <c r="AY825" s="1" t="s">
        <v>74</v>
      </c>
      <c r="AZ825" s="1" t="s">
        <v>74</v>
      </c>
      <c r="BA825" s="1" t="s">
        <v>74</v>
      </c>
      <c r="BB825" s="1" t="s">
        <v>74</v>
      </c>
      <c r="BC825" s="1" t="s">
        <v>74</v>
      </c>
      <c r="BD825" s="1">
        <v>281.0</v>
      </c>
      <c r="BE825" s="1" t="s">
        <v>7725</v>
      </c>
      <c r="BF825" s="2" t="str">
        <f>HYPERLINK("http://dx.doi.org/10.3390/jof7040281","http://dx.doi.org/10.3390/jof7040281")</f>
        <v>http://dx.doi.org/10.3390/jof7040281</v>
      </c>
      <c r="BG825" s="1" t="s">
        <v>74</v>
      </c>
      <c r="BH825" s="1" t="s">
        <v>74</v>
      </c>
      <c r="BI825" s="1" t="s">
        <v>74</v>
      </c>
      <c r="BJ825" s="1" t="s">
        <v>74</v>
      </c>
      <c r="BK825" s="1" t="s">
        <v>74</v>
      </c>
      <c r="BL825" s="1" t="s">
        <v>74</v>
      </c>
      <c r="BM825" s="1" t="s">
        <v>74</v>
      </c>
      <c r="BN825" s="1">
        <v>3.3918089E7</v>
      </c>
      <c r="BO825" s="1" t="s">
        <v>74</v>
      </c>
      <c r="BP825" s="1" t="s">
        <v>74</v>
      </c>
      <c r="BQ825" s="1" t="s">
        <v>74</v>
      </c>
      <c r="BR825" s="1" t="s">
        <v>74</v>
      </c>
      <c r="BS825" s="1" t="s">
        <v>7726</v>
      </c>
      <c r="BT825" s="1" t="str">
        <f>HYPERLINK("https%3A%2F%2Fwww.webofscience.com%2Fwos%2Fwoscc%2Ffull-record%2FWOS:000643110700001","View Full Record in Web of Science")</f>
        <v>View Full Record in Web of Science</v>
      </c>
    </row>
    <row r="826" ht="12.75" customHeight="1">
      <c r="A826" s="1" t="s">
        <v>72</v>
      </c>
      <c r="B826" s="1" t="s">
        <v>7727</v>
      </c>
      <c r="C826" s="1" t="s">
        <v>74</v>
      </c>
      <c r="D826" s="1" t="s">
        <v>74</v>
      </c>
      <c r="E826" s="1" t="s">
        <v>74</v>
      </c>
      <c r="F826" s="1" t="s">
        <v>7728</v>
      </c>
      <c r="G826" s="1" t="s">
        <v>74</v>
      </c>
      <c r="H826" s="1" t="s">
        <v>74</v>
      </c>
      <c r="I826" s="1" t="s">
        <v>7729</v>
      </c>
      <c r="J826" s="1" t="s">
        <v>7730</v>
      </c>
      <c r="K826" s="1" t="s">
        <v>74</v>
      </c>
      <c r="L826" s="1" t="s">
        <v>74</v>
      </c>
      <c r="M826" s="1" t="s">
        <v>74</v>
      </c>
      <c r="N826" s="1" t="s">
        <v>74</v>
      </c>
      <c r="O826" s="1" t="s">
        <v>74</v>
      </c>
      <c r="P826" s="1" t="s">
        <v>74</v>
      </c>
      <c r="Q826" s="1" t="s">
        <v>74</v>
      </c>
      <c r="R826" s="1" t="s">
        <v>74</v>
      </c>
      <c r="S826" s="1" t="s">
        <v>74</v>
      </c>
      <c r="T826" s="1" t="s">
        <v>74</v>
      </c>
      <c r="U826" s="1" t="s">
        <v>74</v>
      </c>
      <c r="V826" s="1" t="s">
        <v>7731</v>
      </c>
      <c r="W826" s="1" t="s">
        <v>74</v>
      </c>
      <c r="X826" s="1" t="s">
        <v>74</v>
      </c>
      <c r="Y826" s="1" t="s">
        <v>74</v>
      </c>
      <c r="Z826" s="1" t="s">
        <v>74</v>
      </c>
      <c r="AA826" s="1" t="s">
        <v>7732</v>
      </c>
      <c r="AB826" s="1" t="s">
        <v>7733</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7734</v>
      </c>
      <c r="AP826" s="1" t="s">
        <v>74</v>
      </c>
      <c r="AQ826" s="1" t="s">
        <v>74</v>
      </c>
      <c r="AR826" s="1" t="s">
        <v>74</v>
      </c>
      <c r="AS826" s="1" t="s">
        <v>74</v>
      </c>
      <c r="AT826" s="1" t="s">
        <v>74</v>
      </c>
      <c r="AU826" s="1">
        <v>2021.0</v>
      </c>
      <c r="AV826" s="1" t="s">
        <v>74</v>
      </c>
      <c r="AW826" s="1">
        <v>5.0</v>
      </c>
      <c r="AX826" s="1" t="s">
        <v>74</v>
      </c>
      <c r="AY826" s="1" t="s">
        <v>74</v>
      </c>
      <c r="AZ826" s="1" t="s">
        <v>74</v>
      </c>
      <c r="BA826" s="1" t="s">
        <v>74</v>
      </c>
      <c r="BB826" s="1">
        <v>1.0</v>
      </c>
      <c r="BC826" s="1">
        <v>20.0</v>
      </c>
      <c r="BD826" s="1" t="s">
        <v>74</v>
      </c>
      <c r="BE826" s="1" t="s">
        <v>7735</v>
      </c>
      <c r="BF826" s="2" t="str">
        <f>HYPERLINK("http://dx.doi.org/10.14232/ejqtde.2021.1.5","http://dx.doi.org/10.14232/ejqtde.2021.1.5")</f>
        <v>http://dx.doi.org/10.14232/ejqtde.2021.1.5</v>
      </c>
      <c r="BG826" s="1" t="s">
        <v>74</v>
      </c>
      <c r="BH826" s="1" t="s">
        <v>74</v>
      </c>
      <c r="BI826" s="1" t="s">
        <v>74</v>
      </c>
      <c r="BJ826" s="1" t="s">
        <v>74</v>
      </c>
      <c r="BK826" s="1" t="s">
        <v>74</v>
      </c>
      <c r="BL826" s="1" t="s">
        <v>74</v>
      </c>
      <c r="BM826" s="1" t="s">
        <v>74</v>
      </c>
      <c r="BN826" s="1" t="s">
        <v>74</v>
      </c>
      <c r="BO826" s="1" t="s">
        <v>74</v>
      </c>
      <c r="BP826" s="1" t="s">
        <v>74</v>
      </c>
      <c r="BQ826" s="1" t="s">
        <v>74</v>
      </c>
      <c r="BR826" s="1" t="s">
        <v>74</v>
      </c>
      <c r="BS826" s="1" t="s">
        <v>7736</v>
      </c>
      <c r="BT826" s="1" t="str">
        <f>HYPERLINK("https%3A%2F%2Fwww.webofscience.com%2Fwos%2Fwoscc%2Ffull-record%2FWOS:000607158000001","View Full Record in Web of Science")</f>
        <v>View Full Record in Web of Science</v>
      </c>
    </row>
    <row r="827" ht="12.75" customHeight="1">
      <c r="A827" s="1" t="s">
        <v>72</v>
      </c>
      <c r="B827" s="1" t="s">
        <v>7737</v>
      </c>
      <c r="C827" s="1" t="s">
        <v>74</v>
      </c>
      <c r="D827" s="1" t="s">
        <v>74</v>
      </c>
      <c r="E827" s="1" t="s">
        <v>74</v>
      </c>
      <c r="F827" s="1" t="s">
        <v>7738</v>
      </c>
      <c r="G827" s="1" t="s">
        <v>74</v>
      </c>
      <c r="H827" s="1" t="s">
        <v>74</v>
      </c>
      <c r="I827" s="1" t="s">
        <v>7739</v>
      </c>
      <c r="J827" s="1" t="s">
        <v>7740</v>
      </c>
      <c r="K827" s="1" t="s">
        <v>74</v>
      </c>
      <c r="L827" s="1" t="s">
        <v>74</v>
      </c>
      <c r="M827" s="1" t="s">
        <v>74</v>
      </c>
      <c r="N827" s="1" t="s">
        <v>74</v>
      </c>
      <c r="O827" s="1" t="s">
        <v>74</v>
      </c>
      <c r="P827" s="1" t="s">
        <v>74</v>
      </c>
      <c r="Q827" s="1" t="s">
        <v>74</v>
      </c>
      <c r="R827" s="1" t="s">
        <v>74</v>
      </c>
      <c r="S827" s="1" t="s">
        <v>74</v>
      </c>
      <c r="T827" s="1" t="s">
        <v>74</v>
      </c>
      <c r="U827" s="1" t="s">
        <v>74</v>
      </c>
      <c r="V827" s="1" t="s">
        <v>7741</v>
      </c>
      <c r="W827" s="1" t="s">
        <v>74</v>
      </c>
      <c r="X827" s="1" t="s">
        <v>74</v>
      </c>
      <c r="Y827" s="1" t="s">
        <v>74</v>
      </c>
      <c r="Z827" s="1" t="s">
        <v>74</v>
      </c>
      <c r="AA827" s="1" t="s">
        <v>7742</v>
      </c>
      <c r="AB827" s="1" t="s">
        <v>7743</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7744</v>
      </c>
      <c r="AP827" s="1" t="s">
        <v>74</v>
      </c>
      <c r="AQ827" s="1" t="s">
        <v>74</v>
      </c>
      <c r="AR827" s="1" t="s">
        <v>74</v>
      </c>
      <c r="AS827" s="1" t="s">
        <v>74</v>
      </c>
      <c r="AT827" s="1" t="s">
        <v>7745</v>
      </c>
      <c r="AU827" s="1">
        <v>2020.0</v>
      </c>
      <c r="AV827" s="1">
        <v>5.0</v>
      </c>
      <c r="AW827" s="1">
        <v>48.0</v>
      </c>
      <c r="AX827" s="1" t="s">
        <v>74</v>
      </c>
      <c r="AY827" s="1" t="s">
        <v>74</v>
      </c>
      <c r="AZ827" s="1" t="s">
        <v>74</v>
      </c>
      <c r="BA827" s="1" t="s">
        <v>74</v>
      </c>
      <c r="BB827" s="1">
        <v>15175.0</v>
      </c>
      <c r="BC827" s="1">
        <v>15179.0</v>
      </c>
      <c r="BD827" s="1" t="s">
        <v>74</v>
      </c>
      <c r="BE827" s="1" t="s">
        <v>7746</v>
      </c>
      <c r="BF827" s="2" t="str">
        <f>HYPERLINK("http://dx.doi.org/10.1002/slct.202003580","http://dx.doi.org/10.1002/slct.202003580")</f>
        <v>http://dx.doi.org/10.1002/slct.202003580</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7747</v>
      </c>
      <c r="BT827" s="1" t="str">
        <f>HYPERLINK("https%3A%2F%2Fwww.webofscience.com%2Fwos%2Fwoscc%2Ffull-record%2FWOS:000603432100009","View Full Record in Web of Science")</f>
        <v>View Full Record in Web of Science</v>
      </c>
    </row>
    <row r="828" ht="12.75" customHeight="1">
      <c r="A828" s="1" t="s">
        <v>72</v>
      </c>
      <c r="B828" s="1" t="s">
        <v>3230</v>
      </c>
      <c r="C828" s="1" t="s">
        <v>74</v>
      </c>
      <c r="D828" s="1" t="s">
        <v>74</v>
      </c>
      <c r="E828" s="1" t="s">
        <v>74</v>
      </c>
      <c r="F828" s="1" t="s">
        <v>3231</v>
      </c>
      <c r="G828" s="1" t="s">
        <v>74</v>
      </c>
      <c r="H828" s="1" t="s">
        <v>74</v>
      </c>
      <c r="I828" s="1" t="s">
        <v>7748</v>
      </c>
      <c r="J828" s="1" t="s">
        <v>7749</v>
      </c>
      <c r="K828" s="1" t="s">
        <v>74</v>
      </c>
      <c r="L828" s="1" t="s">
        <v>74</v>
      </c>
      <c r="M828" s="1" t="s">
        <v>74</v>
      </c>
      <c r="N828" s="1" t="s">
        <v>74</v>
      </c>
      <c r="O828" s="1" t="s">
        <v>74</v>
      </c>
      <c r="P828" s="1" t="s">
        <v>74</v>
      </c>
      <c r="Q828" s="1" t="s">
        <v>74</v>
      </c>
      <c r="R828" s="1" t="s">
        <v>74</v>
      </c>
      <c r="S828" s="1" t="s">
        <v>74</v>
      </c>
      <c r="T828" s="1" t="s">
        <v>74</v>
      </c>
      <c r="U828" s="1" t="s">
        <v>74</v>
      </c>
      <c r="V828" s="1" t="s">
        <v>7750</v>
      </c>
      <c r="W828" s="1" t="s">
        <v>74</v>
      </c>
      <c r="X828" s="1" t="s">
        <v>74</v>
      </c>
      <c r="Y828" s="1" t="s">
        <v>74</v>
      </c>
      <c r="Z828" s="1" t="s">
        <v>74</v>
      </c>
      <c r="AA828" s="1" t="s">
        <v>3235</v>
      </c>
      <c r="AB828" s="1" t="s">
        <v>7751</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7752</v>
      </c>
      <c r="AP828" s="1" t="s">
        <v>7753</v>
      </c>
      <c r="AQ828" s="1" t="s">
        <v>74</v>
      </c>
      <c r="AR828" s="1" t="s">
        <v>74</v>
      </c>
      <c r="AS828" s="1" t="s">
        <v>74</v>
      </c>
      <c r="AT828" s="1" t="s">
        <v>1729</v>
      </c>
      <c r="AU828" s="1">
        <v>2021.0</v>
      </c>
      <c r="AV828" s="1">
        <v>42.0</v>
      </c>
      <c r="AW828" s="1">
        <v>2.0</v>
      </c>
      <c r="AX828" s="1" t="s">
        <v>74</v>
      </c>
      <c r="AY828" s="1" t="s">
        <v>74</v>
      </c>
      <c r="AZ828" s="1" t="s">
        <v>74</v>
      </c>
      <c r="BA828" s="1" t="s">
        <v>74</v>
      </c>
      <c r="BB828" s="1">
        <v>124.0</v>
      </c>
      <c r="BC828" s="1">
        <v>129.0</v>
      </c>
      <c r="BD828" s="1" t="s">
        <v>74</v>
      </c>
      <c r="BE828" s="1" t="s">
        <v>7754</v>
      </c>
      <c r="BF828" s="2" t="str">
        <f>HYPERLINK("http://dx.doi.org/10.1002/jcc.26440","http://dx.doi.org/10.1002/jcc.26440")</f>
        <v>http://dx.doi.org/10.1002/jcc.26440</v>
      </c>
      <c r="BG828" s="1" t="s">
        <v>74</v>
      </c>
      <c r="BH828" s="1" t="s">
        <v>189</v>
      </c>
      <c r="BI828" s="1" t="s">
        <v>74</v>
      </c>
      <c r="BJ828" s="1" t="s">
        <v>74</v>
      </c>
      <c r="BK828" s="1" t="s">
        <v>74</v>
      </c>
      <c r="BL828" s="1" t="s">
        <v>74</v>
      </c>
      <c r="BM828" s="1" t="s">
        <v>74</v>
      </c>
      <c r="BN828" s="1">
        <v>3.3098682E7</v>
      </c>
      <c r="BO828" s="1" t="s">
        <v>74</v>
      </c>
      <c r="BP828" s="1" t="s">
        <v>74</v>
      </c>
      <c r="BQ828" s="1" t="s">
        <v>74</v>
      </c>
      <c r="BR828" s="1" t="s">
        <v>74</v>
      </c>
      <c r="BS828" s="1" t="s">
        <v>7755</v>
      </c>
      <c r="BT828" s="1" t="str">
        <f>HYPERLINK("https%3A%2F%2Fwww.webofscience.com%2Fwos%2Fwoscc%2Ffull-record%2FWOS:000581939500001","View Full Record in Web of Science")</f>
        <v>View Full Record in Web of Science</v>
      </c>
    </row>
    <row r="829" ht="12.75" customHeight="1">
      <c r="A829" s="1" t="s">
        <v>72</v>
      </c>
      <c r="B829" s="1" t="s">
        <v>7756</v>
      </c>
      <c r="C829" s="1" t="s">
        <v>74</v>
      </c>
      <c r="D829" s="1" t="s">
        <v>74</v>
      </c>
      <c r="E829" s="1" t="s">
        <v>74</v>
      </c>
      <c r="F829" s="1" t="s">
        <v>7757</v>
      </c>
      <c r="G829" s="1" t="s">
        <v>74</v>
      </c>
      <c r="H829" s="1" t="s">
        <v>74</v>
      </c>
      <c r="I829" s="1" t="s">
        <v>7758</v>
      </c>
      <c r="J829" s="1" t="s">
        <v>6471</v>
      </c>
      <c r="K829" s="1" t="s">
        <v>74</v>
      </c>
      <c r="L829" s="1" t="s">
        <v>74</v>
      </c>
      <c r="M829" s="1" t="s">
        <v>74</v>
      </c>
      <c r="N829" s="1" t="s">
        <v>74</v>
      </c>
      <c r="O829" s="1" t="s">
        <v>74</v>
      </c>
      <c r="P829" s="1" t="s">
        <v>74</v>
      </c>
      <c r="Q829" s="1" t="s">
        <v>74</v>
      </c>
      <c r="R829" s="1" t="s">
        <v>74</v>
      </c>
      <c r="S829" s="1" t="s">
        <v>74</v>
      </c>
      <c r="T829" s="1" t="s">
        <v>74</v>
      </c>
      <c r="U829" s="1" t="s">
        <v>74</v>
      </c>
      <c r="V829" s="1" t="s">
        <v>7759</v>
      </c>
      <c r="W829" s="1" t="s">
        <v>74</v>
      </c>
      <c r="X829" s="1" t="s">
        <v>74</v>
      </c>
      <c r="Y829" s="1" t="s">
        <v>74</v>
      </c>
      <c r="Z829" s="1" t="s">
        <v>74</v>
      </c>
      <c r="AA829" s="1" t="s">
        <v>7760</v>
      </c>
      <c r="AB829" s="1" t="s">
        <v>7761</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6475</v>
      </c>
      <c r="AP829" s="1" t="s">
        <v>6476</v>
      </c>
      <c r="AQ829" s="1" t="s">
        <v>74</v>
      </c>
      <c r="AR829" s="1" t="s">
        <v>74</v>
      </c>
      <c r="AS829" s="1" t="s">
        <v>74</v>
      </c>
      <c r="AT829" s="1" t="s">
        <v>7762</v>
      </c>
      <c r="AU829" s="1">
        <v>2020.0</v>
      </c>
      <c r="AV829" s="1">
        <v>117.0</v>
      </c>
      <c r="AW829" s="1">
        <v>15.0</v>
      </c>
      <c r="AX829" s="1" t="s">
        <v>74</v>
      </c>
      <c r="AY829" s="1" t="s">
        <v>74</v>
      </c>
      <c r="AZ829" s="1" t="s">
        <v>74</v>
      </c>
      <c r="BA829" s="1" t="s">
        <v>74</v>
      </c>
      <c r="BB829" s="1" t="s">
        <v>74</v>
      </c>
      <c r="BC829" s="1" t="s">
        <v>74</v>
      </c>
      <c r="BD829" s="1">
        <v>152401.0</v>
      </c>
      <c r="BE829" s="1" t="s">
        <v>7763</v>
      </c>
      <c r="BF829" s="2" t="str">
        <f>HYPERLINK("http://dx.doi.org/10.1063/5.0023613","http://dx.doi.org/10.1063/5.0023613")</f>
        <v>http://dx.doi.org/10.1063/5.0023613</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7764</v>
      </c>
      <c r="BT829" s="1" t="str">
        <f>HYPERLINK("https%3A%2F%2Fwww.webofscience.com%2Fwos%2Fwoscc%2Ffull-record%2FWOS:000583340800001","View Full Record in Web of Science")</f>
        <v>View Full Record in Web of Science</v>
      </c>
    </row>
    <row r="830" ht="12.75" customHeight="1">
      <c r="A830" s="1" t="s">
        <v>72</v>
      </c>
      <c r="B830" s="1" t="s">
        <v>7765</v>
      </c>
      <c r="C830" s="1" t="s">
        <v>74</v>
      </c>
      <c r="D830" s="1" t="s">
        <v>74</v>
      </c>
      <c r="E830" s="1" t="s">
        <v>74</v>
      </c>
      <c r="F830" s="1" t="s">
        <v>7766</v>
      </c>
      <c r="G830" s="1" t="s">
        <v>74</v>
      </c>
      <c r="H830" s="1" t="s">
        <v>74</v>
      </c>
      <c r="I830" s="1" t="s">
        <v>7767</v>
      </c>
      <c r="J830" s="1" t="s">
        <v>7114</v>
      </c>
      <c r="K830" s="1" t="s">
        <v>74</v>
      </c>
      <c r="L830" s="1" t="s">
        <v>74</v>
      </c>
      <c r="M830" s="1" t="s">
        <v>74</v>
      </c>
      <c r="N830" s="1" t="s">
        <v>74</v>
      </c>
      <c r="O830" s="1" t="s">
        <v>74</v>
      </c>
      <c r="P830" s="1" t="s">
        <v>74</v>
      </c>
      <c r="Q830" s="1" t="s">
        <v>74</v>
      </c>
      <c r="R830" s="1" t="s">
        <v>74</v>
      </c>
      <c r="S830" s="1" t="s">
        <v>74</v>
      </c>
      <c r="T830" s="1" t="s">
        <v>74</v>
      </c>
      <c r="U830" s="1" t="s">
        <v>74</v>
      </c>
      <c r="V830" s="1" t="s">
        <v>7768</v>
      </c>
      <c r="W830" s="1" t="s">
        <v>74</v>
      </c>
      <c r="X830" s="1" t="s">
        <v>74</v>
      </c>
      <c r="Y830" s="1" t="s">
        <v>74</v>
      </c>
      <c r="Z830" s="1" t="s">
        <v>74</v>
      </c>
      <c r="AA830" s="1" t="s">
        <v>340</v>
      </c>
      <c r="AB830" s="1" t="s">
        <v>74</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7118</v>
      </c>
      <c r="AP830" s="1" t="s">
        <v>7119</v>
      </c>
      <c r="AQ830" s="1" t="s">
        <v>74</v>
      </c>
      <c r="AR830" s="1" t="s">
        <v>74</v>
      </c>
      <c r="AS830" s="1" t="s">
        <v>74</v>
      </c>
      <c r="AT830" s="1" t="s">
        <v>83</v>
      </c>
      <c r="AU830" s="1">
        <v>2020.0</v>
      </c>
      <c r="AV830" s="1">
        <v>236.0</v>
      </c>
      <c r="AW830" s="1">
        <v>2.0</v>
      </c>
      <c r="AX830" s="1" t="s">
        <v>74</v>
      </c>
      <c r="AY830" s="1" t="s">
        <v>74</v>
      </c>
      <c r="AZ830" s="1" t="s">
        <v>74</v>
      </c>
      <c r="BA830" s="1" t="s">
        <v>74</v>
      </c>
      <c r="BB830" s="1">
        <v>533.0</v>
      </c>
      <c r="BC830" s="1">
        <v>589.0</v>
      </c>
      <c r="BD830" s="1" t="s">
        <v>74</v>
      </c>
      <c r="BE830" s="1" t="s">
        <v>7769</v>
      </c>
      <c r="BF830" s="2" t="str">
        <f>HYPERLINK("http://dx.doi.org/10.1007/s11856-020-1991-2","http://dx.doi.org/10.1007/s11856-020-1991-2")</f>
        <v>http://dx.doi.org/10.1007/s11856-020-1991-2</v>
      </c>
      <c r="BG830" s="1" t="s">
        <v>74</v>
      </c>
      <c r="BH830" s="1" t="s">
        <v>7770</v>
      </c>
      <c r="BI830" s="1" t="s">
        <v>74</v>
      </c>
      <c r="BJ830" s="1" t="s">
        <v>74</v>
      </c>
      <c r="BK830" s="1" t="s">
        <v>74</v>
      </c>
      <c r="BL830" s="1" t="s">
        <v>74</v>
      </c>
      <c r="BM830" s="1" t="s">
        <v>74</v>
      </c>
      <c r="BN830" s="1" t="s">
        <v>74</v>
      </c>
      <c r="BO830" s="1" t="s">
        <v>74</v>
      </c>
      <c r="BP830" s="1" t="s">
        <v>74</v>
      </c>
      <c r="BQ830" s="1" t="s">
        <v>74</v>
      </c>
      <c r="BR830" s="1" t="s">
        <v>74</v>
      </c>
      <c r="BS830" s="1" t="s">
        <v>7771</v>
      </c>
      <c r="BT830" s="1" t="str">
        <f>HYPERLINK("https%3A%2F%2Fwww.webofscience.com%2Fwos%2Fwoscc%2Ffull-record%2FWOS:000523410400004","View Full Record in Web of Science")</f>
        <v>View Full Record in Web of Science</v>
      </c>
    </row>
    <row r="831" ht="12.75" customHeight="1">
      <c r="A831" s="1" t="s">
        <v>346</v>
      </c>
      <c r="B831" s="1" t="s">
        <v>7772</v>
      </c>
      <c r="C831" s="1" t="s">
        <v>74</v>
      </c>
      <c r="D831" s="1" t="s">
        <v>74</v>
      </c>
      <c r="E831" s="1" t="s">
        <v>348</v>
      </c>
      <c r="F831" s="1" t="s">
        <v>7773</v>
      </c>
      <c r="G831" s="1" t="s">
        <v>74</v>
      </c>
      <c r="H831" s="1" t="s">
        <v>74</v>
      </c>
      <c r="I831" s="1" t="s">
        <v>7774</v>
      </c>
      <c r="J831" s="1" t="s">
        <v>7775</v>
      </c>
      <c r="K831" s="1" t="s">
        <v>7776</v>
      </c>
      <c r="L831" s="1" t="s">
        <v>74</v>
      </c>
      <c r="M831" s="1" t="s">
        <v>74</v>
      </c>
      <c r="N831" s="1" t="s">
        <v>74</v>
      </c>
      <c r="O831" s="1" t="s">
        <v>7777</v>
      </c>
      <c r="P831" s="1" t="s">
        <v>7778</v>
      </c>
      <c r="Q831" s="1" t="s">
        <v>566</v>
      </c>
      <c r="R831" s="1" t="s">
        <v>7779</v>
      </c>
      <c r="S831" s="1" t="s">
        <v>74</v>
      </c>
      <c r="T831" s="1" t="s">
        <v>74</v>
      </c>
      <c r="U831" s="1" t="s">
        <v>74</v>
      </c>
      <c r="V831" s="1" t="s">
        <v>7780</v>
      </c>
      <c r="W831" s="1" t="s">
        <v>74</v>
      </c>
      <c r="X831" s="1" t="s">
        <v>74</v>
      </c>
      <c r="Y831" s="1" t="s">
        <v>74</v>
      </c>
      <c r="Z831" s="1" t="s">
        <v>74</v>
      </c>
      <c r="AA831" s="1" t="s">
        <v>7781</v>
      </c>
      <c r="AB831" s="1" t="s">
        <v>7782</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7783</v>
      </c>
      <c r="AP831" s="1" t="s">
        <v>74</v>
      </c>
      <c r="AQ831" s="1" t="s">
        <v>7784</v>
      </c>
      <c r="AR831" s="1" t="s">
        <v>74</v>
      </c>
      <c r="AS831" s="1" t="s">
        <v>74</v>
      </c>
      <c r="AT831" s="1" t="s">
        <v>74</v>
      </c>
      <c r="AU831" s="1">
        <v>2020.0</v>
      </c>
      <c r="AV831" s="1" t="s">
        <v>74</v>
      </c>
      <c r="AW831" s="1" t="s">
        <v>74</v>
      </c>
      <c r="AX831" s="1" t="s">
        <v>74</v>
      </c>
      <c r="AY831" s="1" t="s">
        <v>74</v>
      </c>
      <c r="AZ831" s="1" t="s">
        <v>74</v>
      </c>
      <c r="BA831" s="1" t="s">
        <v>74</v>
      </c>
      <c r="BB831" s="1">
        <v>494.0</v>
      </c>
      <c r="BC831" s="1">
        <v>498.0</v>
      </c>
      <c r="BD831" s="1" t="s">
        <v>74</v>
      </c>
      <c r="BE831" s="1" t="s">
        <v>7785</v>
      </c>
      <c r="BF831" s="2" t="str">
        <f>HYPERLINK("http://dx.doi.org/10.1109/pedg48541.2020.9244339","http://dx.doi.org/10.1109/pedg48541.2020.9244339")</f>
        <v>http://dx.doi.org/10.1109/pedg48541.2020.9244339</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7786</v>
      </c>
      <c r="BT831" s="1" t="str">
        <f>HYPERLINK("https%3A%2F%2Fwww.webofscience.com%2Fwos%2Fwoscc%2Ffull-record%2FWOS:000851397200084","View Full Record in Web of Science")</f>
        <v>View Full Record in Web of Science</v>
      </c>
    </row>
    <row r="832" ht="12.75" customHeight="1">
      <c r="A832" s="1" t="s">
        <v>72</v>
      </c>
      <c r="B832" s="1" t="s">
        <v>7787</v>
      </c>
      <c r="C832" s="1" t="s">
        <v>74</v>
      </c>
      <c r="D832" s="1" t="s">
        <v>74</v>
      </c>
      <c r="E832" s="1" t="s">
        <v>74</v>
      </c>
      <c r="F832" s="1" t="s">
        <v>7788</v>
      </c>
      <c r="G832" s="1" t="s">
        <v>74</v>
      </c>
      <c r="H832" s="1" t="s">
        <v>74</v>
      </c>
      <c r="I832" s="1" t="s">
        <v>7789</v>
      </c>
      <c r="J832" s="1" t="s">
        <v>899</v>
      </c>
      <c r="K832" s="1" t="s">
        <v>74</v>
      </c>
      <c r="L832" s="1" t="s">
        <v>74</v>
      </c>
      <c r="M832" s="1" t="s">
        <v>74</v>
      </c>
      <c r="N832" s="1" t="s">
        <v>74</v>
      </c>
      <c r="O832" s="1" t="s">
        <v>74</v>
      </c>
      <c r="P832" s="1" t="s">
        <v>74</v>
      </c>
      <c r="Q832" s="1" t="s">
        <v>74</v>
      </c>
      <c r="R832" s="1" t="s">
        <v>74</v>
      </c>
      <c r="S832" s="1" t="s">
        <v>74</v>
      </c>
      <c r="T832" s="1" t="s">
        <v>74</v>
      </c>
      <c r="U832" s="1" t="s">
        <v>74</v>
      </c>
      <c r="V832" s="1" t="s">
        <v>7790</v>
      </c>
      <c r="W832" s="1" t="s">
        <v>74</v>
      </c>
      <c r="X832" s="1" t="s">
        <v>74</v>
      </c>
      <c r="Y832" s="1" t="s">
        <v>74</v>
      </c>
      <c r="Z832" s="1" t="s">
        <v>74</v>
      </c>
      <c r="AA832" s="1" t="s">
        <v>7791</v>
      </c>
      <c r="AB832" s="1" t="s">
        <v>7792</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902</v>
      </c>
      <c r="AP832" s="1" t="s">
        <v>74</v>
      </c>
      <c r="AQ832" s="1" t="s">
        <v>74</v>
      </c>
      <c r="AR832" s="1" t="s">
        <v>74</v>
      </c>
      <c r="AS832" s="1" t="s">
        <v>74</v>
      </c>
      <c r="AT832" s="1" t="s">
        <v>496</v>
      </c>
      <c r="AU832" s="1">
        <v>2020.0</v>
      </c>
      <c r="AV832" s="1">
        <v>10.0</v>
      </c>
      <c r="AW832" s="1">
        <v>1.0</v>
      </c>
      <c r="AX832" s="1" t="s">
        <v>74</v>
      </c>
      <c r="AY832" s="1" t="s">
        <v>74</v>
      </c>
      <c r="AZ832" s="1" t="s">
        <v>74</v>
      </c>
      <c r="BA832" s="1" t="s">
        <v>74</v>
      </c>
      <c r="BB832" s="1" t="s">
        <v>74</v>
      </c>
      <c r="BC832" s="1" t="s">
        <v>74</v>
      </c>
      <c r="BD832" s="1">
        <v>2.15824402090209E15</v>
      </c>
      <c r="BE832" s="1" t="s">
        <v>7793</v>
      </c>
      <c r="BF832" s="2" t="str">
        <f>HYPERLINK("http://dx.doi.org/10.1177/2158244020902090","http://dx.doi.org/10.1177/2158244020902090")</f>
        <v>http://dx.doi.org/10.1177/2158244020902090</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7794</v>
      </c>
      <c r="BT832" s="1" t="str">
        <f>HYPERLINK("https%3A%2F%2Fwww.webofscience.com%2Fwos%2Fwoscc%2Ffull-record%2FWOS:000509967400001","View Full Record in Web of Science")</f>
        <v>View Full Record in Web of Science</v>
      </c>
    </row>
    <row r="833" ht="12.75" customHeight="1">
      <c r="A833" s="1" t="s">
        <v>72</v>
      </c>
      <c r="B833" s="1" t="s">
        <v>7795</v>
      </c>
      <c r="C833" s="1" t="s">
        <v>74</v>
      </c>
      <c r="D833" s="1" t="s">
        <v>74</v>
      </c>
      <c r="E833" s="1" t="s">
        <v>74</v>
      </c>
      <c r="F833" s="1" t="s">
        <v>7796</v>
      </c>
      <c r="G833" s="1" t="s">
        <v>74</v>
      </c>
      <c r="H833" s="1" t="s">
        <v>74</v>
      </c>
      <c r="I833" s="1" t="s">
        <v>7797</v>
      </c>
      <c r="J833" s="1" t="s">
        <v>7798</v>
      </c>
      <c r="K833" s="1" t="s">
        <v>74</v>
      </c>
      <c r="L833" s="1" t="s">
        <v>74</v>
      </c>
      <c r="M833" s="1" t="s">
        <v>74</v>
      </c>
      <c r="N833" s="1" t="s">
        <v>74</v>
      </c>
      <c r="O833" s="1" t="s">
        <v>74</v>
      </c>
      <c r="P833" s="1" t="s">
        <v>74</v>
      </c>
      <c r="Q833" s="1" t="s">
        <v>74</v>
      </c>
      <c r="R833" s="1" t="s">
        <v>74</v>
      </c>
      <c r="S833" s="1" t="s">
        <v>74</v>
      </c>
      <c r="T833" s="1" t="s">
        <v>74</v>
      </c>
      <c r="U833" s="1" t="s">
        <v>74</v>
      </c>
      <c r="V833" s="1" t="s">
        <v>74</v>
      </c>
      <c r="W833" s="1" t="s">
        <v>74</v>
      </c>
      <c r="X833" s="1" t="s">
        <v>74</v>
      </c>
      <c r="Y833" s="1" t="s">
        <v>74</v>
      </c>
      <c r="Z833" s="1" t="s">
        <v>74</v>
      </c>
      <c r="AA833" s="1" t="s">
        <v>7799</v>
      </c>
      <c r="AB833" s="1" t="s">
        <v>7800</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7801</v>
      </c>
      <c r="AP833" s="1" t="s">
        <v>7802</v>
      </c>
      <c r="AQ833" s="1" t="s">
        <v>74</v>
      </c>
      <c r="AR833" s="1" t="s">
        <v>74</v>
      </c>
      <c r="AS833" s="1" t="s">
        <v>74</v>
      </c>
      <c r="AT833" s="1" t="s">
        <v>1467</v>
      </c>
      <c r="AU833" s="1">
        <v>2019.0</v>
      </c>
      <c r="AV833" s="1">
        <v>885.0</v>
      </c>
      <c r="AW833" s="1">
        <v>1.0</v>
      </c>
      <c r="AX833" s="1" t="s">
        <v>74</v>
      </c>
      <c r="AY833" s="1" t="s">
        <v>74</v>
      </c>
      <c r="AZ833" s="1" t="s">
        <v>74</v>
      </c>
      <c r="BA833" s="1" t="s">
        <v>74</v>
      </c>
      <c r="BB833" s="1" t="s">
        <v>74</v>
      </c>
      <c r="BC833" s="1" t="s">
        <v>74</v>
      </c>
      <c r="BD833" s="1" t="s">
        <v>7803</v>
      </c>
      <c r="BE833" s="1" t="s">
        <v>7804</v>
      </c>
      <c r="BF833" s="2" t="str">
        <f>HYPERLINK("http://dx.doi.org/10.3847/2041-8213/ab4f77","http://dx.doi.org/10.3847/2041-8213/ab4f77")</f>
        <v>http://dx.doi.org/10.3847/2041-8213/ab4f77</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7805</v>
      </c>
      <c r="BT833" s="1" t="str">
        <f>HYPERLINK("https%3A%2F%2Fwww.webofscience.com%2Fwos%2Fwoscc%2Ffull-record%2FWOS:000494686200001","View Full Record in Web of Science")</f>
        <v>View Full Record in Web of Science</v>
      </c>
    </row>
    <row r="834" ht="12.75" customHeight="1">
      <c r="A834" s="1" t="s">
        <v>72</v>
      </c>
      <c r="B834" s="1" t="s">
        <v>7806</v>
      </c>
      <c r="C834" s="1" t="s">
        <v>74</v>
      </c>
      <c r="D834" s="1" t="s">
        <v>74</v>
      </c>
      <c r="E834" s="1" t="s">
        <v>74</v>
      </c>
      <c r="F834" s="1" t="s">
        <v>7807</v>
      </c>
      <c r="G834" s="1" t="s">
        <v>74</v>
      </c>
      <c r="H834" s="1" t="s">
        <v>74</v>
      </c>
      <c r="I834" s="1" t="s">
        <v>7808</v>
      </c>
      <c r="J834" s="1" t="s">
        <v>7809</v>
      </c>
      <c r="K834" s="1" t="s">
        <v>74</v>
      </c>
      <c r="L834" s="1" t="s">
        <v>74</v>
      </c>
      <c r="M834" s="1" t="s">
        <v>74</v>
      </c>
      <c r="N834" s="1" t="s">
        <v>74</v>
      </c>
      <c r="O834" s="1" t="s">
        <v>74</v>
      </c>
      <c r="P834" s="1" t="s">
        <v>74</v>
      </c>
      <c r="Q834" s="1" t="s">
        <v>74</v>
      </c>
      <c r="R834" s="1" t="s">
        <v>74</v>
      </c>
      <c r="S834" s="1" t="s">
        <v>74</v>
      </c>
      <c r="T834" s="1" t="s">
        <v>74</v>
      </c>
      <c r="U834" s="1" t="s">
        <v>74</v>
      </c>
      <c r="V834" s="1" t="s">
        <v>7810</v>
      </c>
      <c r="W834" s="1" t="s">
        <v>74</v>
      </c>
      <c r="X834" s="1" t="s">
        <v>74</v>
      </c>
      <c r="Y834" s="1" t="s">
        <v>74</v>
      </c>
      <c r="Z834" s="1" t="s">
        <v>74</v>
      </c>
      <c r="AA834" s="1" t="s">
        <v>7811</v>
      </c>
      <c r="AB834" s="1" t="s">
        <v>7812</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7813</v>
      </c>
      <c r="AP834" s="1" t="s">
        <v>74</v>
      </c>
      <c r="AQ834" s="1" t="s">
        <v>74</v>
      </c>
      <c r="AR834" s="1" t="s">
        <v>74</v>
      </c>
      <c r="AS834" s="1" t="s">
        <v>74</v>
      </c>
      <c r="AT834" s="1" t="s">
        <v>7814</v>
      </c>
      <c r="AU834" s="1">
        <v>2019.0</v>
      </c>
      <c r="AV834" s="1">
        <v>10.0</v>
      </c>
      <c r="AW834" s="1" t="s">
        <v>74</v>
      </c>
      <c r="AX834" s="1" t="s">
        <v>74</v>
      </c>
      <c r="AY834" s="1" t="s">
        <v>74</v>
      </c>
      <c r="AZ834" s="1" t="s">
        <v>74</v>
      </c>
      <c r="BA834" s="1" t="s">
        <v>74</v>
      </c>
      <c r="BB834" s="1">
        <v>1716.0</v>
      </c>
      <c r="BC834" s="1">
        <v>1725.0</v>
      </c>
      <c r="BD834" s="1" t="s">
        <v>74</v>
      </c>
      <c r="BE834" s="1" t="s">
        <v>7815</v>
      </c>
      <c r="BF834" s="2" t="str">
        <f>HYPERLINK("http://dx.doi.org/10.3762/bjnano.10.167","http://dx.doi.org/10.3762/bjnano.10.167")</f>
        <v>http://dx.doi.org/10.3762/bjnano.10.167</v>
      </c>
      <c r="BG834" s="1" t="s">
        <v>74</v>
      </c>
      <c r="BH834" s="1" t="s">
        <v>74</v>
      </c>
      <c r="BI834" s="1" t="s">
        <v>74</v>
      </c>
      <c r="BJ834" s="1" t="s">
        <v>74</v>
      </c>
      <c r="BK834" s="1" t="s">
        <v>74</v>
      </c>
      <c r="BL834" s="1" t="s">
        <v>74</v>
      </c>
      <c r="BM834" s="1" t="s">
        <v>74</v>
      </c>
      <c r="BN834" s="1">
        <v>3.1501743E7</v>
      </c>
      <c r="BO834" s="1" t="s">
        <v>74</v>
      </c>
      <c r="BP834" s="1" t="s">
        <v>74</v>
      </c>
      <c r="BQ834" s="1" t="s">
        <v>74</v>
      </c>
      <c r="BR834" s="1" t="s">
        <v>74</v>
      </c>
      <c r="BS834" s="1" t="s">
        <v>7816</v>
      </c>
      <c r="BT834" s="1" t="str">
        <f>HYPERLINK("https%3A%2F%2Fwww.webofscience.com%2Fwos%2Fwoscc%2Ffull-record%2FWOS:000482477500001","View Full Record in Web of Science")</f>
        <v>View Full Record in Web of Science</v>
      </c>
    </row>
    <row r="835" ht="12.75" customHeight="1">
      <c r="A835" s="1" t="s">
        <v>72</v>
      </c>
      <c r="B835" s="1" t="s">
        <v>7817</v>
      </c>
      <c r="C835" s="1" t="s">
        <v>74</v>
      </c>
      <c r="D835" s="1" t="s">
        <v>74</v>
      </c>
      <c r="E835" s="1" t="s">
        <v>74</v>
      </c>
      <c r="F835" s="1" t="s">
        <v>7818</v>
      </c>
      <c r="G835" s="1" t="s">
        <v>74</v>
      </c>
      <c r="H835" s="1" t="s">
        <v>74</v>
      </c>
      <c r="I835" s="1" t="s">
        <v>7819</v>
      </c>
      <c r="J835" s="1" t="s">
        <v>7820</v>
      </c>
      <c r="K835" s="1" t="s">
        <v>74</v>
      </c>
      <c r="L835" s="1" t="s">
        <v>74</v>
      </c>
      <c r="M835" s="1" t="s">
        <v>74</v>
      </c>
      <c r="N835" s="1" t="s">
        <v>74</v>
      </c>
      <c r="O835" s="1" t="s">
        <v>74</v>
      </c>
      <c r="P835" s="1" t="s">
        <v>74</v>
      </c>
      <c r="Q835" s="1" t="s">
        <v>74</v>
      </c>
      <c r="R835" s="1" t="s">
        <v>74</v>
      </c>
      <c r="S835" s="1" t="s">
        <v>74</v>
      </c>
      <c r="T835" s="1" t="s">
        <v>74</v>
      </c>
      <c r="U835" s="1" t="s">
        <v>74</v>
      </c>
      <c r="V835" s="1" t="s">
        <v>7821</v>
      </c>
      <c r="W835" s="1" t="s">
        <v>74</v>
      </c>
      <c r="X835" s="1" t="s">
        <v>74</v>
      </c>
      <c r="Y835" s="1" t="s">
        <v>74</v>
      </c>
      <c r="Z835" s="1" t="s">
        <v>74</v>
      </c>
      <c r="AA835" s="1" t="s">
        <v>74</v>
      </c>
      <c r="AB835" s="1" t="s">
        <v>74</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7822</v>
      </c>
      <c r="AP835" s="1" t="s">
        <v>7823</v>
      </c>
      <c r="AQ835" s="1" t="s">
        <v>74</v>
      </c>
      <c r="AR835" s="1" t="s">
        <v>74</v>
      </c>
      <c r="AS835" s="1" t="s">
        <v>74</v>
      </c>
      <c r="AT835" s="1" t="s">
        <v>461</v>
      </c>
      <c r="AU835" s="1">
        <v>2019.0</v>
      </c>
      <c r="AV835" s="1">
        <v>50.0</v>
      </c>
      <c r="AW835" s="1">
        <v>5.0</v>
      </c>
      <c r="AX835" s="1" t="s">
        <v>74</v>
      </c>
      <c r="AY835" s="1" t="s">
        <v>74</v>
      </c>
      <c r="AZ835" s="1" t="s">
        <v>74</v>
      </c>
      <c r="BA835" s="1" t="s">
        <v>74</v>
      </c>
      <c r="BB835" s="1">
        <v>1133.0</v>
      </c>
      <c r="BC835" s="1">
        <v>1213.0</v>
      </c>
      <c r="BD835" s="1" t="s">
        <v>74</v>
      </c>
      <c r="BE835" s="1" t="s">
        <v>7824</v>
      </c>
      <c r="BF835" s="2" t="str">
        <f>HYPERLINK("http://dx.doi.org/10.1111/dech.12505","http://dx.doi.org/10.1111/dech.12505")</f>
        <v>http://dx.doi.org/10.1111/dech.12505</v>
      </c>
      <c r="BG835" s="1" t="s">
        <v>74</v>
      </c>
      <c r="BH835" s="1" t="s">
        <v>7825</v>
      </c>
      <c r="BI835" s="1" t="s">
        <v>74</v>
      </c>
      <c r="BJ835" s="1" t="s">
        <v>74</v>
      </c>
      <c r="BK835" s="1" t="s">
        <v>74</v>
      </c>
      <c r="BL835" s="1" t="s">
        <v>74</v>
      </c>
      <c r="BM835" s="1" t="s">
        <v>74</v>
      </c>
      <c r="BN835" s="1" t="s">
        <v>74</v>
      </c>
      <c r="BO835" s="1" t="s">
        <v>74</v>
      </c>
      <c r="BP835" s="1" t="s">
        <v>74</v>
      </c>
      <c r="BQ835" s="1" t="s">
        <v>74</v>
      </c>
      <c r="BR835" s="1" t="s">
        <v>74</v>
      </c>
      <c r="BS835" s="1" t="s">
        <v>7826</v>
      </c>
      <c r="BT835" s="1" t="str">
        <f>HYPERLINK("https%3A%2F%2Fwww.webofscience.com%2Fwos%2Fwoscc%2Ffull-record%2FWOS:000474000500001","View Full Record in Web of Science")</f>
        <v>View Full Record in Web of Science</v>
      </c>
    </row>
    <row r="836" ht="12.75" customHeight="1">
      <c r="A836" s="1" t="s">
        <v>72</v>
      </c>
      <c r="B836" s="1" t="s">
        <v>7827</v>
      </c>
      <c r="C836" s="1" t="s">
        <v>74</v>
      </c>
      <c r="D836" s="1" t="s">
        <v>74</v>
      </c>
      <c r="E836" s="1" t="s">
        <v>74</v>
      </c>
      <c r="F836" s="1" t="s">
        <v>7828</v>
      </c>
      <c r="G836" s="1" t="s">
        <v>74</v>
      </c>
      <c r="H836" s="1" t="s">
        <v>74</v>
      </c>
      <c r="I836" s="1" t="s">
        <v>7829</v>
      </c>
      <c r="J836" s="1" t="s">
        <v>2279</v>
      </c>
      <c r="K836" s="1" t="s">
        <v>74</v>
      </c>
      <c r="L836" s="1" t="s">
        <v>74</v>
      </c>
      <c r="M836" s="1" t="s">
        <v>74</v>
      </c>
      <c r="N836" s="1" t="s">
        <v>74</v>
      </c>
      <c r="O836" s="1" t="s">
        <v>74</v>
      </c>
      <c r="P836" s="1" t="s">
        <v>74</v>
      </c>
      <c r="Q836" s="1" t="s">
        <v>74</v>
      </c>
      <c r="R836" s="1" t="s">
        <v>74</v>
      </c>
      <c r="S836" s="1" t="s">
        <v>74</v>
      </c>
      <c r="T836" s="1" t="s">
        <v>74</v>
      </c>
      <c r="U836" s="1" t="s">
        <v>74</v>
      </c>
      <c r="V836" s="1" t="s">
        <v>7830</v>
      </c>
      <c r="W836" s="1" t="s">
        <v>74</v>
      </c>
      <c r="X836" s="1" t="s">
        <v>74</v>
      </c>
      <c r="Y836" s="1" t="s">
        <v>74</v>
      </c>
      <c r="Z836" s="1" t="s">
        <v>74</v>
      </c>
      <c r="AA836" s="1" t="s">
        <v>7831</v>
      </c>
      <c r="AB836" s="1" t="s">
        <v>7832</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2283</v>
      </c>
      <c r="AP836" s="1" t="s">
        <v>2284</v>
      </c>
      <c r="AQ836" s="1" t="s">
        <v>74</v>
      </c>
      <c r="AR836" s="1" t="s">
        <v>74</v>
      </c>
      <c r="AS836" s="1" t="s">
        <v>74</v>
      </c>
      <c r="AT836" s="1" t="s">
        <v>6207</v>
      </c>
      <c r="AU836" s="1">
        <v>2019.0</v>
      </c>
      <c r="AV836" s="1">
        <v>279.0</v>
      </c>
      <c r="AW836" s="1" t="s">
        <v>74</v>
      </c>
      <c r="AX836" s="1" t="s">
        <v>74</v>
      </c>
      <c r="AY836" s="1" t="s">
        <v>74</v>
      </c>
      <c r="AZ836" s="1" t="s">
        <v>74</v>
      </c>
      <c r="BA836" s="1" t="s">
        <v>74</v>
      </c>
      <c r="BB836" s="1">
        <v>288.0</v>
      </c>
      <c r="BC836" s="1">
        <v>293.0</v>
      </c>
      <c r="BD836" s="1" t="s">
        <v>74</v>
      </c>
      <c r="BE836" s="1" t="s">
        <v>7833</v>
      </c>
      <c r="BF836" s="2" t="str">
        <f>HYPERLINK("http://dx.doi.org/10.1016/j.foodchem.2018.12.020","http://dx.doi.org/10.1016/j.foodchem.2018.12.020")</f>
        <v>http://dx.doi.org/10.1016/j.foodchem.2018.12.020</v>
      </c>
      <c r="BG836" s="1" t="s">
        <v>74</v>
      </c>
      <c r="BH836" s="1" t="s">
        <v>74</v>
      </c>
      <c r="BI836" s="1" t="s">
        <v>74</v>
      </c>
      <c r="BJ836" s="1" t="s">
        <v>74</v>
      </c>
      <c r="BK836" s="1" t="s">
        <v>74</v>
      </c>
      <c r="BL836" s="1" t="s">
        <v>74</v>
      </c>
      <c r="BM836" s="1" t="s">
        <v>74</v>
      </c>
      <c r="BN836" s="1">
        <v>3.0611492E7</v>
      </c>
      <c r="BO836" s="1" t="s">
        <v>74</v>
      </c>
      <c r="BP836" s="1" t="s">
        <v>74</v>
      </c>
      <c r="BQ836" s="1" t="s">
        <v>74</v>
      </c>
      <c r="BR836" s="1" t="s">
        <v>74</v>
      </c>
      <c r="BS836" s="1" t="s">
        <v>7834</v>
      </c>
      <c r="BT836" s="1" t="str">
        <f>HYPERLINK("https%3A%2F%2Fwww.webofscience.com%2Fwos%2Fwoscc%2Ffull-record%2FWOS:000454689200035","View Full Record in Web of Science")</f>
        <v>View Full Record in Web of Science</v>
      </c>
    </row>
    <row r="837" ht="12.75" customHeight="1">
      <c r="A837" s="1" t="s">
        <v>346</v>
      </c>
      <c r="B837" s="1" t="s">
        <v>7835</v>
      </c>
      <c r="C837" s="1" t="s">
        <v>74</v>
      </c>
      <c r="D837" s="1" t="s">
        <v>74</v>
      </c>
      <c r="E837" s="1" t="s">
        <v>348</v>
      </c>
      <c r="F837" s="1" t="s">
        <v>7836</v>
      </c>
      <c r="G837" s="1" t="s">
        <v>74</v>
      </c>
      <c r="H837" s="1" t="s">
        <v>74</v>
      </c>
      <c r="I837" s="1" t="s">
        <v>7837</v>
      </c>
      <c r="J837" s="1" t="s">
        <v>7838</v>
      </c>
      <c r="K837" s="1" t="s">
        <v>74</v>
      </c>
      <c r="L837" s="1" t="s">
        <v>74</v>
      </c>
      <c r="M837" s="1" t="s">
        <v>74</v>
      </c>
      <c r="N837" s="1" t="s">
        <v>74</v>
      </c>
      <c r="O837" s="1" t="s">
        <v>7839</v>
      </c>
      <c r="P837" s="1" t="s">
        <v>7840</v>
      </c>
      <c r="Q837" s="1" t="s">
        <v>7841</v>
      </c>
      <c r="R837" s="1" t="s">
        <v>7842</v>
      </c>
      <c r="S837" s="1" t="s">
        <v>74</v>
      </c>
      <c r="T837" s="1" t="s">
        <v>74</v>
      </c>
      <c r="U837" s="1" t="s">
        <v>74</v>
      </c>
      <c r="V837" s="1" t="s">
        <v>7843</v>
      </c>
      <c r="W837" s="1" t="s">
        <v>74</v>
      </c>
      <c r="X837" s="1" t="s">
        <v>74</v>
      </c>
      <c r="Y837" s="1" t="s">
        <v>74</v>
      </c>
      <c r="Z837" s="1" t="s">
        <v>74</v>
      </c>
      <c r="AA837" s="1" t="s">
        <v>7844</v>
      </c>
      <c r="AB837" s="1" t="s">
        <v>7845</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74</v>
      </c>
      <c r="AP837" s="1" t="s">
        <v>74</v>
      </c>
      <c r="AQ837" s="1" t="s">
        <v>7846</v>
      </c>
      <c r="AR837" s="1" t="s">
        <v>74</v>
      </c>
      <c r="AS837" s="1" t="s">
        <v>74</v>
      </c>
      <c r="AT837" s="1" t="s">
        <v>74</v>
      </c>
      <c r="AU837" s="1">
        <v>2019.0</v>
      </c>
      <c r="AV837" s="1" t="s">
        <v>74</v>
      </c>
      <c r="AW837" s="1" t="s">
        <v>74</v>
      </c>
      <c r="AX837" s="1" t="s">
        <v>74</v>
      </c>
      <c r="AY837" s="1" t="s">
        <v>74</v>
      </c>
      <c r="AZ837" s="1" t="s">
        <v>74</v>
      </c>
      <c r="BA837" s="1" t="s">
        <v>74</v>
      </c>
      <c r="BB837" s="1" t="s">
        <v>74</v>
      </c>
      <c r="BC837" s="1" t="s">
        <v>74</v>
      </c>
      <c r="BD837" s="1" t="s">
        <v>74</v>
      </c>
      <c r="BE837" s="1" t="s">
        <v>7847</v>
      </c>
      <c r="BF837" s="2" t="str">
        <f>HYPERLINK("http://dx.doi.org/10.1109/chilecon47746.2019.8988035","http://dx.doi.org/10.1109/chilecon47746.2019.8988035")</f>
        <v>http://dx.doi.org/10.1109/chilecon47746.2019.8988035</v>
      </c>
      <c r="BG837" s="1" t="s">
        <v>74</v>
      </c>
      <c r="BH837" s="1" t="s">
        <v>74</v>
      </c>
      <c r="BI837" s="1" t="s">
        <v>74</v>
      </c>
      <c r="BJ837" s="1" t="s">
        <v>74</v>
      </c>
      <c r="BK837" s="1" t="s">
        <v>74</v>
      </c>
      <c r="BL837" s="1" t="s">
        <v>74</v>
      </c>
      <c r="BM837" s="1" t="s">
        <v>74</v>
      </c>
      <c r="BN837" s="1">
        <v>3.1190677E7</v>
      </c>
      <c r="BO837" s="1" t="s">
        <v>74</v>
      </c>
      <c r="BP837" s="1" t="s">
        <v>74</v>
      </c>
      <c r="BQ837" s="1" t="s">
        <v>74</v>
      </c>
      <c r="BR837" s="1" t="s">
        <v>74</v>
      </c>
      <c r="BS837" s="1" t="s">
        <v>7848</v>
      </c>
      <c r="BT837" s="1" t="str">
        <f>HYPERLINK("https%3A%2F%2Fwww.webofscience.com%2Fwos%2Fwoscc%2Ffull-record%2FWOS:000542919100138","View Full Record in Web of Science")</f>
        <v>View Full Record in Web of Science</v>
      </c>
    </row>
    <row r="838" ht="12.75" customHeight="1">
      <c r="A838" s="1" t="s">
        <v>72</v>
      </c>
      <c r="B838" s="1" t="s">
        <v>7849</v>
      </c>
      <c r="C838" s="1" t="s">
        <v>74</v>
      </c>
      <c r="D838" s="1" t="s">
        <v>74</v>
      </c>
      <c r="E838" s="1" t="s">
        <v>74</v>
      </c>
      <c r="F838" s="1" t="s">
        <v>7850</v>
      </c>
      <c r="G838" s="1" t="s">
        <v>74</v>
      </c>
      <c r="H838" s="1" t="s">
        <v>74</v>
      </c>
      <c r="I838" s="1" t="s">
        <v>7851</v>
      </c>
      <c r="J838" s="1" t="s">
        <v>7852</v>
      </c>
      <c r="K838" s="1" t="s">
        <v>74</v>
      </c>
      <c r="L838" s="1" t="s">
        <v>74</v>
      </c>
      <c r="M838" s="1" t="s">
        <v>74</v>
      </c>
      <c r="N838" s="1" t="s">
        <v>74</v>
      </c>
      <c r="O838" s="1" t="s">
        <v>74</v>
      </c>
      <c r="P838" s="1" t="s">
        <v>74</v>
      </c>
      <c r="Q838" s="1" t="s">
        <v>74</v>
      </c>
      <c r="R838" s="1" t="s">
        <v>74</v>
      </c>
      <c r="S838" s="1" t="s">
        <v>74</v>
      </c>
      <c r="T838" s="1" t="s">
        <v>74</v>
      </c>
      <c r="U838" s="1" t="s">
        <v>74</v>
      </c>
      <c r="V838" s="1" t="s">
        <v>7853</v>
      </c>
      <c r="W838" s="1" t="s">
        <v>74</v>
      </c>
      <c r="X838" s="1" t="s">
        <v>74</v>
      </c>
      <c r="Y838" s="1" t="s">
        <v>74</v>
      </c>
      <c r="Z838" s="1" t="s">
        <v>74</v>
      </c>
      <c r="AA838" s="1" t="s">
        <v>7854</v>
      </c>
      <c r="AB838" s="1" t="s">
        <v>7855</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7856</v>
      </c>
      <c r="AP838" s="1" t="s">
        <v>7857</v>
      </c>
      <c r="AQ838" s="1" t="s">
        <v>74</v>
      </c>
      <c r="AR838" s="1" t="s">
        <v>74</v>
      </c>
      <c r="AS838" s="1" t="s">
        <v>74</v>
      </c>
      <c r="AT838" s="1" t="s">
        <v>95</v>
      </c>
      <c r="AU838" s="1">
        <v>2018.0</v>
      </c>
      <c r="AV838" s="1">
        <v>42.0</v>
      </c>
      <c r="AW838" s="1">
        <v>6.0</v>
      </c>
      <c r="AX838" s="1" t="s">
        <v>74</v>
      </c>
      <c r="AY838" s="1" t="s">
        <v>74</v>
      </c>
      <c r="AZ838" s="1" t="s">
        <v>74</v>
      </c>
      <c r="BA838" s="1" t="s">
        <v>74</v>
      </c>
      <c r="BB838" s="1">
        <v>909.0</v>
      </c>
      <c r="BC838" s="1">
        <v>919.0</v>
      </c>
      <c r="BD838" s="1" t="s">
        <v>74</v>
      </c>
      <c r="BE838" s="1" t="s">
        <v>7858</v>
      </c>
      <c r="BF838" s="2" t="str">
        <f>HYPERLINK("http://dx.doi.org/10.1007/s11031-018-9707-1","http://dx.doi.org/10.1007/s11031-018-9707-1")</f>
        <v>http://dx.doi.org/10.1007/s11031-018-9707-1</v>
      </c>
      <c r="BG838" s="1" t="s">
        <v>74</v>
      </c>
      <c r="BH838" s="1" t="s">
        <v>74</v>
      </c>
      <c r="BI838" s="1" t="s">
        <v>74</v>
      </c>
      <c r="BJ838" s="1" t="s">
        <v>74</v>
      </c>
      <c r="BK838" s="1" t="s">
        <v>74</v>
      </c>
      <c r="BL838" s="1" t="s">
        <v>74</v>
      </c>
      <c r="BM838" s="1" t="s">
        <v>74</v>
      </c>
      <c r="BN838" s="1" t="s">
        <v>74</v>
      </c>
      <c r="BO838" s="1" t="s">
        <v>74</v>
      </c>
      <c r="BP838" s="1" t="s">
        <v>74</v>
      </c>
      <c r="BQ838" s="1" t="s">
        <v>74</v>
      </c>
      <c r="BR838" s="1" t="s">
        <v>74</v>
      </c>
      <c r="BS838" s="1" t="s">
        <v>7859</v>
      </c>
      <c r="BT838" s="1" t="str">
        <f>HYPERLINK("https%3A%2F%2Fwww.webofscience.com%2Fwos%2Fwoscc%2Ffull-record%2FWOS:000448432600009","View Full Record in Web of Science")</f>
        <v>View Full Record in Web of Science</v>
      </c>
    </row>
    <row r="839" ht="12.75" customHeight="1">
      <c r="A839" s="1" t="s">
        <v>72</v>
      </c>
      <c r="B839" s="1" t="s">
        <v>7860</v>
      </c>
      <c r="C839" s="1" t="s">
        <v>74</v>
      </c>
      <c r="D839" s="1" t="s">
        <v>74</v>
      </c>
      <c r="E839" s="1" t="s">
        <v>74</v>
      </c>
      <c r="F839" s="1" t="s">
        <v>7861</v>
      </c>
      <c r="G839" s="1" t="s">
        <v>74</v>
      </c>
      <c r="H839" s="1" t="s">
        <v>74</v>
      </c>
      <c r="I839" s="1" t="s">
        <v>7862</v>
      </c>
      <c r="J839" s="1" t="s">
        <v>90</v>
      </c>
      <c r="K839" s="1" t="s">
        <v>74</v>
      </c>
      <c r="L839" s="1" t="s">
        <v>74</v>
      </c>
      <c r="M839" s="1" t="s">
        <v>74</v>
      </c>
      <c r="N839" s="1" t="s">
        <v>74</v>
      </c>
      <c r="O839" s="1" t="s">
        <v>74</v>
      </c>
      <c r="P839" s="1" t="s">
        <v>74</v>
      </c>
      <c r="Q839" s="1" t="s">
        <v>74</v>
      </c>
      <c r="R839" s="1" t="s">
        <v>74</v>
      </c>
      <c r="S839" s="1" t="s">
        <v>74</v>
      </c>
      <c r="T839" s="1" t="s">
        <v>74</v>
      </c>
      <c r="U839" s="1" t="s">
        <v>74</v>
      </c>
      <c r="V839" s="1" t="s">
        <v>7863</v>
      </c>
      <c r="W839" s="1" t="s">
        <v>74</v>
      </c>
      <c r="X839" s="1" t="s">
        <v>74</v>
      </c>
      <c r="Y839" s="1" t="s">
        <v>74</v>
      </c>
      <c r="Z839" s="1" t="s">
        <v>74</v>
      </c>
      <c r="AA839" s="1" t="s">
        <v>7864</v>
      </c>
      <c r="AB839" s="1" t="s">
        <v>7865</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74</v>
      </c>
      <c r="AP839" s="1" t="s">
        <v>94</v>
      </c>
      <c r="AQ839" s="1" t="s">
        <v>74</v>
      </c>
      <c r="AR839" s="1" t="s">
        <v>74</v>
      </c>
      <c r="AS839" s="1" t="s">
        <v>74</v>
      </c>
      <c r="AT839" s="1" t="s">
        <v>164</v>
      </c>
      <c r="AU839" s="1">
        <v>2018.0</v>
      </c>
      <c r="AV839" s="1">
        <v>23.0</v>
      </c>
      <c r="AW839" s="1">
        <v>7.0</v>
      </c>
      <c r="AX839" s="1" t="s">
        <v>74</v>
      </c>
      <c r="AY839" s="1" t="s">
        <v>74</v>
      </c>
      <c r="AZ839" s="1" t="s">
        <v>74</v>
      </c>
      <c r="BA839" s="1" t="s">
        <v>74</v>
      </c>
      <c r="BB839" s="1" t="s">
        <v>74</v>
      </c>
      <c r="BC839" s="1" t="s">
        <v>74</v>
      </c>
      <c r="BD839" s="1">
        <v>1629.0</v>
      </c>
      <c r="BE839" s="1" t="s">
        <v>7866</v>
      </c>
      <c r="BF839" s="2" t="str">
        <f>HYPERLINK("http://dx.doi.org/10.3390/molecules23071629","http://dx.doi.org/10.3390/molecules23071629")</f>
        <v>http://dx.doi.org/10.3390/molecules23071629</v>
      </c>
      <c r="BG839" s="1" t="s">
        <v>74</v>
      </c>
      <c r="BH839" s="1" t="s">
        <v>74</v>
      </c>
      <c r="BI839" s="1" t="s">
        <v>74</v>
      </c>
      <c r="BJ839" s="1" t="s">
        <v>74</v>
      </c>
      <c r="BK839" s="1" t="s">
        <v>74</v>
      </c>
      <c r="BL839" s="1" t="s">
        <v>74</v>
      </c>
      <c r="BM839" s="1" t="s">
        <v>74</v>
      </c>
      <c r="BN839" s="1">
        <v>2.9973523E7</v>
      </c>
      <c r="BO839" s="1" t="s">
        <v>74</v>
      </c>
      <c r="BP839" s="1" t="s">
        <v>74</v>
      </c>
      <c r="BQ839" s="1" t="s">
        <v>74</v>
      </c>
      <c r="BR839" s="1" t="s">
        <v>74</v>
      </c>
      <c r="BS839" s="1" t="s">
        <v>7867</v>
      </c>
      <c r="BT839" s="1" t="str">
        <f>HYPERLINK("https%3A%2F%2Fwww.webofscience.com%2Fwos%2Fwoscc%2Ffull-record%2FWOS:000445301800132","View Full Record in Web of Science")</f>
        <v>View Full Record in Web of Science</v>
      </c>
    </row>
    <row r="840" ht="12.75" customHeight="1">
      <c r="A840" s="1" t="s">
        <v>72</v>
      </c>
      <c r="B840" s="1" t="s">
        <v>7868</v>
      </c>
      <c r="C840" s="1" t="s">
        <v>74</v>
      </c>
      <c r="D840" s="1" t="s">
        <v>74</v>
      </c>
      <c r="E840" s="1" t="s">
        <v>74</v>
      </c>
      <c r="F840" s="1" t="s">
        <v>7869</v>
      </c>
      <c r="G840" s="1" t="s">
        <v>74</v>
      </c>
      <c r="H840" s="1" t="s">
        <v>74</v>
      </c>
      <c r="I840" s="1" t="s">
        <v>7870</v>
      </c>
      <c r="J840" s="1" t="s">
        <v>7871</v>
      </c>
      <c r="K840" s="1" t="s">
        <v>74</v>
      </c>
      <c r="L840" s="1" t="s">
        <v>74</v>
      </c>
      <c r="M840" s="1" t="s">
        <v>74</v>
      </c>
      <c r="N840" s="1" t="s">
        <v>74</v>
      </c>
      <c r="O840" s="1" t="s">
        <v>74</v>
      </c>
      <c r="P840" s="1" t="s">
        <v>74</v>
      </c>
      <c r="Q840" s="1" t="s">
        <v>74</v>
      </c>
      <c r="R840" s="1" t="s">
        <v>74</v>
      </c>
      <c r="S840" s="1" t="s">
        <v>74</v>
      </c>
      <c r="T840" s="1" t="s">
        <v>74</v>
      </c>
      <c r="U840" s="1" t="s">
        <v>74</v>
      </c>
      <c r="V840" s="1" t="s">
        <v>7872</v>
      </c>
      <c r="W840" s="1" t="s">
        <v>74</v>
      </c>
      <c r="X840" s="1" t="s">
        <v>74</v>
      </c>
      <c r="Y840" s="1" t="s">
        <v>74</v>
      </c>
      <c r="Z840" s="1" t="s">
        <v>74</v>
      </c>
      <c r="AA840" s="1" t="s">
        <v>7873</v>
      </c>
      <c r="AB840" s="1" t="s">
        <v>7874</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7875</v>
      </c>
      <c r="AP840" s="1" t="s">
        <v>7876</v>
      </c>
      <c r="AQ840" s="1" t="s">
        <v>74</v>
      </c>
      <c r="AR840" s="1" t="s">
        <v>74</v>
      </c>
      <c r="AS840" s="1" t="s">
        <v>74</v>
      </c>
      <c r="AT840" s="1" t="s">
        <v>83</v>
      </c>
      <c r="AU840" s="1">
        <v>2017.0</v>
      </c>
      <c r="AV840" s="1">
        <v>10.0</v>
      </c>
      <c r="AW840" s="1">
        <v>1.0</v>
      </c>
      <c r="AX840" s="1" t="s">
        <v>74</v>
      </c>
      <c r="AY840" s="1" t="s">
        <v>74</v>
      </c>
      <c r="AZ840" s="1" t="s">
        <v>74</v>
      </c>
      <c r="BA840" s="1" t="s">
        <v>74</v>
      </c>
      <c r="BB840" s="1">
        <v>15.0</v>
      </c>
      <c r="BC840" s="1">
        <v>27.0</v>
      </c>
      <c r="BD840" s="1" t="s">
        <v>74</v>
      </c>
      <c r="BE840" s="1" t="s">
        <v>7877</v>
      </c>
      <c r="BF840" s="2" t="str">
        <f>HYPERLINK("http://dx.doi.org/10.1007/s12289-015-1255-6","http://dx.doi.org/10.1007/s12289-015-1255-6")</f>
        <v>http://dx.doi.org/10.1007/s12289-015-1255-6</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7878</v>
      </c>
      <c r="BT840" s="1" t="str">
        <f>HYPERLINK("https%3A%2F%2Fwww.webofscience.com%2Fwos%2Fwoscc%2Ffull-record%2FWOS:000394998100003","View Full Record in Web of Science")</f>
        <v>View Full Record in Web of Science</v>
      </c>
    </row>
    <row r="841" ht="12.75" customHeight="1">
      <c r="A841" s="1" t="s">
        <v>72</v>
      </c>
      <c r="B841" s="1" t="s">
        <v>7879</v>
      </c>
      <c r="C841" s="1" t="s">
        <v>74</v>
      </c>
      <c r="D841" s="1" t="s">
        <v>74</v>
      </c>
      <c r="E841" s="1" t="s">
        <v>74</v>
      </c>
      <c r="F841" s="1" t="s">
        <v>7880</v>
      </c>
      <c r="G841" s="1" t="s">
        <v>74</v>
      </c>
      <c r="H841" s="1" t="s">
        <v>74</v>
      </c>
      <c r="I841" s="1" t="s">
        <v>7881</v>
      </c>
      <c r="J841" s="1" t="s">
        <v>7882</v>
      </c>
      <c r="K841" s="1" t="s">
        <v>74</v>
      </c>
      <c r="L841" s="1" t="s">
        <v>74</v>
      </c>
      <c r="M841" s="1" t="s">
        <v>74</v>
      </c>
      <c r="N841" s="1" t="s">
        <v>74</v>
      </c>
      <c r="O841" s="1" t="s">
        <v>74</v>
      </c>
      <c r="P841" s="1" t="s">
        <v>74</v>
      </c>
      <c r="Q841" s="1" t="s">
        <v>74</v>
      </c>
      <c r="R841" s="1" t="s">
        <v>74</v>
      </c>
      <c r="S841" s="1" t="s">
        <v>74</v>
      </c>
      <c r="T841" s="1" t="s">
        <v>74</v>
      </c>
      <c r="U841" s="1" t="s">
        <v>74</v>
      </c>
      <c r="V841" s="1" t="s">
        <v>7883</v>
      </c>
      <c r="W841" s="1" t="s">
        <v>74</v>
      </c>
      <c r="X841" s="1" t="s">
        <v>74</v>
      </c>
      <c r="Y841" s="1" t="s">
        <v>74</v>
      </c>
      <c r="Z841" s="1" t="s">
        <v>74</v>
      </c>
      <c r="AA841" s="1" t="s">
        <v>7884</v>
      </c>
      <c r="AB841" s="1" t="s">
        <v>7885</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7886</v>
      </c>
      <c r="AP841" s="1" t="s">
        <v>7887</v>
      </c>
      <c r="AQ841" s="1" t="s">
        <v>74</v>
      </c>
      <c r="AR841" s="1" t="s">
        <v>74</v>
      </c>
      <c r="AS841" s="1" t="s">
        <v>74</v>
      </c>
      <c r="AT841" s="1" t="s">
        <v>647</v>
      </c>
      <c r="AU841" s="1">
        <v>2016.0</v>
      </c>
      <c r="AV841" s="1">
        <v>157.0</v>
      </c>
      <c r="AW841" s="1" t="s">
        <v>74</v>
      </c>
      <c r="AX841" s="1" t="s">
        <v>74</v>
      </c>
      <c r="AY841" s="1" t="s">
        <v>74</v>
      </c>
      <c r="AZ841" s="1" t="s">
        <v>74</v>
      </c>
      <c r="BA841" s="1" t="s">
        <v>74</v>
      </c>
      <c r="BB841" s="1">
        <v>89.0</v>
      </c>
      <c r="BC841" s="1">
        <v>96.0</v>
      </c>
      <c r="BD841" s="1" t="s">
        <v>74</v>
      </c>
      <c r="BE841" s="1" t="s">
        <v>7888</v>
      </c>
      <c r="BF841" s="2" t="str">
        <f>HYPERLINK("http://dx.doi.org/10.1016/j.chemosphere.2016.05.034","http://dx.doi.org/10.1016/j.chemosphere.2016.05.034")</f>
        <v>http://dx.doi.org/10.1016/j.chemosphere.2016.05.034</v>
      </c>
      <c r="BG841" s="1" t="s">
        <v>74</v>
      </c>
      <c r="BH841" s="1" t="s">
        <v>74</v>
      </c>
      <c r="BI841" s="1" t="s">
        <v>74</v>
      </c>
      <c r="BJ841" s="1" t="s">
        <v>74</v>
      </c>
      <c r="BK841" s="1" t="s">
        <v>74</v>
      </c>
      <c r="BL841" s="1" t="s">
        <v>74</v>
      </c>
      <c r="BM841" s="1" t="s">
        <v>74</v>
      </c>
      <c r="BN841" s="1">
        <v>2.7209557E7</v>
      </c>
      <c r="BO841" s="1" t="s">
        <v>74</v>
      </c>
      <c r="BP841" s="1" t="s">
        <v>74</v>
      </c>
      <c r="BQ841" s="1" t="s">
        <v>74</v>
      </c>
      <c r="BR841" s="1" t="s">
        <v>74</v>
      </c>
      <c r="BS841" s="1" t="s">
        <v>7889</v>
      </c>
      <c r="BT841" s="1" t="str">
        <f>HYPERLINK("https%3A%2F%2Fwww.webofscience.com%2Fwos%2Fwoscc%2Ffull-record%2FWOS:000378452400012","View Full Record in Web of Science")</f>
        <v>View Full Record in Web of Science</v>
      </c>
    </row>
    <row r="842" ht="12.75" customHeight="1">
      <c r="A842" s="1" t="s">
        <v>72</v>
      </c>
      <c r="B842" s="1" t="s">
        <v>7890</v>
      </c>
      <c r="C842" s="1" t="s">
        <v>74</v>
      </c>
      <c r="D842" s="1" t="s">
        <v>74</v>
      </c>
      <c r="E842" s="1" t="s">
        <v>74</v>
      </c>
      <c r="F842" s="1" t="s">
        <v>7891</v>
      </c>
      <c r="G842" s="1" t="s">
        <v>74</v>
      </c>
      <c r="H842" s="1" t="s">
        <v>74</v>
      </c>
      <c r="I842" s="1" t="s">
        <v>7892</v>
      </c>
      <c r="J842" s="1" t="s">
        <v>2716</v>
      </c>
      <c r="K842" s="1" t="s">
        <v>74</v>
      </c>
      <c r="L842" s="1" t="s">
        <v>74</v>
      </c>
      <c r="M842" s="1" t="s">
        <v>74</v>
      </c>
      <c r="N842" s="1" t="s">
        <v>74</v>
      </c>
      <c r="O842" s="1" t="s">
        <v>74</v>
      </c>
      <c r="P842" s="1" t="s">
        <v>74</v>
      </c>
      <c r="Q842" s="1" t="s">
        <v>74</v>
      </c>
      <c r="R842" s="1" t="s">
        <v>74</v>
      </c>
      <c r="S842" s="1" t="s">
        <v>74</v>
      </c>
      <c r="T842" s="1" t="s">
        <v>74</v>
      </c>
      <c r="U842" s="1" t="s">
        <v>74</v>
      </c>
      <c r="V842" s="1" t="s">
        <v>7893</v>
      </c>
      <c r="W842" s="1" t="s">
        <v>74</v>
      </c>
      <c r="X842" s="1" t="s">
        <v>74</v>
      </c>
      <c r="Y842" s="1" t="s">
        <v>74</v>
      </c>
      <c r="Z842" s="1" t="s">
        <v>74</v>
      </c>
      <c r="AA842" s="1" t="s">
        <v>7894</v>
      </c>
      <c r="AB842" s="1" t="s">
        <v>7895</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2720</v>
      </c>
      <c r="AP842" s="1" t="s">
        <v>74</v>
      </c>
      <c r="AQ842" s="1" t="s">
        <v>74</v>
      </c>
      <c r="AR842" s="1" t="s">
        <v>74</v>
      </c>
      <c r="AS842" s="1" t="s">
        <v>74</v>
      </c>
      <c r="AT842" s="1" t="s">
        <v>554</v>
      </c>
      <c r="AU842" s="1">
        <v>2016.0</v>
      </c>
      <c r="AV842" s="1">
        <v>14.0</v>
      </c>
      <c r="AW842" s="1">
        <v>6.0</v>
      </c>
      <c r="AX842" s="1" t="s">
        <v>74</v>
      </c>
      <c r="AY842" s="1" t="s">
        <v>74</v>
      </c>
      <c r="AZ842" s="1" t="s">
        <v>297</v>
      </c>
      <c r="BA842" s="1" t="s">
        <v>74</v>
      </c>
      <c r="BB842" s="1">
        <v>2598.0</v>
      </c>
      <c r="BC842" s="1">
        <v>2604.0</v>
      </c>
      <c r="BD842" s="1" t="s">
        <v>74</v>
      </c>
      <c r="BE842" s="1" t="s">
        <v>7896</v>
      </c>
      <c r="BF842" s="2" t="str">
        <f>HYPERLINK("http://dx.doi.org/10.1109/TLA.2016.7555225","http://dx.doi.org/10.1109/TLA.2016.7555225")</f>
        <v>http://dx.doi.org/10.1109/TLA.2016.7555225</v>
      </c>
      <c r="BG842" s="1" t="s">
        <v>74</v>
      </c>
      <c r="BH842" s="1" t="s">
        <v>74</v>
      </c>
      <c r="BI842" s="1" t="s">
        <v>74</v>
      </c>
      <c r="BJ842" s="1" t="s">
        <v>74</v>
      </c>
      <c r="BK842" s="1" t="s">
        <v>74</v>
      </c>
      <c r="BL842" s="1" t="s">
        <v>74</v>
      </c>
      <c r="BM842" s="1" t="s">
        <v>74</v>
      </c>
      <c r="BN842" s="1" t="s">
        <v>74</v>
      </c>
      <c r="BO842" s="1" t="s">
        <v>74</v>
      </c>
      <c r="BP842" s="1" t="s">
        <v>74</v>
      </c>
      <c r="BQ842" s="1" t="s">
        <v>74</v>
      </c>
      <c r="BR842" s="1" t="s">
        <v>74</v>
      </c>
      <c r="BS842" s="1" t="s">
        <v>7897</v>
      </c>
      <c r="BT842" s="1" t="str">
        <f>HYPERLINK("https%3A%2F%2Fwww.webofscience.com%2Fwos%2Fwoscc%2Ffull-record%2FWOS:000382638500011","View Full Record in Web of Science")</f>
        <v>View Full Record in Web of Science</v>
      </c>
    </row>
    <row r="843" ht="12.75" customHeight="1">
      <c r="A843" s="1" t="s">
        <v>72</v>
      </c>
      <c r="B843" s="1" t="s">
        <v>7898</v>
      </c>
      <c r="C843" s="1" t="s">
        <v>74</v>
      </c>
      <c r="D843" s="1" t="s">
        <v>74</v>
      </c>
      <c r="E843" s="1" t="s">
        <v>74</v>
      </c>
      <c r="F843" s="1" t="s">
        <v>7899</v>
      </c>
      <c r="G843" s="1" t="s">
        <v>74</v>
      </c>
      <c r="H843" s="1" t="s">
        <v>74</v>
      </c>
      <c r="I843" s="1" t="s">
        <v>7900</v>
      </c>
      <c r="J843" s="1" t="s">
        <v>7901</v>
      </c>
      <c r="K843" s="1" t="s">
        <v>74</v>
      </c>
      <c r="L843" s="1" t="s">
        <v>74</v>
      </c>
      <c r="M843" s="1" t="s">
        <v>74</v>
      </c>
      <c r="N843" s="1" t="s">
        <v>74</v>
      </c>
      <c r="O843" s="1" t="s">
        <v>74</v>
      </c>
      <c r="P843" s="1" t="s">
        <v>74</v>
      </c>
      <c r="Q843" s="1" t="s">
        <v>74</v>
      </c>
      <c r="R843" s="1" t="s">
        <v>74</v>
      </c>
      <c r="S843" s="1" t="s">
        <v>74</v>
      </c>
      <c r="T843" s="1" t="s">
        <v>74</v>
      </c>
      <c r="U843" s="1" t="s">
        <v>74</v>
      </c>
      <c r="V843" s="1" t="s">
        <v>7902</v>
      </c>
      <c r="W843" s="1" t="s">
        <v>74</v>
      </c>
      <c r="X843" s="1" t="s">
        <v>74</v>
      </c>
      <c r="Y843" s="1" t="s">
        <v>74</v>
      </c>
      <c r="Z843" s="1" t="s">
        <v>74</v>
      </c>
      <c r="AA843" s="1" t="s">
        <v>7903</v>
      </c>
      <c r="AB843" s="1" t="s">
        <v>7904</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7905</v>
      </c>
      <c r="AP843" s="1" t="s">
        <v>7906</v>
      </c>
      <c r="AQ843" s="1" t="s">
        <v>74</v>
      </c>
      <c r="AR843" s="1" t="s">
        <v>74</v>
      </c>
      <c r="AS843" s="1" t="s">
        <v>74</v>
      </c>
      <c r="AT843" s="1" t="s">
        <v>95</v>
      </c>
      <c r="AU843" s="1">
        <v>2015.0</v>
      </c>
      <c r="AV843" s="1">
        <v>32.0</v>
      </c>
      <c r="AW843" s="1">
        <v>6.0</v>
      </c>
      <c r="AX843" s="1" t="s">
        <v>74</v>
      </c>
      <c r="AY843" s="1" t="s">
        <v>74</v>
      </c>
      <c r="AZ843" s="1" t="s">
        <v>74</v>
      </c>
      <c r="BA843" s="1" t="s">
        <v>74</v>
      </c>
      <c r="BB843" s="1">
        <v>2460.0</v>
      </c>
      <c r="BC843" s="1">
        <v>2471.0</v>
      </c>
      <c r="BD843" s="1" t="s">
        <v>74</v>
      </c>
      <c r="BE843" s="1" t="s">
        <v>7907</v>
      </c>
      <c r="BF843" s="2" t="str">
        <f>HYPERLINK("http://dx.doi.org/10.3305/nh.2015.32.6.9776","http://dx.doi.org/10.3305/nh.2015.32.6.9776")</f>
        <v>http://dx.doi.org/10.3305/nh.2015.32.6.9776</v>
      </c>
      <c r="BG843" s="1" t="s">
        <v>74</v>
      </c>
      <c r="BH843" s="1" t="s">
        <v>74</v>
      </c>
      <c r="BI843" s="1" t="s">
        <v>74</v>
      </c>
      <c r="BJ843" s="1" t="s">
        <v>74</v>
      </c>
      <c r="BK843" s="1" t="s">
        <v>74</v>
      </c>
      <c r="BL843" s="1" t="s">
        <v>74</v>
      </c>
      <c r="BM843" s="1" t="s">
        <v>74</v>
      </c>
      <c r="BN843" s="1">
        <v>2.6667692E7</v>
      </c>
      <c r="BO843" s="1" t="s">
        <v>74</v>
      </c>
      <c r="BP843" s="1" t="s">
        <v>74</v>
      </c>
      <c r="BQ843" s="1" t="s">
        <v>74</v>
      </c>
      <c r="BR843" s="1" t="s">
        <v>74</v>
      </c>
      <c r="BS843" s="1" t="s">
        <v>7908</v>
      </c>
      <c r="BT843" s="1" t="str">
        <f>HYPERLINK("https%3A%2F%2Fwww.webofscience.com%2Fwos%2Fwoscc%2Ffull-record%2FWOS:000367417600014","View Full Record in Web of Science")</f>
        <v>View Full Record in Web of Science</v>
      </c>
    </row>
    <row r="844" ht="12.75" customHeight="1">
      <c r="A844" s="1" t="s">
        <v>72</v>
      </c>
      <c r="B844" s="1" t="s">
        <v>7909</v>
      </c>
      <c r="C844" s="1" t="s">
        <v>74</v>
      </c>
      <c r="D844" s="1" t="s">
        <v>74</v>
      </c>
      <c r="E844" s="1" t="s">
        <v>74</v>
      </c>
      <c r="F844" s="1" t="s">
        <v>7910</v>
      </c>
      <c r="G844" s="1" t="s">
        <v>74</v>
      </c>
      <c r="H844" s="1" t="s">
        <v>74</v>
      </c>
      <c r="I844" s="1" t="s">
        <v>7911</v>
      </c>
      <c r="J844" s="1" t="s">
        <v>7912</v>
      </c>
      <c r="K844" s="1" t="s">
        <v>74</v>
      </c>
      <c r="L844" s="1" t="s">
        <v>74</v>
      </c>
      <c r="M844" s="1" t="s">
        <v>74</v>
      </c>
      <c r="N844" s="1" t="s">
        <v>74</v>
      </c>
      <c r="O844" s="1" t="s">
        <v>74</v>
      </c>
      <c r="P844" s="1" t="s">
        <v>74</v>
      </c>
      <c r="Q844" s="1" t="s">
        <v>74</v>
      </c>
      <c r="R844" s="1" t="s">
        <v>74</v>
      </c>
      <c r="S844" s="1" t="s">
        <v>74</v>
      </c>
      <c r="T844" s="1" t="s">
        <v>74</v>
      </c>
      <c r="U844" s="1" t="s">
        <v>74</v>
      </c>
      <c r="V844" s="1" t="s">
        <v>7913</v>
      </c>
      <c r="W844" s="1" t="s">
        <v>74</v>
      </c>
      <c r="X844" s="1" t="s">
        <v>74</v>
      </c>
      <c r="Y844" s="1" t="s">
        <v>74</v>
      </c>
      <c r="Z844" s="1" t="s">
        <v>74</v>
      </c>
      <c r="AA844" s="1" t="s">
        <v>7914</v>
      </c>
      <c r="AB844" s="1" t="s">
        <v>7915</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7916</v>
      </c>
      <c r="AP844" s="1" t="s">
        <v>7917</v>
      </c>
      <c r="AQ844" s="1" t="s">
        <v>74</v>
      </c>
      <c r="AR844" s="1" t="s">
        <v>74</v>
      </c>
      <c r="AS844" s="1" t="s">
        <v>74</v>
      </c>
      <c r="AT844" s="1" t="s">
        <v>164</v>
      </c>
      <c r="AU844" s="1">
        <v>2014.0</v>
      </c>
      <c r="AV844" s="1">
        <v>93.0</v>
      </c>
      <c r="AW844" s="1" t="s">
        <v>74</v>
      </c>
      <c r="AX844" s="1" t="s">
        <v>74</v>
      </c>
      <c r="AY844" s="1" t="s">
        <v>74</v>
      </c>
      <c r="AZ844" s="1" t="s">
        <v>74</v>
      </c>
      <c r="BA844" s="1" t="s">
        <v>74</v>
      </c>
      <c r="BB844" s="1">
        <v>191.0</v>
      </c>
      <c r="BC844" s="1">
        <v>197.0</v>
      </c>
      <c r="BD844" s="1" t="s">
        <v>74</v>
      </c>
      <c r="BE844" s="1" t="s">
        <v>7918</v>
      </c>
      <c r="BF844" s="2" t="str">
        <f>HYPERLINK("http://dx.doi.org/10.1016/j.matchar.2014.02.015","http://dx.doi.org/10.1016/j.matchar.2014.02.015")</f>
        <v>http://dx.doi.org/10.1016/j.matchar.2014.02.015</v>
      </c>
      <c r="BG844" s="1" t="s">
        <v>74</v>
      </c>
      <c r="BH844" s="1" t="s">
        <v>74</v>
      </c>
      <c r="BI844" s="1" t="s">
        <v>74</v>
      </c>
      <c r="BJ844" s="1" t="s">
        <v>74</v>
      </c>
      <c r="BK844" s="1" t="s">
        <v>74</v>
      </c>
      <c r="BL844" s="1" t="s">
        <v>74</v>
      </c>
      <c r="BM844" s="1" t="s">
        <v>74</v>
      </c>
      <c r="BN844" s="1" t="s">
        <v>74</v>
      </c>
      <c r="BO844" s="1" t="s">
        <v>74</v>
      </c>
      <c r="BP844" s="1" t="s">
        <v>74</v>
      </c>
      <c r="BQ844" s="1" t="s">
        <v>74</v>
      </c>
      <c r="BR844" s="1" t="s">
        <v>74</v>
      </c>
      <c r="BS844" s="1" t="s">
        <v>7919</v>
      </c>
      <c r="BT844" s="1" t="str">
        <f>HYPERLINK("https%3A%2F%2Fwww.webofscience.com%2Fwos%2Fwoscc%2Ffull-record%2FWOS:000337863600021","View Full Record in Web of Science")</f>
        <v>View Full Record in Web of Science</v>
      </c>
    </row>
    <row r="845" ht="12.75" customHeight="1">
      <c r="A845" s="1" t="s">
        <v>72</v>
      </c>
      <c r="B845" s="1" t="s">
        <v>7920</v>
      </c>
      <c r="C845" s="1" t="s">
        <v>74</v>
      </c>
      <c r="D845" s="1" t="s">
        <v>74</v>
      </c>
      <c r="E845" s="1" t="s">
        <v>74</v>
      </c>
      <c r="F845" s="1" t="s">
        <v>7921</v>
      </c>
      <c r="G845" s="1" t="s">
        <v>74</v>
      </c>
      <c r="H845" s="1" t="s">
        <v>74</v>
      </c>
      <c r="I845" s="1" t="s">
        <v>7922</v>
      </c>
      <c r="J845" s="1" t="s">
        <v>1461</v>
      </c>
      <c r="K845" s="1" t="s">
        <v>74</v>
      </c>
      <c r="L845" s="1" t="s">
        <v>74</v>
      </c>
      <c r="M845" s="1" t="s">
        <v>74</v>
      </c>
      <c r="N845" s="1" t="s">
        <v>74</v>
      </c>
      <c r="O845" s="1" t="s">
        <v>74</v>
      </c>
      <c r="P845" s="1" t="s">
        <v>74</v>
      </c>
      <c r="Q845" s="1" t="s">
        <v>74</v>
      </c>
      <c r="R845" s="1" t="s">
        <v>74</v>
      </c>
      <c r="S845" s="1" t="s">
        <v>74</v>
      </c>
      <c r="T845" s="1" t="s">
        <v>74</v>
      </c>
      <c r="U845" s="1" t="s">
        <v>74</v>
      </c>
      <c r="V845" s="1" t="s">
        <v>7923</v>
      </c>
      <c r="W845" s="1" t="s">
        <v>74</v>
      </c>
      <c r="X845" s="1" t="s">
        <v>74</v>
      </c>
      <c r="Y845" s="1" t="s">
        <v>74</v>
      </c>
      <c r="Z845" s="1" t="s">
        <v>74</v>
      </c>
      <c r="AA845" s="1" t="s">
        <v>7924</v>
      </c>
      <c r="AB845" s="1" t="s">
        <v>74</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1465</v>
      </c>
      <c r="AP845" s="1" t="s">
        <v>1466</v>
      </c>
      <c r="AQ845" s="1" t="s">
        <v>74</v>
      </c>
      <c r="AR845" s="1" t="s">
        <v>74</v>
      </c>
      <c r="AS845" s="1" t="s">
        <v>74</v>
      </c>
      <c r="AT845" s="1" t="s">
        <v>791</v>
      </c>
      <c r="AU845" s="1">
        <v>2014.0</v>
      </c>
      <c r="AV845" s="1">
        <v>236.0</v>
      </c>
      <c r="AW845" s="1" t="s">
        <v>74</v>
      </c>
      <c r="AX845" s="1" t="s">
        <v>74</v>
      </c>
      <c r="AY845" s="1" t="s">
        <v>74</v>
      </c>
      <c r="AZ845" s="1" t="s">
        <v>74</v>
      </c>
      <c r="BA845" s="1" t="s">
        <v>74</v>
      </c>
      <c r="BB845" s="1">
        <v>524.0</v>
      </c>
      <c r="BC845" s="1">
        <v>545.0</v>
      </c>
      <c r="BD845" s="1" t="s">
        <v>74</v>
      </c>
      <c r="BE845" s="1" t="s">
        <v>7925</v>
      </c>
      <c r="BF845" s="2" t="str">
        <f>HYPERLINK("http://dx.doi.org/10.1016/j.amc.2014.03.037","http://dx.doi.org/10.1016/j.amc.2014.03.037")</f>
        <v>http://dx.doi.org/10.1016/j.amc.2014.03.037</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7926</v>
      </c>
      <c r="BT845" s="1" t="str">
        <f>HYPERLINK("https%3A%2F%2Fwww.webofscience.com%2Fwos%2Fwoscc%2Ffull-record%2FWOS:000335899200049","View Full Record in Web of Science")</f>
        <v>View Full Record in Web of Science</v>
      </c>
    </row>
    <row r="846" ht="12.75" customHeight="1">
      <c r="A846" s="1" t="s">
        <v>72</v>
      </c>
      <c r="B846" s="1" t="s">
        <v>7927</v>
      </c>
      <c r="C846" s="1" t="s">
        <v>74</v>
      </c>
      <c r="D846" s="1" t="s">
        <v>74</v>
      </c>
      <c r="E846" s="1" t="s">
        <v>74</v>
      </c>
      <c r="F846" s="1" t="s">
        <v>7928</v>
      </c>
      <c r="G846" s="1" t="s">
        <v>74</v>
      </c>
      <c r="H846" s="1" t="s">
        <v>74</v>
      </c>
      <c r="I846" s="1" t="s">
        <v>7929</v>
      </c>
      <c r="J846" s="1" t="s">
        <v>238</v>
      </c>
      <c r="K846" s="1" t="s">
        <v>74</v>
      </c>
      <c r="L846" s="1" t="s">
        <v>74</v>
      </c>
      <c r="M846" s="1" t="s">
        <v>74</v>
      </c>
      <c r="N846" s="1" t="s">
        <v>74</v>
      </c>
      <c r="O846" s="1" t="s">
        <v>74</v>
      </c>
      <c r="P846" s="1" t="s">
        <v>74</v>
      </c>
      <c r="Q846" s="1" t="s">
        <v>74</v>
      </c>
      <c r="R846" s="1" t="s">
        <v>74</v>
      </c>
      <c r="S846" s="1" t="s">
        <v>74</v>
      </c>
      <c r="T846" s="1" t="s">
        <v>74</v>
      </c>
      <c r="U846" s="1" t="s">
        <v>74</v>
      </c>
      <c r="V846" s="1" t="s">
        <v>7930</v>
      </c>
      <c r="W846" s="1" t="s">
        <v>74</v>
      </c>
      <c r="X846" s="1" t="s">
        <v>74</v>
      </c>
      <c r="Y846" s="1" t="s">
        <v>74</v>
      </c>
      <c r="Z846" s="1" t="s">
        <v>74</v>
      </c>
      <c r="AA846" s="1" t="s">
        <v>7931</v>
      </c>
      <c r="AB846" s="1" t="s">
        <v>7932</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242</v>
      </c>
      <c r="AP846" s="1" t="s">
        <v>74</v>
      </c>
      <c r="AQ846" s="1" t="s">
        <v>74</v>
      </c>
      <c r="AR846" s="1" t="s">
        <v>74</v>
      </c>
      <c r="AS846" s="1" t="s">
        <v>74</v>
      </c>
      <c r="AT846" s="1" t="s">
        <v>7933</v>
      </c>
      <c r="AU846" s="1">
        <v>2013.0</v>
      </c>
      <c r="AV846" s="1">
        <v>581.0</v>
      </c>
      <c r="AW846" s="1" t="s">
        <v>74</v>
      </c>
      <c r="AX846" s="1" t="s">
        <v>74</v>
      </c>
      <c r="AY846" s="1" t="s">
        <v>74</v>
      </c>
      <c r="AZ846" s="1" t="s">
        <v>74</v>
      </c>
      <c r="BA846" s="1" t="s">
        <v>74</v>
      </c>
      <c r="BB846" s="1">
        <v>241.0</v>
      </c>
      <c r="BC846" s="1">
        <v>245.0</v>
      </c>
      <c r="BD846" s="1" t="s">
        <v>74</v>
      </c>
      <c r="BE846" s="1" t="s">
        <v>7934</v>
      </c>
      <c r="BF846" s="2" t="str">
        <f>HYPERLINK("http://dx.doi.org/10.1016/j.jallcom.2013.07.064","http://dx.doi.org/10.1016/j.jallcom.2013.07.064")</f>
        <v>http://dx.doi.org/10.1016/j.jallcom.2013.07.064</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7935</v>
      </c>
      <c r="BT846" s="1" t="str">
        <f>HYPERLINK("https%3A%2F%2Fwww.webofscience.com%2Fwos%2Fwoscc%2Ffull-record%2FWOS:000324823000040","View Full Record in Web of Science")</f>
        <v>View Full Record in Web of Science</v>
      </c>
    </row>
    <row r="847" ht="12.75" customHeight="1">
      <c r="A847" s="1" t="s">
        <v>346</v>
      </c>
      <c r="B847" s="1" t="s">
        <v>7936</v>
      </c>
      <c r="C847" s="1" t="s">
        <v>74</v>
      </c>
      <c r="D847" s="1" t="s">
        <v>74</v>
      </c>
      <c r="E847" s="1" t="s">
        <v>3917</v>
      </c>
      <c r="F847" s="1" t="s">
        <v>7937</v>
      </c>
      <c r="G847" s="1" t="s">
        <v>74</v>
      </c>
      <c r="H847" s="1" t="s">
        <v>74</v>
      </c>
      <c r="I847" s="1" t="s">
        <v>7938</v>
      </c>
      <c r="J847" s="1" t="s">
        <v>7939</v>
      </c>
      <c r="K847" s="1" t="s">
        <v>74</v>
      </c>
      <c r="L847" s="1" t="s">
        <v>74</v>
      </c>
      <c r="M847" s="1" t="s">
        <v>74</v>
      </c>
      <c r="N847" s="1" t="s">
        <v>74</v>
      </c>
      <c r="O847" s="1" t="s">
        <v>6054</v>
      </c>
      <c r="P847" s="1" t="s">
        <v>7940</v>
      </c>
      <c r="Q847" s="1" t="s">
        <v>7941</v>
      </c>
      <c r="R847" s="1" t="s">
        <v>3917</v>
      </c>
      <c r="S847" s="1" t="s">
        <v>74</v>
      </c>
      <c r="T847" s="1" t="s">
        <v>74</v>
      </c>
      <c r="U847" s="1" t="s">
        <v>74</v>
      </c>
      <c r="V847" s="1" t="s">
        <v>7942</v>
      </c>
      <c r="W847" s="1" t="s">
        <v>74</v>
      </c>
      <c r="X847" s="1" t="s">
        <v>74</v>
      </c>
      <c r="Y847" s="1" t="s">
        <v>74</v>
      </c>
      <c r="Z847" s="1" t="s">
        <v>74</v>
      </c>
      <c r="AA847" s="1" t="s">
        <v>7943</v>
      </c>
      <c r="AB847" s="1" t="s">
        <v>74</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74</v>
      </c>
      <c r="AP847" s="1" t="s">
        <v>74</v>
      </c>
      <c r="AQ847" s="1" t="s">
        <v>7944</v>
      </c>
      <c r="AR847" s="1" t="s">
        <v>74</v>
      </c>
      <c r="AS847" s="1" t="s">
        <v>74</v>
      </c>
      <c r="AT847" s="1" t="s">
        <v>74</v>
      </c>
      <c r="AU847" s="1">
        <v>2013.0</v>
      </c>
      <c r="AV847" s="1" t="s">
        <v>74</v>
      </c>
      <c r="AW847" s="1" t="s">
        <v>74</v>
      </c>
      <c r="AX847" s="1" t="s">
        <v>74</v>
      </c>
      <c r="AY847" s="1" t="s">
        <v>74</v>
      </c>
      <c r="AZ847" s="1" t="s">
        <v>74</v>
      </c>
      <c r="BA847" s="1" t="s">
        <v>74</v>
      </c>
      <c r="BB847" s="1">
        <v>1141.0</v>
      </c>
      <c r="BC847" s="1">
        <v>1148.0</v>
      </c>
      <c r="BD847" s="1" t="s">
        <v>74</v>
      </c>
      <c r="BE847" s="1" t="s">
        <v>74</v>
      </c>
      <c r="BF847" s="1" t="s">
        <v>74</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7945</v>
      </c>
      <c r="BT847" s="1" t="str">
        <f>HYPERLINK("https%3A%2F%2Fwww.webofscience.com%2Fwos%2Fwoscc%2Ffull-record%2FWOS:000350071100132","View Full Record in Web of Science")</f>
        <v>View Full Record in Web of Science</v>
      </c>
    </row>
    <row r="848" ht="12.75" customHeight="1">
      <c r="A848" s="1" t="s">
        <v>72</v>
      </c>
      <c r="B848" s="1" t="s">
        <v>7946</v>
      </c>
      <c r="C848" s="1" t="s">
        <v>74</v>
      </c>
      <c r="D848" s="1" t="s">
        <v>74</v>
      </c>
      <c r="E848" s="1" t="s">
        <v>74</v>
      </c>
      <c r="F848" s="1" t="s">
        <v>7947</v>
      </c>
      <c r="G848" s="1" t="s">
        <v>74</v>
      </c>
      <c r="H848" s="1" t="s">
        <v>74</v>
      </c>
      <c r="I848" s="1" t="s">
        <v>7948</v>
      </c>
      <c r="J848" s="1" t="s">
        <v>338</v>
      </c>
      <c r="K848" s="1" t="s">
        <v>74</v>
      </c>
      <c r="L848" s="1" t="s">
        <v>74</v>
      </c>
      <c r="M848" s="1" t="s">
        <v>74</v>
      </c>
      <c r="N848" s="1" t="s">
        <v>74</v>
      </c>
      <c r="O848" s="1" t="s">
        <v>74</v>
      </c>
      <c r="P848" s="1" t="s">
        <v>74</v>
      </c>
      <c r="Q848" s="1" t="s">
        <v>74</v>
      </c>
      <c r="R848" s="1" t="s">
        <v>74</v>
      </c>
      <c r="S848" s="1" t="s">
        <v>74</v>
      </c>
      <c r="T848" s="1" t="s">
        <v>74</v>
      </c>
      <c r="U848" s="1" t="s">
        <v>74</v>
      </c>
      <c r="V848" s="1" t="s">
        <v>7949</v>
      </c>
      <c r="W848" s="1" t="s">
        <v>74</v>
      </c>
      <c r="X848" s="1" t="s">
        <v>74</v>
      </c>
      <c r="Y848" s="1" t="s">
        <v>74</v>
      </c>
      <c r="Z848" s="1" t="s">
        <v>74</v>
      </c>
      <c r="AA848" s="1" t="s">
        <v>7950</v>
      </c>
      <c r="AB848" s="1" t="s">
        <v>341</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342</v>
      </c>
      <c r="AP848" s="1" t="s">
        <v>343</v>
      </c>
      <c r="AQ848" s="1" t="s">
        <v>74</v>
      </c>
      <c r="AR848" s="1" t="s">
        <v>74</v>
      </c>
      <c r="AS848" s="1" t="s">
        <v>74</v>
      </c>
      <c r="AT848" s="1" t="s">
        <v>74</v>
      </c>
      <c r="AU848" s="1">
        <v>2013.0</v>
      </c>
      <c r="AV848" s="1" t="s">
        <v>74</v>
      </c>
      <c r="AW848" s="1" t="s">
        <v>74</v>
      </c>
      <c r="AX848" s="1" t="s">
        <v>74</v>
      </c>
      <c r="AY848" s="1" t="s">
        <v>74</v>
      </c>
      <c r="AZ848" s="1" t="s">
        <v>74</v>
      </c>
      <c r="BA848" s="1" t="s">
        <v>74</v>
      </c>
      <c r="BB848" s="1" t="s">
        <v>74</v>
      </c>
      <c r="BC848" s="1" t="s">
        <v>74</v>
      </c>
      <c r="BD848" s="1">
        <v>308616.0</v>
      </c>
      <c r="BE848" s="1" t="s">
        <v>7951</v>
      </c>
      <c r="BF848" s="2" t="str">
        <f>HYPERLINK("http://dx.doi.org/10.1155/2013/308616","http://dx.doi.org/10.1155/2013/308616")</f>
        <v>http://dx.doi.org/10.1155/2013/308616</v>
      </c>
      <c r="BG848" s="1" t="s">
        <v>74</v>
      </c>
      <c r="BH848" s="1" t="s">
        <v>74</v>
      </c>
      <c r="BI848" s="1" t="s">
        <v>74</v>
      </c>
      <c r="BJ848" s="1" t="s">
        <v>74</v>
      </c>
      <c r="BK848" s="1" t="s">
        <v>74</v>
      </c>
      <c r="BL848" s="1" t="s">
        <v>74</v>
      </c>
      <c r="BM848" s="1" t="s">
        <v>74</v>
      </c>
      <c r="BN848" s="1" t="s">
        <v>74</v>
      </c>
      <c r="BO848" s="1" t="s">
        <v>74</v>
      </c>
      <c r="BP848" s="1" t="s">
        <v>74</v>
      </c>
      <c r="BQ848" s="1" t="s">
        <v>74</v>
      </c>
      <c r="BR848" s="1" t="s">
        <v>74</v>
      </c>
      <c r="BS848" s="1" t="s">
        <v>7952</v>
      </c>
      <c r="BT848" s="1" t="str">
        <f>HYPERLINK("https%3A%2F%2Fwww.webofscience.com%2Fwos%2Fwoscc%2Ffull-record%2FWOS:000324681100001","View Full Record in Web of Science")</f>
        <v>View Full Record in Web of Science</v>
      </c>
    </row>
    <row r="849" ht="12.75" customHeight="1">
      <c r="A849" s="1" t="s">
        <v>72</v>
      </c>
      <c r="B849" s="1" t="s">
        <v>7953</v>
      </c>
      <c r="C849" s="1" t="s">
        <v>74</v>
      </c>
      <c r="D849" s="1" t="s">
        <v>74</v>
      </c>
      <c r="E849" s="1" t="s">
        <v>74</v>
      </c>
      <c r="F849" s="1" t="s">
        <v>7954</v>
      </c>
      <c r="G849" s="1" t="s">
        <v>74</v>
      </c>
      <c r="H849" s="1" t="s">
        <v>74</v>
      </c>
      <c r="I849" s="1" t="s">
        <v>7955</v>
      </c>
      <c r="J849" s="1" t="s">
        <v>7956</v>
      </c>
      <c r="K849" s="1" t="s">
        <v>74</v>
      </c>
      <c r="L849" s="1" t="s">
        <v>74</v>
      </c>
      <c r="M849" s="1" t="s">
        <v>74</v>
      </c>
      <c r="N849" s="1" t="s">
        <v>74</v>
      </c>
      <c r="O849" s="1" t="s">
        <v>74</v>
      </c>
      <c r="P849" s="1" t="s">
        <v>74</v>
      </c>
      <c r="Q849" s="1" t="s">
        <v>74</v>
      </c>
      <c r="R849" s="1" t="s">
        <v>74</v>
      </c>
      <c r="S849" s="1" t="s">
        <v>74</v>
      </c>
      <c r="T849" s="1" t="s">
        <v>74</v>
      </c>
      <c r="U849" s="1" t="s">
        <v>74</v>
      </c>
      <c r="V849" s="1" t="s">
        <v>7957</v>
      </c>
      <c r="W849" s="1" t="s">
        <v>74</v>
      </c>
      <c r="X849" s="1" t="s">
        <v>74</v>
      </c>
      <c r="Y849" s="1" t="s">
        <v>74</v>
      </c>
      <c r="Z849" s="1" t="s">
        <v>74</v>
      </c>
      <c r="AA849" s="1" t="s">
        <v>7958</v>
      </c>
      <c r="AB849" s="1" t="s">
        <v>7959</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7960</v>
      </c>
      <c r="AP849" s="1" t="s">
        <v>7961</v>
      </c>
      <c r="AQ849" s="1" t="s">
        <v>74</v>
      </c>
      <c r="AR849" s="1" t="s">
        <v>74</v>
      </c>
      <c r="AS849" s="1" t="s">
        <v>74</v>
      </c>
      <c r="AT849" s="1" t="s">
        <v>74</v>
      </c>
      <c r="AU849" s="1">
        <v>2013.0</v>
      </c>
      <c r="AV849" s="1">
        <v>26.0</v>
      </c>
      <c r="AW849" s="1">
        <v>1.0</v>
      </c>
      <c r="AX849" s="1" t="s">
        <v>74</v>
      </c>
      <c r="AY849" s="1" t="s">
        <v>74</v>
      </c>
      <c r="AZ849" s="1" t="s">
        <v>74</v>
      </c>
      <c r="BA849" s="1" t="s">
        <v>74</v>
      </c>
      <c r="BB849" s="1">
        <v>106.0</v>
      </c>
      <c r="BC849" s="1">
        <v>112.0</v>
      </c>
      <c r="BD849" s="1" t="s">
        <v>74</v>
      </c>
      <c r="BE849" s="1" t="s">
        <v>7962</v>
      </c>
      <c r="BF849" s="2" t="str">
        <f>HYPERLINK("http://dx.doi.org/10.1590/S0102-79722013000100012","http://dx.doi.org/10.1590/S0102-79722013000100012")</f>
        <v>http://dx.doi.org/10.1590/S0102-79722013000100012</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7963</v>
      </c>
      <c r="BT849" s="1" t="str">
        <f>HYPERLINK("https%3A%2F%2Fwww.webofscience.com%2Fwos%2Fwoscc%2Ffull-record%2FWOS:000327706000012","View Full Record in Web of Science")</f>
        <v>View Full Record in Web of Science</v>
      </c>
    </row>
    <row r="850" ht="12.75" customHeight="1">
      <c r="A850" s="1" t="s">
        <v>72</v>
      </c>
      <c r="B850" s="1" t="s">
        <v>7964</v>
      </c>
      <c r="C850" s="1" t="s">
        <v>74</v>
      </c>
      <c r="D850" s="1" t="s">
        <v>74</v>
      </c>
      <c r="E850" s="1" t="s">
        <v>74</v>
      </c>
      <c r="F850" s="1" t="s">
        <v>7965</v>
      </c>
      <c r="G850" s="1" t="s">
        <v>74</v>
      </c>
      <c r="H850" s="1" t="s">
        <v>74</v>
      </c>
      <c r="I850" s="1" t="s">
        <v>7966</v>
      </c>
      <c r="J850" s="1" t="s">
        <v>7967</v>
      </c>
      <c r="K850" s="1" t="s">
        <v>74</v>
      </c>
      <c r="L850" s="1" t="s">
        <v>74</v>
      </c>
      <c r="M850" s="1" t="s">
        <v>74</v>
      </c>
      <c r="N850" s="1" t="s">
        <v>74</v>
      </c>
      <c r="O850" s="1" t="s">
        <v>74</v>
      </c>
      <c r="P850" s="1" t="s">
        <v>74</v>
      </c>
      <c r="Q850" s="1" t="s">
        <v>74</v>
      </c>
      <c r="R850" s="1" t="s">
        <v>74</v>
      </c>
      <c r="S850" s="1" t="s">
        <v>74</v>
      </c>
      <c r="T850" s="1" t="s">
        <v>74</v>
      </c>
      <c r="U850" s="1" t="s">
        <v>74</v>
      </c>
      <c r="V850" s="1" t="s">
        <v>7968</v>
      </c>
      <c r="W850" s="1" t="s">
        <v>74</v>
      </c>
      <c r="X850" s="1" t="s">
        <v>74</v>
      </c>
      <c r="Y850" s="1" t="s">
        <v>74</v>
      </c>
      <c r="Z850" s="1" t="s">
        <v>74</v>
      </c>
      <c r="AA850" s="1" t="s">
        <v>74</v>
      </c>
      <c r="AB850" s="1" t="s">
        <v>7969</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7970</v>
      </c>
      <c r="AP850" s="1" t="s">
        <v>74</v>
      </c>
      <c r="AQ850" s="1" t="s">
        <v>74</v>
      </c>
      <c r="AR850" s="1" t="s">
        <v>74</v>
      </c>
      <c r="AS850" s="1" t="s">
        <v>74</v>
      </c>
      <c r="AT850" s="1" t="s">
        <v>7971</v>
      </c>
      <c r="AU850" s="1">
        <v>2012.0</v>
      </c>
      <c r="AV850" s="1">
        <v>30.0</v>
      </c>
      <c r="AW850" s="1">
        <v>34.0</v>
      </c>
      <c r="AX850" s="1" t="s">
        <v>74</v>
      </c>
      <c r="AY850" s="1" t="s">
        <v>74</v>
      </c>
      <c r="AZ850" s="1" t="s">
        <v>74</v>
      </c>
      <c r="BA850" s="1" t="s">
        <v>74</v>
      </c>
      <c r="BB850" s="1">
        <v>5110.0</v>
      </c>
      <c r="BC850" s="1">
        <v>5117.0</v>
      </c>
      <c r="BD850" s="1" t="s">
        <v>74</v>
      </c>
      <c r="BE850" s="1" t="s">
        <v>7972</v>
      </c>
      <c r="BF850" s="2" t="str">
        <f>HYPERLINK("http://dx.doi.org/10.1016/j.vaccine.2012.05.062","http://dx.doi.org/10.1016/j.vaccine.2012.05.062")</f>
        <v>http://dx.doi.org/10.1016/j.vaccine.2012.05.062</v>
      </c>
      <c r="BG850" s="1" t="s">
        <v>74</v>
      </c>
      <c r="BH850" s="1" t="s">
        <v>74</v>
      </c>
      <c r="BI850" s="1" t="s">
        <v>74</v>
      </c>
      <c r="BJ850" s="1" t="s">
        <v>74</v>
      </c>
      <c r="BK850" s="1" t="s">
        <v>74</v>
      </c>
      <c r="BL850" s="1" t="s">
        <v>74</v>
      </c>
      <c r="BM850" s="1" t="s">
        <v>74</v>
      </c>
      <c r="BN850" s="1">
        <v>2.2687761E7</v>
      </c>
      <c r="BO850" s="1" t="s">
        <v>74</v>
      </c>
      <c r="BP850" s="1" t="s">
        <v>74</v>
      </c>
      <c r="BQ850" s="1" t="s">
        <v>74</v>
      </c>
      <c r="BR850" s="1" t="s">
        <v>74</v>
      </c>
      <c r="BS850" s="1" t="s">
        <v>7973</v>
      </c>
      <c r="BT850" s="1" t="str">
        <f>HYPERLINK("https%3A%2F%2Fwww.webofscience.com%2Fwos%2Fwoscc%2Ffull-record%2FWOS:000306982000009","View Full Record in Web of Science")</f>
        <v>View Full Record in Web of Science</v>
      </c>
    </row>
    <row r="851" ht="12.75" customHeight="1">
      <c r="A851" s="1" t="s">
        <v>72</v>
      </c>
      <c r="B851" s="1" t="s">
        <v>7974</v>
      </c>
      <c r="C851" s="1" t="s">
        <v>74</v>
      </c>
      <c r="D851" s="1" t="s">
        <v>74</v>
      </c>
      <c r="E851" s="1" t="s">
        <v>74</v>
      </c>
      <c r="F851" s="1" t="s">
        <v>7975</v>
      </c>
      <c r="G851" s="1" t="s">
        <v>74</v>
      </c>
      <c r="H851" s="1" t="s">
        <v>74</v>
      </c>
      <c r="I851" s="1" t="s">
        <v>7976</v>
      </c>
      <c r="J851" s="1" t="s">
        <v>7977</v>
      </c>
      <c r="K851" s="1" t="s">
        <v>74</v>
      </c>
      <c r="L851" s="1" t="s">
        <v>74</v>
      </c>
      <c r="M851" s="1" t="s">
        <v>74</v>
      </c>
      <c r="N851" s="1" t="s">
        <v>74</v>
      </c>
      <c r="O851" s="1" t="s">
        <v>74</v>
      </c>
      <c r="P851" s="1" t="s">
        <v>74</v>
      </c>
      <c r="Q851" s="1" t="s">
        <v>74</v>
      </c>
      <c r="R851" s="1" t="s">
        <v>74</v>
      </c>
      <c r="S851" s="1" t="s">
        <v>74</v>
      </c>
      <c r="T851" s="1" t="s">
        <v>74</v>
      </c>
      <c r="U851" s="1" t="s">
        <v>74</v>
      </c>
      <c r="V851" s="1" t="s">
        <v>7978</v>
      </c>
      <c r="W851" s="1" t="s">
        <v>74</v>
      </c>
      <c r="X851" s="1" t="s">
        <v>74</v>
      </c>
      <c r="Y851" s="1" t="s">
        <v>74</v>
      </c>
      <c r="Z851" s="1" t="s">
        <v>74</v>
      </c>
      <c r="AA851" s="1" t="s">
        <v>7979</v>
      </c>
      <c r="AB851" s="1" t="s">
        <v>74</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7980</v>
      </c>
      <c r="AP851" s="1" t="s">
        <v>7981</v>
      </c>
      <c r="AQ851" s="1" t="s">
        <v>74</v>
      </c>
      <c r="AR851" s="1" t="s">
        <v>74</v>
      </c>
      <c r="AS851" s="1" t="s">
        <v>74</v>
      </c>
      <c r="AT851" s="1" t="s">
        <v>554</v>
      </c>
      <c r="AU851" s="1">
        <v>2011.0</v>
      </c>
      <c r="AV851" s="1">
        <v>27.0</v>
      </c>
      <c r="AW851" s="1">
        <v>2.0</v>
      </c>
      <c r="AX851" s="1" t="s">
        <v>74</v>
      </c>
      <c r="AY851" s="1" t="s">
        <v>74</v>
      </c>
      <c r="AZ851" s="1" t="s">
        <v>74</v>
      </c>
      <c r="BA851" s="1" t="s">
        <v>74</v>
      </c>
      <c r="BB851" s="1">
        <v>221.0</v>
      </c>
      <c r="BC851" s="1">
        <v>228.0</v>
      </c>
      <c r="BD851" s="1" t="s">
        <v>74</v>
      </c>
      <c r="BE851" s="1" t="s">
        <v>7982</v>
      </c>
      <c r="BF851" s="2" t="str">
        <f>HYPERLINK("http://dx.doi.org/10.1111/j.1475-2743.2011.00334.x","http://dx.doi.org/10.1111/j.1475-2743.2011.00334.x")</f>
        <v>http://dx.doi.org/10.1111/j.1475-2743.2011.00334.x</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7983</v>
      </c>
      <c r="BT851" s="1" t="str">
        <f>HYPERLINK("https%3A%2F%2Fwww.webofscience.com%2Fwos%2Fwoscc%2Ffull-record%2FWOS:000290872100011","View Full Record in Web of Science")</f>
        <v>View Full Record in Web of Science</v>
      </c>
    </row>
    <row r="852" ht="12.75" customHeight="1">
      <c r="A852" s="1" t="s">
        <v>72</v>
      </c>
      <c r="B852" s="1" t="s">
        <v>7984</v>
      </c>
      <c r="C852" s="1" t="s">
        <v>74</v>
      </c>
      <c r="D852" s="1" t="s">
        <v>74</v>
      </c>
      <c r="E852" s="1" t="s">
        <v>74</v>
      </c>
      <c r="F852" s="1" t="s">
        <v>7985</v>
      </c>
      <c r="G852" s="1" t="s">
        <v>74</v>
      </c>
      <c r="H852" s="1" t="s">
        <v>74</v>
      </c>
      <c r="I852" s="1" t="s">
        <v>7986</v>
      </c>
      <c r="J852" s="1" t="s">
        <v>7987</v>
      </c>
      <c r="K852" s="1" t="s">
        <v>74</v>
      </c>
      <c r="L852" s="1" t="s">
        <v>74</v>
      </c>
      <c r="M852" s="1" t="s">
        <v>74</v>
      </c>
      <c r="N852" s="1" t="s">
        <v>74</v>
      </c>
      <c r="O852" s="1" t="s">
        <v>74</v>
      </c>
      <c r="P852" s="1" t="s">
        <v>74</v>
      </c>
      <c r="Q852" s="1" t="s">
        <v>74</v>
      </c>
      <c r="R852" s="1" t="s">
        <v>74</v>
      </c>
      <c r="S852" s="1" t="s">
        <v>74</v>
      </c>
      <c r="T852" s="1" t="s">
        <v>74</v>
      </c>
      <c r="U852" s="1" t="s">
        <v>74</v>
      </c>
      <c r="V852" s="1" t="s">
        <v>7988</v>
      </c>
      <c r="W852" s="1" t="s">
        <v>74</v>
      </c>
      <c r="X852" s="1" t="s">
        <v>74</v>
      </c>
      <c r="Y852" s="1" t="s">
        <v>74</v>
      </c>
      <c r="Z852" s="1" t="s">
        <v>74</v>
      </c>
      <c r="AA852" s="1" t="s">
        <v>7989</v>
      </c>
      <c r="AB852" s="1" t="s">
        <v>7990</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7991</v>
      </c>
      <c r="AP852" s="1" t="s">
        <v>7992</v>
      </c>
      <c r="AQ852" s="1" t="s">
        <v>74</v>
      </c>
      <c r="AR852" s="1" t="s">
        <v>74</v>
      </c>
      <c r="AS852" s="1" t="s">
        <v>74</v>
      </c>
      <c r="AT852" s="1" t="s">
        <v>187</v>
      </c>
      <c r="AU852" s="1">
        <v>2009.0</v>
      </c>
      <c r="AV852" s="1">
        <v>124.0</v>
      </c>
      <c r="AW852" s="1">
        <v>4.0</v>
      </c>
      <c r="AX852" s="1" t="s">
        <v>74</v>
      </c>
      <c r="AY852" s="1" t="s">
        <v>74</v>
      </c>
      <c r="AZ852" s="1" t="s">
        <v>74</v>
      </c>
      <c r="BA852" s="1" t="s">
        <v>74</v>
      </c>
      <c r="BB852" s="1">
        <v>435.0</v>
      </c>
      <c r="BC852" s="1">
        <v>441.0</v>
      </c>
      <c r="BD852" s="1" t="s">
        <v>74</v>
      </c>
      <c r="BE852" s="1" t="s">
        <v>7993</v>
      </c>
      <c r="BF852" s="2" t="str">
        <f>HYPERLINK("http://dx.doi.org/10.1393/ncb/i2009-10774-x","http://dx.doi.org/10.1393/ncb/i2009-10774-x")</f>
        <v>http://dx.doi.org/10.1393/ncb/i2009-10774-x</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7994</v>
      </c>
      <c r="BT852" s="1" t="str">
        <f>HYPERLINK("https%3A%2F%2Fwww.webofscience.com%2Fwos%2Fwoscc%2Ffull-record%2FWOS:000271545900008","View Full Record in Web of Science")</f>
        <v>View Full Record in Web of Science</v>
      </c>
    </row>
    <row r="853" ht="12.75" customHeight="1">
      <c r="A853" s="1" t="s">
        <v>72</v>
      </c>
      <c r="B853" s="1" t="s">
        <v>7995</v>
      </c>
      <c r="C853" s="1" t="s">
        <v>74</v>
      </c>
      <c r="D853" s="1" t="s">
        <v>74</v>
      </c>
      <c r="E853" s="1" t="s">
        <v>74</v>
      </c>
      <c r="F853" s="1" t="s">
        <v>7996</v>
      </c>
      <c r="G853" s="1" t="s">
        <v>74</v>
      </c>
      <c r="H853" s="1" t="s">
        <v>74</v>
      </c>
      <c r="I853" s="1" t="s">
        <v>7997</v>
      </c>
      <c r="J853" s="1" t="s">
        <v>7998</v>
      </c>
      <c r="K853" s="1" t="s">
        <v>74</v>
      </c>
      <c r="L853" s="1" t="s">
        <v>74</v>
      </c>
      <c r="M853" s="1" t="s">
        <v>74</v>
      </c>
      <c r="N853" s="1" t="s">
        <v>74</v>
      </c>
      <c r="O853" s="1" t="s">
        <v>74</v>
      </c>
      <c r="P853" s="1" t="s">
        <v>74</v>
      </c>
      <c r="Q853" s="1" t="s">
        <v>74</v>
      </c>
      <c r="R853" s="1" t="s">
        <v>74</v>
      </c>
      <c r="S853" s="1" t="s">
        <v>74</v>
      </c>
      <c r="T853" s="1" t="s">
        <v>74</v>
      </c>
      <c r="U853" s="1" t="s">
        <v>74</v>
      </c>
      <c r="V853" s="1" t="s">
        <v>7999</v>
      </c>
      <c r="W853" s="1" t="s">
        <v>74</v>
      </c>
      <c r="X853" s="1" t="s">
        <v>74</v>
      </c>
      <c r="Y853" s="1" t="s">
        <v>74</v>
      </c>
      <c r="Z853" s="1" t="s">
        <v>74</v>
      </c>
      <c r="AA853" s="1" t="s">
        <v>74</v>
      </c>
      <c r="AB853" s="1" t="s">
        <v>8000</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8001</v>
      </c>
      <c r="AP853" s="1" t="s">
        <v>74</v>
      </c>
      <c r="AQ853" s="1" t="s">
        <v>74</v>
      </c>
      <c r="AR853" s="1" t="s">
        <v>74</v>
      </c>
      <c r="AS853" s="1" t="s">
        <v>74</v>
      </c>
      <c r="AT853" s="1" t="s">
        <v>74</v>
      </c>
      <c r="AU853" s="1">
        <v>2007.0</v>
      </c>
      <c r="AV853" s="1" t="s">
        <v>74</v>
      </c>
      <c r="AW853" s="1" t="s">
        <v>74</v>
      </c>
      <c r="AX853" s="1" t="s">
        <v>74</v>
      </c>
      <c r="AY853" s="1" t="s">
        <v>74</v>
      </c>
      <c r="AZ853" s="1" t="s">
        <v>74</v>
      </c>
      <c r="BA853" s="1" t="s">
        <v>74</v>
      </c>
      <c r="BB853" s="1" t="s">
        <v>74</v>
      </c>
      <c r="BC853" s="1" t="s">
        <v>74</v>
      </c>
      <c r="BD853" s="1">
        <v>58363.0</v>
      </c>
      <c r="BE853" s="1" t="s">
        <v>8002</v>
      </c>
      <c r="BF853" s="2" t="str">
        <f>HYPERLINK("http://dx.doi.org/10.1155/2007/58363","http://dx.doi.org/10.1155/2007/58363")</f>
        <v>http://dx.doi.org/10.1155/2007/58363</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8003</v>
      </c>
      <c r="BT853" s="1" t="str">
        <f>HYPERLINK("https%3A%2F%2Fwww.webofscience.com%2Fwos%2Fwoscc%2Ffull-record%2FWOS:000247594900001","View Full Record in Web of Science")</f>
        <v>View Full Record in Web of Science</v>
      </c>
    </row>
    <row r="854" ht="12.75" customHeight="1">
      <c r="A854" s="1" t="s">
        <v>72</v>
      </c>
      <c r="B854" s="1" t="s">
        <v>8004</v>
      </c>
      <c r="C854" s="1" t="s">
        <v>74</v>
      </c>
      <c r="D854" s="1" t="s">
        <v>74</v>
      </c>
      <c r="E854" s="1" t="s">
        <v>74</v>
      </c>
      <c r="F854" s="1" t="s">
        <v>8005</v>
      </c>
      <c r="G854" s="1" t="s">
        <v>74</v>
      </c>
      <c r="H854" s="1" t="s">
        <v>74</v>
      </c>
      <c r="I854" s="1" t="s">
        <v>8006</v>
      </c>
      <c r="J854" s="1" t="s">
        <v>8007</v>
      </c>
      <c r="K854" s="1" t="s">
        <v>74</v>
      </c>
      <c r="L854" s="1" t="s">
        <v>74</v>
      </c>
      <c r="M854" s="1" t="s">
        <v>74</v>
      </c>
      <c r="N854" s="1" t="s">
        <v>74</v>
      </c>
      <c r="O854" s="1" t="s">
        <v>74</v>
      </c>
      <c r="P854" s="1" t="s">
        <v>74</v>
      </c>
      <c r="Q854" s="1" t="s">
        <v>74</v>
      </c>
      <c r="R854" s="1" t="s">
        <v>74</v>
      </c>
      <c r="S854" s="1" t="s">
        <v>74</v>
      </c>
      <c r="T854" s="1" t="s">
        <v>74</v>
      </c>
      <c r="U854" s="1" t="s">
        <v>74</v>
      </c>
      <c r="V854" s="1" t="s">
        <v>8008</v>
      </c>
      <c r="W854" s="1" t="s">
        <v>74</v>
      </c>
      <c r="X854" s="1" t="s">
        <v>74</v>
      </c>
      <c r="Y854" s="1" t="s">
        <v>74</v>
      </c>
      <c r="Z854" s="1" t="s">
        <v>74</v>
      </c>
      <c r="AA854" s="1" t="s">
        <v>8009</v>
      </c>
      <c r="AB854" s="1" t="s">
        <v>8010</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8011</v>
      </c>
      <c r="AP854" s="1" t="s">
        <v>74</v>
      </c>
      <c r="AQ854" s="1" t="s">
        <v>74</v>
      </c>
      <c r="AR854" s="1" t="s">
        <v>74</v>
      </c>
      <c r="AS854" s="1" t="s">
        <v>74</v>
      </c>
      <c r="AT854" s="1" t="s">
        <v>496</v>
      </c>
      <c r="AU854" s="1">
        <v>2007.0</v>
      </c>
      <c r="AV854" s="1">
        <v>31.0</v>
      </c>
      <c r="AW854" s="1">
        <v>1.0</v>
      </c>
      <c r="AX854" s="1" t="s">
        <v>74</v>
      </c>
      <c r="AY854" s="1" t="s">
        <v>74</v>
      </c>
      <c r="AZ854" s="1" t="s">
        <v>74</v>
      </c>
      <c r="BA854" s="1" t="s">
        <v>74</v>
      </c>
      <c r="BB854" s="1">
        <v>17.0</v>
      </c>
      <c r="BC854" s="1">
        <v>27.0</v>
      </c>
      <c r="BD854" s="1" t="s">
        <v>74</v>
      </c>
      <c r="BE854" s="1" t="s">
        <v>8012</v>
      </c>
      <c r="BF854" s="2" t="str">
        <f>HYPERLINK("http://dx.doi.org/10.1016/j.compmedimag.2006.10.002","http://dx.doi.org/10.1016/j.compmedimag.2006.10.002")</f>
        <v>http://dx.doi.org/10.1016/j.compmedimag.2006.10.002</v>
      </c>
      <c r="BG854" s="1" t="s">
        <v>74</v>
      </c>
      <c r="BH854" s="1" t="s">
        <v>74</v>
      </c>
      <c r="BI854" s="1" t="s">
        <v>74</v>
      </c>
      <c r="BJ854" s="1" t="s">
        <v>74</v>
      </c>
      <c r="BK854" s="1" t="s">
        <v>74</v>
      </c>
      <c r="BL854" s="1" t="s">
        <v>74</v>
      </c>
      <c r="BM854" s="1" t="s">
        <v>74</v>
      </c>
      <c r="BN854" s="1">
        <v>1.7150328E7</v>
      </c>
      <c r="BO854" s="1" t="s">
        <v>74</v>
      </c>
      <c r="BP854" s="1" t="s">
        <v>74</v>
      </c>
      <c r="BQ854" s="1" t="s">
        <v>74</v>
      </c>
      <c r="BR854" s="1" t="s">
        <v>74</v>
      </c>
      <c r="BS854" s="1" t="s">
        <v>8013</v>
      </c>
      <c r="BT854" s="1" t="str">
        <f>HYPERLINK("https%3A%2F%2Fwww.webofscience.com%2Fwos%2Fwoscc%2Ffull-record%2FWOS:000243782400003","View Full Record in Web of Science")</f>
        <v>View Full Record in Web of Science</v>
      </c>
    </row>
    <row r="855" ht="12.75" customHeight="1">
      <c r="A855" s="1" t="s">
        <v>72</v>
      </c>
      <c r="B855" s="1" t="s">
        <v>8014</v>
      </c>
      <c r="C855" s="1" t="s">
        <v>74</v>
      </c>
      <c r="D855" s="1" t="s">
        <v>74</v>
      </c>
      <c r="E855" s="1" t="s">
        <v>74</v>
      </c>
      <c r="F855" s="1" t="s">
        <v>8015</v>
      </c>
      <c r="G855" s="1" t="s">
        <v>74</v>
      </c>
      <c r="H855" s="1" t="s">
        <v>74</v>
      </c>
      <c r="I855" s="1" t="s">
        <v>8016</v>
      </c>
      <c r="J855" s="1" t="s">
        <v>1145</v>
      </c>
      <c r="K855" s="1" t="s">
        <v>74</v>
      </c>
      <c r="L855" s="1" t="s">
        <v>74</v>
      </c>
      <c r="M855" s="1" t="s">
        <v>74</v>
      </c>
      <c r="N855" s="1" t="s">
        <v>74</v>
      </c>
      <c r="O855" s="1" t="s">
        <v>74</v>
      </c>
      <c r="P855" s="1" t="s">
        <v>74</v>
      </c>
      <c r="Q855" s="1" t="s">
        <v>74</v>
      </c>
      <c r="R855" s="1" t="s">
        <v>74</v>
      </c>
      <c r="S855" s="1" t="s">
        <v>74</v>
      </c>
      <c r="T855" s="1" t="s">
        <v>74</v>
      </c>
      <c r="U855" s="1" t="s">
        <v>74</v>
      </c>
      <c r="V855" s="1" t="s">
        <v>8017</v>
      </c>
      <c r="W855" s="1" t="s">
        <v>74</v>
      </c>
      <c r="X855" s="1" t="s">
        <v>74</v>
      </c>
      <c r="Y855" s="1" t="s">
        <v>74</v>
      </c>
      <c r="Z855" s="1" t="s">
        <v>74</v>
      </c>
      <c r="AA855" s="1" t="s">
        <v>8018</v>
      </c>
      <c r="AB855" s="1" t="s">
        <v>8019</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1148</v>
      </c>
      <c r="AP855" s="1" t="s">
        <v>74</v>
      </c>
      <c r="AQ855" s="1" t="s">
        <v>74</v>
      </c>
      <c r="AR855" s="1" t="s">
        <v>74</v>
      </c>
      <c r="AS855" s="1" t="s">
        <v>74</v>
      </c>
      <c r="AT855" s="1" t="s">
        <v>554</v>
      </c>
      <c r="AU855" s="1">
        <v>2006.0</v>
      </c>
      <c r="AV855" s="1">
        <v>51.0</v>
      </c>
      <c r="AW855" s="1">
        <v>2.0</v>
      </c>
      <c r="AX855" s="1" t="s">
        <v>74</v>
      </c>
      <c r="AY855" s="1" t="s">
        <v>74</v>
      </c>
      <c r="AZ855" s="1" t="s">
        <v>74</v>
      </c>
      <c r="BA855" s="1" t="s">
        <v>74</v>
      </c>
      <c r="BB855" s="1">
        <v>923.0</v>
      </c>
      <c r="BC855" s="1">
        <v>926.0</v>
      </c>
      <c r="BD855" s="1" t="s">
        <v>74</v>
      </c>
      <c r="BE855" s="1" t="s">
        <v>74</v>
      </c>
      <c r="BF855" s="1" t="s">
        <v>74</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8020</v>
      </c>
      <c r="BT855" s="1" t="str">
        <f>HYPERLINK("https%3A%2F%2Fwww.webofscience.com%2Fwos%2Fwoscc%2Ffull-record%2FWOS:000238131700017","View Full Record in Web of Science")</f>
        <v>View Full Record in Web of Science</v>
      </c>
    </row>
    <row r="856" ht="12.75" customHeight="1">
      <c r="A856" s="1" t="s">
        <v>72</v>
      </c>
      <c r="B856" s="1" t="s">
        <v>8021</v>
      </c>
      <c r="C856" s="1" t="s">
        <v>74</v>
      </c>
      <c r="D856" s="1" t="s">
        <v>74</v>
      </c>
      <c r="E856" s="1" t="s">
        <v>74</v>
      </c>
      <c r="F856" s="1" t="s">
        <v>8021</v>
      </c>
      <c r="G856" s="1" t="s">
        <v>74</v>
      </c>
      <c r="H856" s="1" t="s">
        <v>74</v>
      </c>
      <c r="I856" s="1" t="s">
        <v>8022</v>
      </c>
      <c r="J856" s="1" t="s">
        <v>8023</v>
      </c>
      <c r="K856" s="1" t="s">
        <v>74</v>
      </c>
      <c r="L856" s="1" t="s">
        <v>74</v>
      </c>
      <c r="M856" s="1" t="s">
        <v>74</v>
      </c>
      <c r="N856" s="1" t="s">
        <v>74</v>
      </c>
      <c r="O856" s="1" t="s">
        <v>74</v>
      </c>
      <c r="P856" s="1" t="s">
        <v>74</v>
      </c>
      <c r="Q856" s="1" t="s">
        <v>74</v>
      </c>
      <c r="R856" s="1" t="s">
        <v>74</v>
      </c>
      <c r="S856" s="1" t="s">
        <v>74</v>
      </c>
      <c r="T856" s="1" t="s">
        <v>74</v>
      </c>
      <c r="U856" s="1" t="s">
        <v>74</v>
      </c>
      <c r="V856" s="1" t="s">
        <v>8024</v>
      </c>
      <c r="W856" s="1" t="s">
        <v>74</v>
      </c>
      <c r="X856" s="1" t="s">
        <v>74</v>
      </c>
      <c r="Y856" s="1" t="s">
        <v>74</v>
      </c>
      <c r="Z856" s="1" t="s">
        <v>74</v>
      </c>
      <c r="AA856" s="1" t="s">
        <v>8025</v>
      </c>
      <c r="AB856" s="1" t="s">
        <v>8026</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8027</v>
      </c>
      <c r="AP856" s="1" t="s">
        <v>8028</v>
      </c>
      <c r="AQ856" s="1" t="s">
        <v>74</v>
      </c>
      <c r="AR856" s="1" t="s">
        <v>74</v>
      </c>
      <c r="AS856" s="1" t="s">
        <v>74</v>
      </c>
      <c r="AT856" s="1" t="s">
        <v>461</v>
      </c>
      <c r="AU856" s="1">
        <v>2005.0</v>
      </c>
      <c r="AV856" s="1">
        <v>43.0</v>
      </c>
      <c r="AW856" s="1">
        <v>9.0</v>
      </c>
      <c r="AX856" s="1" t="s">
        <v>74</v>
      </c>
      <c r="AY856" s="1" t="s">
        <v>74</v>
      </c>
      <c r="AZ856" s="1" t="s">
        <v>74</v>
      </c>
      <c r="BA856" s="1" t="s">
        <v>74</v>
      </c>
      <c r="BB856" s="1">
        <v>4545.0</v>
      </c>
      <c r="BC856" s="1">
        <v>4550.0</v>
      </c>
      <c r="BD856" s="1" t="s">
        <v>74</v>
      </c>
      <c r="BE856" s="1" t="s">
        <v>8029</v>
      </c>
      <c r="BF856" s="2" t="str">
        <f>HYPERLINK("http://dx.doi.org/10.1128/JCM.43.9.4545-4550.2005","http://dx.doi.org/10.1128/JCM.43.9.4545-4550.2005")</f>
        <v>http://dx.doi.org/10.1128/JCM.43.9.4545-4550.2005</v>
      </c>
      <c r="BG856" s="1" t="s">
        <v>74</v>
      </c>
      <c r="BH856" s="1" t="s">
        <v>74</v>
      </c>
      <c r="BI856" s="1" t="s">
        <v>74</v>
      </c>
      <c r="BJ856" s="1" t="s">
        <v>74</v>
      </c>
      <c r="BK856" s="1" t="s">
        <v>74</v>
      </c>
      <c r="BL856" s="1" t="s">
        <v>74</v>
      </c>
      <c r="BM856" s="1" t="s">
        <v>74</v>
      </c>
      <c r="BN856" s="1">
        <v>1.6145105E7</v>
      </c>
      <c r="BO856" s="1" t="s">
        <v>74</v>
      </c>
      <c r="BP856" s="1" t="s">
        <v>74</v>
      </c>
      <c r="BQ856" s="1" t="s">
        <v>74</v>
      </c>
      <c r="BR856" s="1" t="s">
        <v>74</v>
      </c>
      <c r="BS856" s="1" t="s">
        <v>8030</v>
      </c>
      <c r="BT856" s="1" t="str">
        <f>HYPERLINK("https%3A%2F%2Fwww.webofscience.com%2Fwos%2Fwoscc%2Ffull-record%2FWOS:000232020400036","View Full Record in Web of Science")</f>
        <v>View Full Record in Web of Science</v>
      </c>
    </row>
    <row r="857" ht="12.75" customHeight="1">
      <c r="A857" s="1" t="s">
        <v>72</v>
      </c>
      <c r="B857" s="1" t="s">
        <v>8031</v>
      </c>
      <c r="C857" s="1" t="s">
        <v>74</v>
      </c>
      <c r="D857" s="1" t="s">
        <v>74</v>
      </c>
      <c r="E857" s="1" t="s">
        <v>74</v>
      </c>
      <c r="F857" s="1" t="s">
        <v>8032</v>
      </c>
      <c r="G857" s="1" t="s">
        <v>74</v>
      </c>
      <c r="H857" s="1" t="s">
        <v>74</v>
      </c>
      <c r="I857" s="1" t="s">
        <v>8033</v>
      </c>
      <c r="J857" s="1" t="s">
        <v>8034</v>
      </c>
      <c r="K857" s="1" t="s">
        <v>74</v>
      </c>
      <c r="L857" s="1" t="s">
        <v>74</v>
      </c>
      <c r="M857" s="1" t="s">
        <v>74</v>
      </c>
      <c r="N857" s="1" t="s">
        <v>74</v>
      </c>
      <c r="O857" s="1" t="s">
        <v>74</v>
      </c>
      <c r="P857" s="1" t="s">
        <v>74</v>
      </c>
      <c r="Q857" s="1" t="s">
        <v>74</v>
      </c>
      <c r="R857" s="1" t="s">
        <v>74</v>
      </c>
      <c r="S857" s="1" t="s">
        <v>74</v>
      </c>
      <c r="T857" s="1" t="s">
        <v>74</v>
      </c>
      <c r="U857" s="1" t="s">
        <v>74</v>
      </c>
      <c r="V857" s="1" t="s">
        <v>74</v>
      </c>
      <c r="W857" s="1" t="s">
        <v>74</v>
      </c>
      <c r="X857" s="1" t="s">
        <v>74</v>
      </c>
      <c r="Y857" s="1" t="s">
        <v>74</v>
      </c>
      <c r="Z857" s="1" t="s">
        <v>74</v>
      </c>
      <c r="AA857" s="1" t="s">
        <v>74</v>
      </c>
      <c r="AB857" s="1" t="s">
        <v>74</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8035</v>
      </c>
      <c r="AP857" s="1" t="s">
        <v>74</v>
      </c>
      <c r="AQ857" s="1" t="s">
        <v>74</v>
      </c>
      <c r="AR857" s="1" t="s">
        <v>74</v>
      </c>
      <c r="AS857" s="1" t="s">
        <v>74</v>
      </c>
      <c r="AT857" s="1" t="s">
        <v>164</v>
      </c>
      <c r="AU857" s="1">
        <v>2004.0</v>
      </c>
      <c r="AV857" s="1">
        <v>18.0</v>
      </c>
      <c r="AW857" s="1" t="s">
        <v>74</v>
      </c>
      <c r="AX857" s="1" t="s">
        <v>74</v>
      </c>
      <c r="AY857" s="1">
        <v>1.0</v>
      </c>
      <c r="AZ857" s="1" t="s">
        <v>74</v>
      </c>
      <c r="BA857" s="1" t="s">
        <v>74</v>
      </c>
      <c r="BB857" s="1">
        <v>132.0</v>
      </c>
      <c r="BC857" s="1">
        <v>132.0</v>
      </c>
      <c r="BD857" s="1" t="s">
        <v>74</v>
      </c>
      <c r="BE857" s="1" t="s">
        <v>74</v>
      </c>
      <c r="BF857" s="1" t="s">
        <v>74</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8036</v>
      </c>
      <c r="BT857" s="1" t="str">
        <f>HYPERLINK("https%3A%2F%2Fwww.webofscience.com%2Fwos%2Fwoscc%2Ffull-record%2FWOS:000208663600754","View Full Record in Web of Science")</f>
        <v>View Full Record in Web of Science</v>
      </c>
    </row>
    <row r="858" ht="12.75" customHeight="1">
      <c r="A858" s="1" t="s">
        <v>72</v>
      </c>
      <c r="B858" s="1" t="s">
        <v>8037</v>
      </c>
      <c r="C858" s="1" t="s">
        <v>74</v>
      </c>
      <c r="D858" s="1" t="s">
        <v>74</v>
      </c>
      <c r="E858" s="1" t="s">
        <v>74</v>
      </c>
      <c r="F858" s="1" t="s">
        <v>8037</v>
      </c>
      <c r="G858" s="1" t="s">
        <v>74</v>
      </c>
      <c r="H858" s="1" t="s">
        <v>74</v>
      </c>
      <c r="I858" s="1" t="s">
        <v>8038</v>
      </c>
      <c r="J858" s="1" t="s">
        <v>5838</v>
      </c>
      <c r="K858" s="1" t="s">
        <v>74</v>
      </c>
      <c r="L858" s="1" t="s">
        <v>74</v>
      </c>
      <c r="M858" s="1" t="s">
        <v>74</v>
      </c>
      <c r="N858" s="1" t="s">
        <v>74</v>
      </c>
      <c r="O858" s="1" t="s">
        <v>74</v>
      </c>
      <c r="P858" s="1" t="s">
        <v>74</v>
      </c>
      <c r="Q858" s="1" t="s">
        <v>74</v>
      </c>
      <c r="R858" s="1" t="s">
        <v>74</v>
      </c>
      <c r="S858" s="1" t="s">
        <v>74</v>
      </c>
      <c r="T858" s="1" t="s">
        <v>74</v>
      </c>
      <c r="U858" s="1" t="s">
        <v>74</v>
      </c>
      <c r="V858" s="1" t="s">
        <v>8039</v>
      </c>
      <c r="W858" s="1" t="s">
        <v>74</v>
      </c>
      <c r="X858" s="1" t="s">
        <v>74</v>
      </c>
      <c r="Y858" s="1" t="s">
        <v>74</v>
      </c>
      <c r="Z858" s="1" t="s">
        <v>74</v>
      </c>
      <c r="AA858" s="1" t="s">
        <v>8040</v>
      </c>
      <c r="AB858" s="1" t="s">
        <v>8041</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5840</v>
      </c>
      <c r="AP858" s="1" t="s">
        <v>74</v>
      </c>
      <c r="AQ858" s="1" t="s">
        <v>74</v>
      </c>
      <c r="AR858" s="1" t="s">
        <v>74</v>
      </c>
      <c r="AS858" s="1" t="s">
        <v>74</v>
      </c>
      <c r="AT858" s="1" t="s">
        <v>164</v>
      </c>
      <c r="AU858" s="1">
        <v>2001.0</v>
      </c>
      <c r="AV858" s="1" t="s">
        <v>74</v>
      </c>
      <c r="AW858" s="1">
        <v>7.0</v>
      </c>
      <c r="AX858" s="1" t="s">
        <v>74</v>
      </c>
      <c r="AY858" s="1" t="s">
        <v>74</v>
      </c>
      <c r="AZ858" s="1" t="s">
        <v>74</v>
      </c>
      <c r="BA858" s="1" t="s">
        <v>74</v>
      </c>
      <c r="BB858" s="1">
        <v>294.0</v>
      </c>
      <c r="BC858" s="1">
        <v>296.0</v>
      </c>
      <c r="BD858" s="1" t="s">
        <v>74</v>
      </c>
      <c r="BE858" s="1" t="s">
        <v>74</v>
      </c>
      <c r="BF858" s="1" t="s">
        <v>74</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8042</v>
      </c>
      <c r="BT858" s="1" t="str">
        <f>HYPERLINK("https%3A%2F%2Fwww.webofscience.com%2Fwos%2Fwoscc%2Ffull-record%2FWOS:000171089700016","View Full Record in Web of Science")</f>
        <v>View Full Record in Web of Science</v>
      </c>
    </row>
    <row r="859" ht="12.75" customHeight="1">
      <c r="A859" s="1" t="s">
        <v>72</v>
      </c>
      <c r="B859" s="1" t="s">
        <v>8043</v>
      </c>
      <c r="C859" s="1" t="s">
        <v>74</v>
      </c>
      <c r="D859" s="1" t="s">
        <v>74</v>
      </c>
      <c r="E859" s="1" t="s">
        <v>74</v>
      </c>
      <c r="F859" s="1" t="s">
        <v>8044</v>
      </c>
      <c r="G859" s="1" t="s">
        <v>74</v>
      </c>
      <c r="H859" s="1" t="s">
        <v>74</v>
      </c>
      <c r="I859" s="1" t="s">
        <v>8045</v>
      </c>
      <c r="J859" s="1" t="s">
        <v>8046</v>
      </c>
      <c r="K859" s="1" t="s">
        <v>74</v>
      </c>
      <c r="L859" s="1" t="s">
        <v>74</v>
      </c>
      <c r="M859" s="1" t="s">
        <v>74</v>
      </c>
      <c r="N859" s="1" t="s">
        <v>74</v>
      </c>
      <c r="O859" s="1" t="s">
        <v>74</v>
      </c>
      <c r="P859" s="1" t="s">
        <v>74</v>
      </c>
      <c r="Q859" s="1" t="s">
        <v>74</v>
      </c>
      <c r="R859" s="1" t="s">
        <v>74</v>
      </c>
      <c r="S859" s="1" t="s">
        <v>74</v>
      </c>
      <c r="T859" s="1" t="s">
        <v>74</v>
      </c>
      <c r="U859" s="1" t="s">
        <v>74</v>
      </c>
      <c r="V859" s="1" t="s">
        <v>8047</v>
      </c>
      <c r="W859" s="1" t="s">
        <v>74</v>
      </c>
      <c r="X859" s="1" t="s">
        <v>74</v>
      </c>
      <c r="Y859" s="1" t="s">
        <v>74</v>
      </c>
      <c r="Z859" s="1" t="s">
        <v>74</v>
      </c>
      <c r="AA859" s="1" t="s">
        <v>74</v>
      </c>
      <c r="AB859" s="1" t="s">
        <v>74</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8048</v>
      </c>
      <c r="AP859" s="1" t="s">
        <v>74</v>
      </c>
      <c r="AQ859" s="1" t="s">
        <v>74</v>
      </c>
      <c r="AR859" s="1" t="s">
        <v>74</v>
      </c>
      <c r="AS859" s="1" t="s">
        <v>74</v>
      </c>
      <c r="AT859" s="1" t="s">
        <v>8049</v>
      </c>
      <c r="AU859" s="1">
        <v>2000.0</v>
      </c>
      <c r="AV859" s="1" t="s">
        <v>74</v>
      </c>
      <c r="AW859" s="1" t="s">
        <v>74</v>
      </c>
      <c r="AX859" s="1" t="s">
        <v>74</v>
      </c>
      <c r="AY859" s="1" t="s">
        <v>74</v>
      </c>
      <c r="AZ859" s="1" t="s">
        <v>74</v>
      </c>
      <c r="BA859" s="1" t="s">
        <v>74</v>
      </c>
      <c r="BB859" s="1" t="s">
        <v>74</v>
      </c>
      <c r="BC859" s="1" t="s">
        <v>74</v>
      </c>
      <c r="BD859" s="1">
        <v>33.0</v>
      </c>
      <c r="BE859" s="1" t="s">
        <v>74</v>
      </c>
      <c r="BF859" s="1" t="s">
        <v>74</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8050</v>
      </c>
      <c r="BT859" s="1" t="str">
        <f>HYPERLINK("https%3A%2F%2Fwww.webofscience.com%2Fwos%2Fwoscc%2Ffull-record%2FWOS:000208500100001","View Full Record in Web of Science")</f>
        <v>View Full Record in Web of Science</v>
      </c>
    </row>
    <row r="860" ht="12.75" customHeight="1">
      <c r="A860" s="1" t="s">
        <v>72</v>
      </c>
      <c r="B860" s="1" t="s">
        <v>8051</v>
      </c>
      <c r="C860" s="1" t="s">
        <v>74</v>
      </c>
      <c r="D860" s="1" t="s">
        <v>74</v>
      </c>
      <c r="E860" s="1" t="s">
        <v>74</v>
      </c>
      <c r="F860" s="1" t="s">
        <v>8051</v>
      </c>
      <c r="G860" s="1" t="s">
        <v>74</v>
      </c>
      <c r="H860" s="1" t="s">
        <v>74</v>
      </c>
      <c r="I860" s="1" t="s">
        <v>8052</v>
      </c>
      <c r="J860" s="1" t="s">
        <v>1984</v>
      </c>
      <c r="K860" s="1" t="s">
        <v>74</v>
      </c>
      <c r="L860" s="1" t="s">
        <v>74</v>
      </c>
      <c r="M860" s="1" t="s">
        <v>74</v>
      </c>
      <c r="N860" s="1" t="s">
        <v>74</v>
      </c>
      <c r="O860" s="1" t="s">
        <v>74</v>
      </c>
      <c r="P860" s="1" t="s">
        <v>74</v>
      </c>
      <c r="Q860" s="1" t="s">
        <v>74</v>
      </c>
      <c r="R860" s="1" t="s">
        <v>74</v>
      </c>
      <c r="S860" s="1" t="s">
        <v>74</v>
      </c>
      <c r="T860" s="1" t="s">
        <v>74</v>
      </c>
      <c r="U860" s="1" t="s">
        <v>74</v>
      </c>
      <c r="V860" s="1" t="s">
        <v>8053</v>
      </c>
      <c r="W860" s="1" t="s">
        <v>74</v>
      </c>
      <c r="X860" s="1" t="s">
        <v>74</v>
      </c>
      <c r="Y860" s="1" t="s">
        <v>74</v>
      </c>
      <c r="Z860" s="1" t="s">
        <v>74</v>
      </c>
      <c r="AA860" s="1" t="s">
        <v>8054</v>
      </c>
      <c r="AB860" s="1" t="s">
        <v>1987</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1988</v>
      </c>
      <c r="AP860" s="1" t="s">
        <v>1989</v>
      </c>
      <c r="AQ860" s="1" t="s">
        <v>74</v>
      </c>
      <c r="AR860" s="1" t="s">
        <v>74</v>
      </c>
      <c r="AS860" s="1" t="s">
        <v>74</v>
      </c>
      <c r="AT860" s="1" t="s">
        <v>4375</v>
      </c>
      <c r="AU860" s="1">
        <v>1997.0</v>
      </c>
      <c r="AV860" s="1">
        <v>335.0</v>
      </c>
      <c r="AW860" s="1">
        <v>1.0</v>
      </c>
      <c r="AX860" s="1" t="s">
        <v>74</v>
      </c>
      <c r="AY860" s="1" t="s">
        <v>74</v>
      </c>
      <c r="AZ860" s="1" t="s">
        <v>74</v>
      </c>
      <c r="BA860" s="1" t="s">
        <v>74</v>
      </c>
      <c r="BB860" s="1">
        <v>1.0</v>
      </c>
      <c r="BC860" s="1">
        <v>8.0</v>
      </c>
      <c r="BD860" s="1" t="s">
        <v>74</v>
      </c>
      <c r="BE860" s="1" t="s">
        <v>8055</v>
      </c>
      <c r="BF860" s="2" t="str">
        <f>HYPERLINK("http://dx.doi.org/10.1016/S0014-2999(97)01156-4","http://dx.doi.org/10.1016/S0014-2999(97)01156-4")</f>
        <v>http://dx.doi.org/10.1016/S0014-2999(97)01156-4</v>
      </c>
      <c r="BG860" s="1" t="s">
        <v>74</v>
      </c>
      <c r="BH860" s="1" t="s">
        <v>74</v>
      </c>
      <c r="BI860" s="1" t="s">
        <v>74</v>
      </c>
      <c r="BJ860" s="1" t="s">
        <v>74</v>
      </c>
      <c r="BK860" s="1" t="s">
        <v>74</v>
      </c>
      <c r="BL860" s="1" t="s">
        <v>74</v>
      </c>
      <c r="BM860" s="1" t="s">
        <v>74</v>
      </c>
      <c r="BN860" s="1">
        <v>9371539.0</v>
      </c>
      <c r="BO860" s="1" t="s">
        <v>74</v>
      </c>
      <c r="BP860" s="1" t="s">
        <v>74</v>
      </c>
      <c r="BQ860" s="1" t="s">
        <v>74</v>
      </c>
      <c r="BR860" s="1" t="s">
        <v>74</v>
      </c>
      <c r="BS860" s="1" t="s">
        <v>8056</v>
      </c>
      <c r="BT860" s="1" t="str">
        <f>HYPERLINK("https%3A%2F%2Fwww.webofscience.com%2Fwos%2Fwoscc%2Ffull-record%2FWOS:A1997YC09000001","View Full Record in Web of Science")</f>
        <v>View Full Record in Web of Science</v>
      </c>
    </row>
    <row r="861" ht="12.75" customHeight="1">
      <c r="A861" s="1" t="s">
        <v>72</v>
      </c>
      <c r="B861" s="1" t="s">
        <v>8057</v>
      </c>
      <c r="C861" s="1" t="s">
        <v>74</v>
      </c>
      <c r="D861" s="1" t="s">
        <v>74</v>
      </c>
      <c r="E861" s="1" t="s">
        <v>74</v>
      </c>
      <c r="F861" s="1" t="s">
        <v>8057</v>
      </c>
      <c r="G861" s="1" t="s">
        <v>74</v>
      </c>
      <c r="H861" s="1" t="s">
        <v>74</v>
      </c>
      <c r="I861" s="1" t="s">
        <v>8058</v>
      </c>
      <c r="J861" s="1" t="s">
        <v>8059</v>
      </c>
      <c r="K861" s="1" t="s">
        <v>74</v>
      </c>
      <c r="L861" s="1" t="s">
        <v>74</v>
      </c>
      <c r="M861" s="1" t="s">
        <v>74</v>
      </c>
      <c r="N861" s="1" t="s">
        <v>74</v>
      </c>
      <c r="O861" s="1" t="s">
        <v>74</v>
      </c>
      <c r="P861" s="1" t="s">
        <v>74</v>
      </c>
      <c r="Q861" s="1" t="s">
        <v>74</v>
      </c>
      <c r="R861" s="1" t="s">
        <v>74</v>
      </c>
      <c r="S861" s="1" t="s">
        <v>74</v>
      </c>
      <c r="T861" s="1" t="s">
        <v>74</v>
      </c>
      <c r="U861" s="1" t="s">
        <v>74</v>
      </c>
      <c r="V861" s="1" t="s">
        <v>8060</v>
      </c>
      <c r="W861" s="1" t="s">
        <v>74</v>
      </c>
      <c r="X861" s="1" t="s">
        <v>74</v>
      </c>
      <c r="Y861" s="1" t="s">
        <v>74</v>
      </c>
      <c r="Z861" s="1" t="s">
        <v>74</v>
      </c>
      <c r="AA861" s="1" t="s">
        <v>74</v>
      </c>
      <c r="AB861" s="1" t="s">
        <v>74</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8061</v>
      </c>
      <c r="AP861" s="1" t="s">
        <v>74</v>
      </c>
      <c r="AQ861" s="1" t="s">
        <v>74</v>
      </c>
      <c r="AR861" s="1" t="s">
        <v>74</v>
      </c>
      <c r="AS861" s="1" t="s">
        <v>74</v>
      </c>
      <c r="AT861" s="1" t="s">
        <v>8062</v>
      </c>
      <c r="AU861" s="1">
        <v>1997.0</v>
      </c>
      <c r="AV861" s="1">
        <v>1337.0</v>
      </c>
      <c r="AW861" s="1">
        <v>2.0</v>
      </c>
      <c r="AX861" s="1" t="s">
        <v>74</v>
      </c>
      <c r="AY861" s="1" t="s">
        <v>74</v>
      </c>
      <c r="AZ861" s="1" t="s">
        <v>74</v>
      </c>
      <c r="BA861" s="1" t="s">
        <v>74</v>
      </c>
      <c r="BB861" s="1">
        <v>166.0</v>
      </c>
      <c r="BC861" s="1">
        <v>174.0</v>
      </c>
      <c r="BD861" s="1" t="s">
        <v>74</v>
      </c>
      <c r="BE861" s="1" t="s">
        <v>8063</v>
      </c>
      <c r="BF861" s="2" t="str">
        <f>HYPERLINK("http://dx.doi.org/10.1016/S0167-4838(96)00155-0","http://dx.doi.org/10.1016/S0167-4838(96)00155-0")</f>
        <v>http://dx.doi.org/10.1016/S0167-4838(96)00155-0</v>
      </c>
      <c r="BG861" s="1" t="s">
        <v>74</v>
      </c>
      <c r="BH861" s="1" t="s">
        <v>74</v>
      </c>
      <c r="BI861" s="1" t="s">
        <v>74</v>
      </c>
      <c r="BJ861" s="1" t="s">
        <v>74</v>
      </c>
      <c r="BK861" s="1" t="s">
        <v>74</v>
      </c>
      <c r="BL861" s="1" t="s">
        <v>74</v>
      </c>
      <c r="BM861" s="1" t="s">
        <v>74</v>
      </c>
      <c r="BN861" s="1">
        <v>9048893.0</v>
      </c>
      <c r="BO861" s="1" t="s">
        <v>74</v>
      </c>
      <c r="BP861" s="1" t="s">
        <v>74</v>
      </c>
      <c r="BQ861" s="1" t="s">
        <v>74</v>
      </c>
      <c r="BR861" s="1" t="s">
        <v>74</v>
      </c>
      <c r="BS861" s="1" t="s">
        <v>8064</v>
      </c>
      <c r="BT861" s="1" t="str">
        <f>HYPERLINK("https%3A%2F%2Fwww.webofscience.com%2Fwos%2Fwoscc%2Ffull-record%2FWOS:A1997WH36500002","View Full Record in Web of Science")</f>
        <v>View Full Record in Web of Science</v>
      </c>
    </row>
    <row r="862" ht="12.75" customHeight="1">
      <c r="A862" s="1" t="s">
        <v>72</v>
      </c>
      <c r="B862" s="1" t="s">
        <v>8065</v>
      </c>
      <c r="C862" s="1" t="s">
        <v>74</v>
      </c>
      <c r="D862" s="1" t="s">
        <v>74</v>
      </c>
      <c r="E862" s="1" t="s">
        <v>74</v>
      </c>
      <c r="F862" s="1" t="s">
        <v>8065</v>
      </c>
      <c r="G862" s="1" t="s">
        <v>74</v>
      </c>
      <c r="H862" s="1" t="s">
        <v>74</v>
      </c>
      <c r="I862" s="1" t="s">
        <v>8066</v>
      </c>
      <c r="J862" s="1" t="s">
        <v>443</v>
      </c>
      <c r="K862" s="1" t="s">
        <v>74</v>
      </c>
      <c r="L862" s="1" t="s">
        <v>74</v>
      </c>
      <c r="M862" s="1" t="s">
        <v>74</v>
      </c>
      <c r="N862" s="1" t="s">
        <v>74</v>
      </c>
      <c r="O862" s="1" t="s">
        <v>74</v>
      </c>
      <c r="P862" s="1" t="s">
        <v>74</v>
      </c>
      <c r="Q862" s="1" t="s">
        <v>74</v>
      </c>
      <c r="R862" s="1" t="s">
        <v>74</v>
      </c>
      <c r="S862" s="1" t="s">
        <v>74</v>
      </c>
      <c r="T862" s="1" t="s">
        <v>74</v>
      </c>
      <c r="U862" s="1" t="s">
        <v>74</v>
      </c>
      <c r="V862" s="1" t="s">
        <v>8067</v>
      </c>
      <c r="W862" s="1" t="s">
        <v>74</v>
      </c>
      <c r="X862" s="1" t="s">
        <v>74</v>
      </c>
      <c r="Y862" s="1" t="s">
        <v>74</v>
      </c>
      <c r="Z862" s="1" t="s">
        <v>74</v>
      </c>
      <c r="AA862" s="1" t="s">
        <v>74</v>
      </c>
      <c r="AB862" s="1" t="s">
        <v>8068</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447</v>
      </c>
      <c r="AP862" s="1" t="s">
        <v>448</v>
      </c>
      <c r="AQ862" s="1" t="s">
        <v>74</v>
      </c>
      <c r="AR862" s="1" t="s">
        <v>74</v>
      </c>
      <c r="AS862" s="1" t="s">
        <v>74</v>
      </c>
      <c r="AT862" s="1" t="s">
        <v>461</v>
      </c>
      <c r="AU862" s="1">
        <v>1995.0</v>
      </c>
      <c r="AV862" s="1">
        <v>10.0</v>
      </c>
      <c r="AW862" s="1">
        <v>9.0</v>
      </c>
      <c r="AX862" s="1" t="s">
        <v>74</v>
      </c>
      <c r="AY862" s="1" t="s">
        <v>74</v>
      </c>
      <c r="AZ862" s="1" t="s">
        <v>74</v>
      </c>
      <c r="BA862" s="1" t="s">
        <v>74</v>
      </c>
      <c r="BB862" s="1">
        <v>2361.0</v>
      </c>
      <c r="BC862" s="1">
        <v>2367.0</v>
      </c>
      <c r="BD862" s="1" t="s">
        <v>74</v>
      </c>
      <c r="BE862" s="1" t="s">
        <v>74</v>
      </c>
      <c r="BF862" s="1" t="s">
        <v>74</v>
      </c>
      <c r="BG862" s="1" t="s">
        <v>74</v>
      </c>
      <c r="BH862" s="1" t="s">
        <v>74</v>
      </c>
      <c r="BI862" s="1" t="s">
        <v>74</v>
      </c>
      <c r="BJ862" s="1" t="s">
        <v>74</v>
      </c>
      <c r="BK862" s="1" t="s">
        <v>74</v>
      </c>
      <c r="BL862" s="1" t="s">
        <v>74</v>
      </c>
      <c r="BM862" s="1" t="s">
        <v>74</v>
      </c>
      <c r="BN862" s="1">
        <v>8530666.0</v>
      </c>
      <c r="BO862" s="1" t="s">
        <v>74</v>
      </c>
      <c r="BP862" s="1" t="s">
        <v>74</v>
      </c>
      <c r="BQ862" s="1" t="s">
        <v>74</v>
      </c>
      <c r="BR862" s="1" t="s">
        <v>74</v>
      </c>
      <c r="BS862" s="1" t="s">
        <v>8069</v>
      </c>
      <c r="BT862" s="1" t="str">
        <f>HYPERLINK("https%3A%2F%2Fwww.webofscience.com%2Fwos%2Fwoscc%2Ffull-record%2FWOS:A1995RZ83000029","View Full Record in Web of Science")</f>
        <v>View Full Record in Web of Science</v>
      </c>
    </row>
    <row r="863" ht="12.75" customHeight="1">
      <c r="A863" s="1" t="s">
        <v>72</v>
      </c>
      <c r="B863" s="1" t="s">
        <v>8070</v>
      </c>
      <c r="C863" s="1" t="s">
        <v>74</v>
      </c>
      <c r="D863" s="1" t="s">
        <v>74</v>
      </c>
      <c r="E863" s="1" t="s">
        <v>74</v>
      </c>
      <c r="F863" s="1" t="s">
        <v>8070</v>
      </c>
      <c r="G863" s="1" t="s">
        <v>74</v>
      </c>
      <c r="H863" s="1" t="s">
        <v>74</v>
      </c>
      <c r="I863" s="1" t="s">
        <v>8071</v>
      </c>
      <c r="J863" s="1" t="s">
        <v>4050</v>
      </c>
      <c r="K863" s="1" t="s">
        <v>74</v>
      </c>
      <c r="L863" s="1" t="s">
        <v>74</v>
      </c>
      <c r="M863" s="1" t="s">
        <v>74</v>
      </c>
      <c r="N863" s="1" t="s">
        <v>74</v>
      </c>
      <c r="O863" s="1" t="s">
        <v>74</v>
      </c>
      <c r="P863" s="1" t="s">
        <v>74</v>
      </c>
      <c r="Q863" s="1" t="s">
        <v>74</v>
      </c>
      <c r="R863" s="1" t="s">
        <v>74</v>
      </c>
      <c r="S863" s="1" t="s">
        <v>74</v>
      </c>
      <c r="T863" s="1" t="s">
        <v>74</v>
      </c>
      <c r="U863" s="1" t="s">
        <v>74</v>
      </c>
      <c r="V863" s="1" t="s">
        <v>8072</v>
      </c>
      <c r="W863" s="1" t="s">
        <v>74</v>
      </c>
      <c r="X863" s="1" t="s">
        <v>74</v>
      </c>
      <c r="Y863" s="1" t="s">
        <v>74</v>
      </c>
      <c r="Z863" s="1" t="s">
        <v>74</v>
      </c>
      <c r="AA863" s="1" t="s">
        <v>74</v>
      </c>
      <c r="AB863" s="1" t="s">
        <v>74</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4054</v>
      </c>
      <c r="AP863" s="1" t="s">
        <v>74</v>
      </c>
      <c r="AQ863" s="1" t="s">
        <v>74</v>
      </c>
      <c r="AR863" s="1" t="s">
        <v>74</v>
      </c>
      <c r="AS863" s="1" t="s">
        <v>74</v>
      </c>
      <c r="AT863" s="1" t="s">
        <v>1668</v>
      </c>
      <c r="AU863" s="1">
        <v>1995.0</v>
      </c>
      <c r="AV863" s="1">
        <v>84.0</v>
      </c>
      <c r="AW863" s="1">
        <v>3.0</v>
      </c>
      <c r="AX863" s="1" t="s">
        <v>74</v>
      </c>
      <c r="AY863" s="1" t="s">
        <v>74</v>
      </c>
      <c r="AZ863" s="1" t="s">
        <v>74</v>
      </c>
      <c r="BA863" s="1" t="s">
        <v>74</v>
      </c>
      <c r="BB863" s="1">
        <v>633.0</v>
      </c>
      <c r="BC863" s="1">
        <v>644.0</v>
      </c>
      <c r="BD863" s="1" t="s">
        <v>74</v>
      </c>
      <c r="BE863" s="1" t="s">
        <v>8073</v>
      </c>
      <c r="BF863" s="2" t="str">
        <f>HYPERLINK("http://dx.doi.org/10.1016/0377-2217(95)00028-O","http://dx.doi.org/10.1016/0377-2217(95)00028-O")</f>
        <v>http://dx.doi.org/10.1016/0377-2217(95)00028-O</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8074</v>
      </c>
      <c r="BT863" s="1" t="str">
        <f>HYPERLINK("https%3A%2F%2Fwww.webofscience.com%2Fwos%2Fwoscc%2Ffull-record%2FWOS:A1995RJ00300011","View Full Record in Web of Science")</f>
        <v>View Full Record in Web of Science</v>
      </c>
    </row>
    <row r="864" ht="12.75" customHeight="1">
      <c r="A864" s="1" t="s">
        <v>72</v>
      </c>
      <c r="B864" s="1" t="s">
        <v>8075</v>
      </c>
      <c r="C864" s="1" t="s">
        <v>74</v>
      </c>
      <c r="D864" s="1" t="s">
        <v>74</v>
      </c>
      <c r="E864" s="1" t="s">
        <v>74</v>
      </c>
      <c r="F864" s="1" t="s">
        <v>8075</v>
      </c>
      <c r="G864" s="1" t="s">
        <v>74</v>
      </c>
      <c r="H864" s="1" t="s">
        <v>74</v>
      </c>
      <c r="I864" s="1" t="s">
        <v>8076</v>
      </c>
      <c r="J864" s="1" t="s">
        <v>3967</v>
      </c>
      <c r="K864" s="1" t="s">
        <v>74</v>
      </c>
      <c r="L864" s="1" t="s">
        <v>74</v>
      </c>
      <c r="M864" s="1" t="s">
        <v>74</v>
      </c>
      <c r="N864" s="1" t="s">
        <v>74</v>
      </c>
      <c r="O864" s="1" t="s">
        <v>74</v>
      </c>
      <c r="P864" s="1" t="s">
        <v>74</v>
      </c>
      <c r="Q864" s="1" t="s">
        <v>74</v>
      </c>
      <c r="R864" s="1" t="s">
        <v>74</v>
      </c>
      <c r="S864" s="1" t="s">
        <v>74</v>
      </c>
      <c r="T864" s="1" t="s">
        <v>74</v>
      </c>
      <c r="U864" s="1" t="s">
        <v>74</v>
      </c>
      <c r="V864" s="1" t="s">
        <v>8077</v>
      </c>
      <c r="W864" s="1" t="s">
        <v>74</v>
      </c>
      <c r="X864" s="1" t="s">
        <v>74</v>
      </c>
      <c r="Y864" s="1" t="s">
        <v>74</v>
      </c>
      <c r="Z864" s="1" t="s">
        <v>74</v>
      </c>
      <c r="AA864" s="1" t="s">
        <v>8078</v>
      </c>
      <c r="AB864" s="1" t="s">
        <v>74</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3970</v>
      </c>
      <c r="AP864" s="1" t="s">
        <v>74</v>
      </c>
      <c r="AQ864" s="1" t="s">
        <v>74</v>
      </c>
      <c r="AR864" s="1" t="s">
        <v>74</v>
      </c>
      <c r="AS864" s="1" t="s">
        <v>74</v>
      </c>
      <c r="AT864" s="1" t="s">
        <v>647</v>
      </c>
      <c r="AU864" s="1">
        <v>1995.0</v>
      </c>
      <c r="AV864" s="1">
        <v>52.0</v>
      </c>
      <c r="AW864" s="1" t="s">
        <v>74</v>
      </c>
      <c r="AX864" s="1">
        <v>1.0</v>
      </c>
      <c r="AY864" s="1" t="s">
        <v>74</v>
      </c>
      <c r="AZ864" s="1" t="s">
        <v>74</v>
      </c>
      <c r="BA864" s="1" t="s">
        <v>74</v>
      </c>
      <c r="BB864" s="1">
        <v>137.0</v>
      </c>
      <c r="BC864" s="1">
        <v>146.0</v>
      </c>
      <c r="BD864" s="1" t="s">
        <v>74</v>
      </c>
      <c r="BE864" s="1" t="s">
        <v>8079</v>
      </c>
      <c r="BF864" s="2" t="str">
        <f>HYPERLINK("http://dx.doi.org/10.1112/jlms/52.1.137","http://dx.doi.org/10.1112/jlms/52.1.137")</f>
        <v>http://dx.doi.org/10.1112/jlms/52.1.137</v>
      </c>
      <c r="BG864" s="1" t="s">
        <v>74</v>
      </c>
      <c r="BH864" s="1" t="s">
        <v>74</v>
      </c>
      <c r="BI864" s="1" t="s">
        <v>74</v>
      </c>
      <c r="BJ864" s="1" t="s">
        <v>74</v>
      </c>
      <c r="BK864" s="1" t="s">
        <v>74</v>
      </c>
      <c r="BL864" s="1" t="s">
        <v>74</v>
      </c>
      <c r="BM864" s="1" t="s">
        <v>74</v>
      </c>
      <c r="BN864" s="1" t="s">
        <v>74</v>
      </c>
      <c r="BO864" s="1" t="s">
        <v>74</v>
      </c>
      <c r="BP864" s="1" t="s">
        <v>74</v>
      </c>
      <c r="BQ864" s="1" t="s">
        <v>74</v>
      </c>
      <c r="BR864" s="1" t="s">
        <v>74</v>
      </c>
      <c r="BS864" s="1" t="s">
        <v>8080</v>
      </c>
      <c r="BT864" s="1" t="str">
        <f>HYPERLINK("https%3A%2F%2Fwww.webofscience.com%2Fwos%2Fwoscc%2Ffull-record%2FWOS:A1995TD97400011","View Full Record in Web of Science")</f>
        <v>View Full Record in Web of Science</v>
      </c>
    </row>
    <row r="865" ht="12.75" customHeight="1">
      <c r="A865" s="1" t="s">
        <v>72</v>
      </c>
      <c r="B865" s="1" t="s">
        <v>8081</v>
      </c>
      <c r="C865" s="1" t="s">
        <v>74</v>
      </c>
      <c r="D865" s="1" t="s">
        <v>74</v>
      </c>
      <c r="E865" s="1" t="s">
        <v>74</v>
      </c>
      <c r="F865" s="1" t="s">
        <v>8081</v>
      </c>
      <c r="G865" s="1" t="s">
        <v>74</v>
      </c>
      <c r="H865" s="1" t="s">
        <v>74</v>
      </c>
      <c r="I865" s="1" t="s">
        <v>8082</v>
      </c>
      <c r="J865" s="1" t="s">
        <v>326</v>
      </c>
      <c r="K865" s="1" t="s">
        <v>74</v>
      </c>
      <c r="L865" s="1" t="s">
        <v>74</v>
      </c>
      <c r="M865" s="1" t="s">
        <v>74</v>
      </c>
      <c r="N865" s="1" t="s">
        <v>74</v>
      </c>
      <c r="O865" s="1" t="s">
        <v>74</v>
      </c>
      <c r="P865" s="1" t="s">
        <v>74</v>
      </c>
      <c r="Q865" s="1" t="s">
        <v>74</v>
      </c>
      <c r="R865" s="1" t="s">
        <v>74</v>
      </c>
      <c r="S865" s="1" t="s">
        <v>74</v>
      </c>
      <c r="T865" s="1" t="s">
        <v>74</v>
      </c>
      <c r="U865" s="1" t="s">
        <v>74</v>
      </c>
      <c r="V865" s="1" t="s">
        <v>74</v>
      </c>
      <c r="W865" s="1" t="s">
        <v>74</v>
      </c>
      <c r="X865" s="1" t="s">
        <v>74</v>
      </c>
      <c r="Y865" s="1" t="s">
        <v>74</v>
      </c>
      <c r="Z865" s="1" t="s">
        <v>74</v>
      </c>
      <c r="AA865" s="1" t="s">
        <v>74</v>
      </c>
      <c r="AB865" s="1" t="s">
        <v>74</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330</v>
      </c>
      <c r="AP865" s="1" t="s">
        <v>331</v>
      </c>
      <c r="AQ865" s="1" t="s">
        <v>74</v>
      </c>
      <c r="AR865" s="1" t="s">
        <v>74</v>
      </c>
      <c r="AS865" s="1" t="s">
        <v>74</v>
      </c>
      <c r="AT865" s="1" t="s">
        <v>74</v>
      </c>
      <c r="AU865" s="1">
        <v>1983.0</v>
      </c>
      <c r="AV865" s="1">
        <v>28.0</v>
      </c>
      <c r="AW865" s="1">
        <v>8.0</v>
      </c>
      <c r="AX865" s="1" t="s">
        <v>74</v>
      </c>
      <c r="AY865" s="1" t="s">
        <v>74</v>
      </c>
      <c r="AZ865" s="1" t="s">
        <v>74</v>
      </c>
      <c r="BA865" s="1" t="s">
        <v>74</v>
      </c>
      <c r="BB865" s="1">
        <v>1153.0</v>
      </c>
      <c r="BC865" s="1">
        <v>1159.0</v>
      </c>
      <c r="BD865" s="1" t="s">
        <v>74</v>
      </c>
      <c r="BE865" s="1" t="s">
        <v>8083</v>
      </c>
      <c r="BF865" s="2" t="str">
        <f>HYPERLINK("http://dx.doi.org/10.1016/0013-4686(83)80021-8","http://dx.doi.org/10.1016/0013-4686(83)80021-8")</f>
        <v>http://dx.doi.org/10.1016/0013-4686(83)80021-8</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8084</v>
      </c>
      <c r="BT865" s="1" t="str">
        <f>HYPERLINK("https%3A%2F%2Fwww.webofscience.com%2Fwos%2Fwoscc%2Ffull-record%2FWOS:A1983RA31200020","View Full Record in Web of Science")</f>
        <v>View Full Record in Web of Science</v>
      </c>
    </row>
    <row r="866" ht="12.75" customHeight="1">
      <c r="A866" s="1" t="s">
        <v>72</v>
      </c>
      <c r="B866" s="1" t="s">
        <v>8085</v>
      </c>
      <c r="C866" s="1" t="s">
        <v>74</v>
      </c>
      <c r="D866" s="1" t="s">
        <v>74</v>
      </c>
      <c r="E866" s="1" t="s">
        <v>74</v>
      </c>
      <c r="F866" s="1" t="s">
        <v>8085</v>
      </c>
      <c r="G866" s="1" t="s">
        <v>74</v>
      </c>
      <c r="H866" s="1" t="s">
        <v>74</v>
      </c>
      <c r="I866" s="1" t="s">
        <v>8086</v>
      </c>
      <c r="J866" s="1" t="s">
        <v>326</v>
      </c>
      <c r="K866" s="1" t="s">
        <v>74</v>
      </c>
      <c r="L866" s="1" t="s">
        <v>74</v>
      </c>
      <c r="M866" s="1" t="s">
        <v>74</v>
      </c>
      <c r="N866" s="1" t="s">
        <v>74</v>
      </c>
      <c r="O866" s="1" t="s">
        <v>74</v>
      </c>
      <c r="P866" s="1" t="s">
        <v>74</v>
      </c>
      <c r="Q866" s="1" t="s">
        <v>74</v>
      </c>
      <c r="R866" s="1" t="s">
        <v>74</v>
      </c>
      <c r="S866" s="1" t="s">
        <v>74</v>
      </c>
      <c r="T866" s="1" t="s">
        <v>74</v>
      </c>
      <c r="U866" s="1" t="s">
        <v>74</v>
      </c>
      <c r="V866" s="1" t="s">
        <v>74</v>
      </c>
      <c r="W866" s="1" t="s">
        <v>74</v>
      </c>
      <c r="X866" s="1" t="s">
        <v>74</v>
      </c>
      <c r="Y866" s="1" t="s">
        <v>74</v>
      </c>
      <c r="Z866" s="1" t="s">
        <v>74</v>
      </c>
      <c r="AA866" s="1" t="s">
        <v>8087</v>
      </c>
      <c r="AB866" s="1" t="s">
        <v>74</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330</v>
      </c>
      <c r="AP866" s="1" t="s">
        <v>331</v>
      </c>
      <c r="AQ866" s="1" t="s">
        <v>74</v>
      </c>
      <c r="AR866" s="1" t="s">
        <v>74</v>
      </c>
      <c r="AS866" s="1" t="s">
        <v>74</v>
      </c>
      <c r="AT866" s="1" t="s">
        <v>74</v>
      </c>
      <c r="AU866" s="1">
        <v>1983.0</v>
      </c>
      <c r="AV866" s="1">
        <v>28.0</v>
      </c>
      <c r="AW866" s="1">
        <v>12.0</v>
      </c>
      <c r="AX866" s="1" t="s">
        <v>74</v>
      </c>
      <c r="AY866" s="1" t="s">
        <v>74</v>
      </c>
      <c r="AZ866" s="1" t="s">
        <v>74</v>
      </c>
      <c r="BA866" s="1" t="s">
        <v>74</v>
      </c>
      <c r="BB866" s="1">
        <v>1889.0</v>
      </c>
      <c r="BC866" s="1">
        <v>1895.0</v>
      </c>
      <c r="BD866" s="1" t="s">
        <v>74</v>
      </c>
      <c r="BE866" s="1" t="s">
        <v>8088</v>
      </c>
      <c r="BF866" s="2" t="str">
        <f>HYPERLINK("http://dx.doi.org/10.1016/0013-4686(83)87032-7","http://dx.doi.org/10.1016/0013-4686(83)87032-7")</f>
        <v>http://dx.doi.org/10.1016/0013-4686(83)87032-7</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8089</v>
      </c>
      <c r="BT866" s="1" t="str">
        <f>HYPERLINK("https%3A%2F%2Fwww.webofscience.com%2Fwos%2Fwoscc%2Ffull-record%2FWOS:A1983SB09400032","View Full Record in Web of Science")</f>
        <v>View Full Record in Web of Science</v>
      </c>
    </row>
    <row r="867" ht="12.75" customHeight="1">
      <c r="A867" s="1" t="s">
        <v>72</v>
      </c>
      <c r="B867" s="1" t="s">
        <v>8090</v>
      </c>
      <c r="C867" s="1" t="s">
        <v>74</v>
      </c>
      <c r="D867" s="1" t="s">
        <v>74</v>
      </c>
      <c r="E867" s="1" t="s">
        <v>74</v>
      </c>
      <c r="F867" s="1" t="s">
        <v>8091</v>
      </c>
      <c r="G867" s="1" t="s">
        <v>74</v>
      </c>
      <c r="H867" s="1" t="s">
        <v>74</v>
      </c>
      <c r="I867" s="1" t="s">
        <v>8092</v>
      </c>
      <c r="J867" s="1" t="s">
        <v>8093</v>
      </c>
      <c r="K867" s="1" t="s">
        <v>74</v>
      </c>
      <c r="L867" s="1" t="s">
        <v>74</v>
      </c>
      <c r="M867" s="1" t="s">
        <v>74</v>
      </c>
      <c r="N867" s="1" t="s">
        <v>74</v>
      </c>
      <c r="O867" s="1" t="s">
        <v>74</v>
      </c>
      <c r="P867" s="1" t="s">
        <v>74</v>
      </c>
      <c r="Q867" s="1" t="s">
        <v>74</v>
      </c>
      <c r="R867" s="1" t="s">
        <v>74</v>
      </c>
      <c r="S867" s="1" t="s">
        <v>74</v>
      </c>
      <c r="T867" s="1" t="s">
        <v>74</v>
      </c>
      <c r="U867" s="1" t="s">
        <v>74</v>
      </c>
      <c r="V867" s="1" t="s">
        <v>8094</v>
      </c>
      <c r="W867" s="1" t="s">
        <v>74</v>
      </c>
      <c r="X867" s="1" t="s">
        <v>74</v>
      </c>
      <c r="Y867" s="1" t="s">
        <v>74</v>
      </c>
      <c r="Z867" s="1" t="s">
        <v>74</v>
      </c>
      <c r="AA867" s="1" t="s">
        <v>74</v>
      </c>
      <c r="AB867" s="1" t="s">
        <v>8095</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8096</v>
      </c>
      <c r="AP867" s="1" t="s">
        <v>8097</v>
      </c>
      <c r="AQ867" s="1" t="s">
        <v>74</v>
      </c>
      <c r="AR867" s="1" t="s">
        <v>74</v>
      </c>
      <c r="AS867" s="1" t="s">
        <v>74</v>
      </c>
      <c r="AT867" s="1" t="s">
        <v>8098</v>
      </c>
      <c r="AU867" s="1">
        <v>2025.0</v>
      </c>
      <c r="AV867" s="1">
        <v>45.0</v>
      </c>
      <c r="AW867" s="1">
        <v>4.0</v>
      </c>
      <c r="AX867" s="1" t="s">
        <v>74</v>
      </c>
      <c r="AY867" s="1" t="s">
        <v>74</v>
      </c>
      <c r="AZ867" s="1" t="s">
        <v>74</v>
      </c>
      <c r="BA867" s="1" t="s">
        <v>74</v>
      </c>
      <c r="BB867" s="1" t="s">
        <v>74</v>
      </c>
      <c r="BC867" s="1" t="s">
        <v>74</v>
      </c>
      <c r="BD867" s="1" t="s">
        <v>74</v>
      </c>
      <c r="BE867" s="1" t="s">
        <v>8099</v>
      </c>
      <c r="BF867" s="2" t="str">
        <f>HYPERLINK("http://dx.doi.org/10.1002/joc.8747","http://dx.doi.org/10.1002/joc.8747")</f>
        <v>http://dx.doi.org/10.1002/joc.8747</v>
      </c>
      <c r="BG867" s="1" t="s">
        <v>74</v>
      </c>
      <c r="BH867" s="1" t="s">
        <v>85</v>
      </c>
      <c r="BI867" s="1" t="s">
        <v>74</v>
      </c>
      <c r="BJ867" s="1" t="s">
        <v>74</v>
      </c>
      <c r="BK867" s="1" t="s">
        <v>74</v>
      </c>
      <c r="BL867" s="1" t="s">
        <v>74</v>
      </c>
      <c r="BM867" s="1" t="s">
        <v>74</v>
      </c>
      <c r="BN867" s="1" t="s">
        <v>74</v>
      </c>
      <c r="BO867" s="1" t="s">
        <v>74</v>
      </c>
      <c r="BP867" s="1" t="s">
        <v>74</v>
      </c>
      <c r="BQ867" s="1" t="s">
        <v>74</v>
      </c>
      <c r="BR867" s="1" t="s">
        <v>74</v>
      </c>
      <c r="BS867" s="1" t="s">
        <v>8100</v>
      </c>
      <c r="BT867" s="1" t="str">
        <f>HYPERLINK("https%3A%2F%2Fwww.webofscience.com%2Fwos%2Fwoscc%2Ffull-record%2FWOS:001389884600001","View Full Record in Web of Science")</f>
        <v>View Full Record in Web of Science</v>
      </c>
    </row>
    <row r="868" ht="12.75" customHeight="1">
      <c r="A868" s="1" t="s">
        <v>72</v>
      </c>
      <c r="B868" s="1" t="s">
        <v>8101</v>
      </c>
      <c r="C868" s="1" t="s">
        <v>74</v>
      </c>
      <c r="D868" s="1" t="s">
        <v>74</v>
      </c>
      <c r="E868" s="1" t="s">
        <v>74</v>
      </c>
      <c r="F868" s="1" t="s">
        <v>8102</v>
      </c>
      <c r="G868" s="1" t="s">
        <v>74</v>
      </c>
      <c r="H868" s="1" t="s">
        <v>74</v>
      </c>
      <c r="I868" s="1" t="s">
        <v>8103</v>
      </c>
      <c r="J868" s="1" t="s">
        <v>8104</v>
      </c>
      <c r="K868" s="1" t="s">
        <v>74</v>
      </c>
      <c r="L868" s="1" t="s">
        <v>74</v>
      </c>
      <c r="M868" s="1" t="s">
        <v>74</v>
      </c>
      <c r="N868" s="1" t="s">
        <v>74</v>
      </c>
      <c r="O868" s="1" t="s">
        <v>74</v>
      </c>
      <c r="P868" s="1" t="s">
        <v>74</v>
      </c>
      <c r="Q868" s="1" t="s">
        <v>74</v>
      </c>
      <c r="R868" s="1" t="s">
        <v>74</v>
      </c>
      <c r="S868" s="1" t="s">
        <v>74</v>
      </c>
      <c r="T868" s="1" t="s">
        <v>74</v>
      </c>
      <c r="U868" s="1" t="s">
        <v>74</v>
      </c>
      <c r="V868" s="1" t="s">
        <v>8105</v>
      </c>
      <c r="W868" s="1" t="s">
        <v>74</v>
      </c>
      <c r="X868" s="1" t="s">
        <v>74</v>
      </c>
      <c r="Y868" s="1" t="s">
        <v>74</v>
      </c>
      <c r="Z868" s="1" t="s">
        <v>74</v>
      </c>
      <c r="AA868" s="1" t="s">
        <v>8106</v>
      </c>
      <c r="AB868" s="1" t="s">
        <v>8107</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8108</v>
      </c>
      <c r="AP868" s="1" t="s">
        <v>8109</v>
      </c>
      <c r="AQ868" s="1" t="s">
        <v>74</v>
      </c>
      <c r="AR868" s="1" t="s">
        <v>74</v>
      </c>
      <c r="AS868" s="1" t="s">
        <v>74</v>
      </c>
      <c r="AT868" s="1" t="s">
        <v>232</v>
      </c>
      <c r="AU868" s="1">
        <v>2023.0</v>
      </c>
      <c r="AV868" s="1">
        <v>86.0</v>
      </c>
      <c r="AW868" s="1" t="s">
        <v>74</v>
      </c>
      <c r="AX868" s="1" t="s">
        <v>726</v>
      </c>
      <c r="AY868" s="1" t="s">
        <v>74</v>
      </c>
      <c r="AZ868" s="1" t="s">
        <v>74</v>
      </c>
      <c r="BA868" s="1" t="s">
        <v>74</v>
      </c>
      <c r="BB868" s="1" t="s">
        <v>74</v>
      </c>
      <c r="BC868" s="1" t="s">
        <v>74</v>
      </c>
      <c r="BD868" s="1">
        <v>104251.0</v>
      </c>
      <c r="BE868" s="1" t="s">
        <v>8110</v>
      </c>
      <c r="BF868" s="2" t="str">
        <f>HYPERLINK("http://dx.doi.org/10.1016/j.resourpol.2023.104251","http://dx.doi.org/10.1016/j.resourpol.2023.104251")</f>
        <v>http://dx.doi.org/10.1016/j.resourpol.2023.104251</v>
      </c>
      <c r="BG868" s="1" t="s">
        <v>74</v>
      </c>
      <c r="BH868" s="1" t="s">
        <v>8111</v>
      </c>
      <c r="BI868" s="1" t="s">
        <v>74</v>
      </c>
      <c r="BJ868" s="1" t="s">
        <v>74</v>
      </c>
      <c r="BK868" s="1" t="s">
        <v>74</v>
      </c>
      <c r="BL868" s="1" t="s">
        <v>74</v>
      </c>
      <c r="BM868" s="1" t="s">
        <v>74</v>
      </c>
      <c r="BN868" s="1" t="s">
        <v>74</v>
      </c>
      <c r="BO868" s="1" t="s">
        <v>74</v>
      </c>
      <c r="BP868" s="1" t="s">
        <v>74</v>
      </c>
      <c r="BQ868" s="1" t="s">
        <v>74</v>
      </c>
      <c r="BR868" s="1" t="s">
        <v>74</v>
      </c>
      <c r="BS868" s="1" t="s">
        <v>8112</v>
      </c>
      <c r="BT868" s="1" t="str">
        <f>HYPERLINK("https%3A%2F%2Fwww.webofscience.com%2Fwos%2Fwoscc%2Ffull-record%2FWOS:001111250500001","View Full Record in Web of Science")</f>
        <v>View Full Record in Web of Science</v>
      </c>
    </row>
    <row r="869" ht="12.75" customHeight="1">
      <c r="A869" s="1" t="s">
        <v>72</v>
      </c>
      <c r="B869" s="1" t="s">
        <v>8113</v>
      </c>
      <c r="C869" s="1" t="s">
        <v>74</v>
      </c>
      <c r="D869" s="1" t="s">
        <v>74</v>
      </c>
      <c r="E869" s="1" t="s">
        <v>74</v>
      </c>
      <c r="F869" s="1" t="s">
        <v>8114</v>
      </c>
      <c r="G869" s="1" t="s">
        <v>74</v>
      </c>
      <c r="H869" s="1" t="s">
        <v>74</v>
      </c>
      <c r="I869" s="1" t="s">
        <v>8115</v>
      </c>
      <c r="J869" s="1" t="s">
        <v>2190</v>
      </c>
      <c r="K869" s="1" t="s">
        <v>74</v>
      </c>
      <c r="L869" s="1" t="s">
        <v>74</v>
      </c>
      <c r="M869" s="1" t="s">
        <v>74</v>
      </c>
      <c r="N869" s="1" t="s">
        <v>74</v>
      </c>
      <c r="O869" s="1" t="s">
        <v>74</v>
      </c>
      <c r="P869" s="1" t="s">
        <v>74</v>
      </c>
      <c r="Q869" s="1" t="s">
        <v>74</v>
      </c>
      <c r="R869" s="1" t="s">
        <v>74</v>
      </c>
      <c r="S869" s="1" t="s">
        <v>74</v>
      </c>
      <c r="T869" s="1" t="s">
        <v>74</v>
      </c>
      <c r="U869" s="1" t="s">
        <v>74</v>
      </c>
      <c r="V869" s="1" t="s">
        <v>8116</v>
      </c>
      <c r="W869" s="1" t="s">
        <v>74</v>
      </c>
      <c r="X869" s="1" t="s">
        <v>74</v>
      </c>
      <c r="Y869" s="1" t="s">
        <v>74</v>
      </c>
      <c r="Z869" s="1" t="s">
        <v>74</v>
      </c>
      <c r="AA869" s="1" t="s">
        <v>8117</v>
      </c>
      <c r="AB869" s="1" t="s">
        <v>8118</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2194</v>
      </c>
      <c r="AP869" s="1" t="s">
        <v>2195</v>
      </c>
      <c r="AQ869" s="1" t="s">
        <v>74</v>
      </c>
      <c r="AR869" s="1" t="s">
        <v>74</v>
      </c>
      <c r="AS869" s="1" t="s">
        <v>74</v>
      </c>
      <c r="AT869" s="1" t="s">
        <v>8119</v>
      </c>
      <c r="AU869" s="1">
        <v>2023.0</v>
      </c>
      <c r="AV869" s="1">
        <v>108.0</v>
      </c>
      <c r="AW869" s="1">
        <v>9.0</v>
      </c>
      <c r="AX869" s="1" t="s">
        <v>74</v>
      </c>
      <c r="AY869" s="1" t="s">
        <v>74</v>
      </c>
      <c r="AZ869" s="1" t="s">
        <v>74</v>
      </c>
      <c r="BA869" s="1" t="s">
        <v>74</v>
      </c>
      <c r="BB869" s="1" t="s">
        <v>74</v>
      </c>
      <c r="BC869" s="1" t="s">
        <v>74</v>
      </c>
      <c r="BD869" s="1">
        <v>94436.0</v>
      </c>
      <c r="BE869" s="1" t="s">
        <v>8120</v>
      </c>
      <c r="BF869" s="2" t="str">
        <f>HYPERLINK("http://dx.doi.org/10.1103/PhysRevB.108.094436","http://dx.doi.org/10.1103/PhysRevB.108.094436")</f>
        <v>http://dx.doi.org/10.1103/PhysRevB.108.094436</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8121</v>
      </c>
      <c r="BT869" s="1" t="str">
        <f>HYPERLINK("https%3A%2F%2Fwww.webofscience.com%2Fwos%2Fwoscc%2Ffull-record%2FWOS:001088061500002","View Full Record in Web of Science")</f>
        <v>View Full Record in Web of Science</v>
      </c>
    </row>
    <row r="870" ht="12.75" customHeight="1">
      <c r="A870" s="1" t="s">
        <v>72</v>
      </c>
      <c r="B870" s="1" t="s">
        <v>8122</v>
      </c>
      <c r="C870" s="1" t="s">
        <v>74</v>
      </c>
      <c r="D870" s="1" t="s">
        <v>74</v>
      </c>
      <c r="E870" s="1" t="s">
        <v>74</v>
      </c>
      <c r="F870" s="1" t="s">
        <v>8123</v>
      </c>
      <c r="G870" s="1" t="s">
        <v>74</v>
      </c>
      <c r="H870" s="1" t="s">
        <v>74</v>
      </c>
      <c r="I870" s="1" t="s">
        <v>8124</v>
      </c>
      <c r="J870" s="1" t="s">
        <v>4931</v>
      </c>
      <c r="K870" s="1" t="s">
        <v>74</v>
      </c>
      <c r="L870" s="1" t="s">
        <v>74</v>
      </c>
      <c r="M870" s="1" t="s">
        <v>74</v>
      </c>
      <c r="N870" s="1" t="s">
        <v>74</v>
      </c>
      <c r="O870" s="1" t="s">
        <v>8125</v>
      </c>
      <c r="P870" s="1" t="s">
        <v>8126</v>
      </c>
      <c r="Q870" s="1" t="s">
        <v>8127</v>
      </c>
      <c r="R870" s="1" t="s">
        <v>8128</v>
      </c>
      <c r="S870" s="1" t="s">
        <v>74</v>
      </c>
      <c r="T870" s="1" t="s">
        <v>74</v>
      </c>
      <c r="U870" s="1" t="s">
        <v>74</v>
      </c>
      <c r="V870" s="1" t="s">
        <v>74</v>
      </c>
      <c r="W870" s="1" t="s">
        <v>74</v>
      </c>
      <c r="X870" s="1" t="s">
        <v>74</v>
      </c>
      <c r="Y870" s="1" t="s">
        <v>74</v>
      </c>
      <c r="Z870" s="1" t="s">
        <v>74</v>
      </c>
      <c r="AA870" s="1" t="s">
        <v>8129</v>
      </c>
      <c r="AB870" s="1" t="s">
        <v>74</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4933</v>
      </c>
      <c r="AP870" s="1" t="s">
        <v>4934</v>
      </c>
      <c r="AQ870" s="1" t="s">
        <v>74</v>
      </c>
      <c r="AR870" s="1" t="s">
        <v>74</v>
      </c>
      <c r="AS870" s="1" t="s">
        <v>74</v>
      </c>
      <c r="AT870" s="1" t="s">
        <v>1467</v>
      </c>
      <c r="AU870" s="1">
        <v>2022.0</v>
      </c>
      <c r="AV870" s="1">
        <v>192.0</v>
      </c>
      <c r="AW870" s="1" t="s">
        <v>74</v>
      </c>
      <c r="AX870" s="1" t="s">
        <v>74</v>
      </c>
      <c r="AY870" s="1">
        <v>1.0</v>
      </c>
      <c r="AZ870" s="1" t="s">
        <v>74</v>
      </c>
      <c r="BA870" s="1">
        <v>230.0</v>
      </c>
      <c r="BB870" s="1" t="s">
        <v>74</v>
      </c>
      <c r="BC870" s="1" t="s">
        <v>74</v>
      </c>
      <c r="BD870" s="1" t="s">
        <v>74</v>
      </c>
      <c r="BE870" s="1" t="s">
        <v>8130</v>
      </c>
      <c r="BF870" s="2" t="str">
        <f>HYPERLINK("http://dx.doi.org/10.1016/j.freeradbiomed.2022.10.236","http://dx.doi.org/10.1016/j.freeradbiomed.2022.10.236")</f>
        <v>http://dx.doi.org/10.1016/j.freeradbiomed.2022.10.236</v>
      </c>
      <c r="BG870" s="1" t="s">
        <v>74</v>
      </c>
      <c r="BH870" s="1" t="s">
        <v>3526</v>
      </c>
      <c r="BI870" s="1" t="s">
        <v>74</v>
      </c>
      <c r="BJ870" s="1" t="s">
        <v>74</v>
      </c>
      <c r="BK870" s="1" t="s">
        <v>74</v>
      </c>
      <c r="BL870" s="1" t="s">
        <v>74</v>
      </c>
      <c r="BM870" s="1" t="s">
        <v>74</v>
      </c>
      <c r="BN870" s="1" t="s">
        <v>74</v>
      </c>
      <c r="BO870" s="1" t="s">
        <v>74</v>
      </c>
      <c r="BP870" s="1" t="s">
        <v>74</v>
      </c>
      <c r="BQ870" s="1" t="s">
        <v>74</v>
      </c>
      <c r="BR870" s="1" t="s">
        <v>74</v>
      </c>
      <c r="BS870" s="1" t="s">
        <v>8131</v>
      </c>
      <c r="BT870" s="1" t="str">
        <f>HYPERLINK("https%3A%2F%2Fwww.webofscience.com%2Fwos%2Fwoscc%2Ffull-record%2FWOS:000895512500249","View Full Record in Web of Science")</f>
        <v>View Full Record in Web of Science</v>
      </c>
    </row>
    <row r="871" ht="12.75" customHeight="1">
      <c r="A871" s="1" t="s">
        <v>72</v>
      </c>
      <c r="B871" s="1" t="s">
        <v>8132</v>
      </c>
      <c r="C871" s="1" t="s">
        <v>74</v>
      </c>
      <c r="D871" s="1" t="s">
        <v>74</v>
      </c>
      <c r="E871" s="1" t="s">
        <v>74</v>
      </c>
      <c r="F871" s="1" t="s">
        <v>8133</v>
      </c>
      <c r="G871" s="1" t="s">
        <v>74</v>
      </c>
      <c r="H871" s="1" t="s">
        <v>74</v>
      </c>
      <c r="I871" s="1" t="s">
        <v>8134</v>
      </c>
      <c r="J871" s="1" t="s">
        <v>2800</v>
      </c>
      <c r="K871" s="1" t="s">
        <v>74</v>
      </c>
      <c r="L871" s="1" t="s">
        <v>74</v>
      </c>
      <c r="M871" s="1" t="s">
        <v>74</v>
      </c>
      <c r="N871" s="1" t="s">
        <v>74</v>
      </c>
      <c r="O871" s="1" t="s">
        <v>74</v>
      </c>
      <c r="P871" s="1" t="s">
        <v>74</v>
      </c>
      <c r="Q871" s="1" t="s">
        <v>74</v>
      </c>
      <c r="R871" s="1" t="s">
        <v>74</v>
      </c>
      <c r="S871" s="1" t="s">
        <v>74</v>
      </c>
      <c r="T871" s="1" t="s">
        <v>74</v>
      </c>
      <c r="U871" s="1" t="s">
        <v>74</v>
      </c>
      <c r="V871" s="1" t="s">
        <v>8135</v>
      </c>
      <c r="W871" s="1" t="s">
        <v>74</v>
      </c>
      <c r="X871" s="1" t="s">
        <v>74</v>
      </c>
      <c r="Y871" s="1" t="s">
        <v>74</v>
      </c>
      <c r="Z871" s="1" t="s">
        <v>74</v>
      </c>
      <c r="AA871" s="1" t="s">
        <v>8136</v>
      </c>
      <c r="AB871" s="1" t="s">
        <v>8137</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2802</v>
      </c>
      <c r="AP871" s="1" t="s">
        <v>8138</v>
      </c>
      <c r="AQ871" s="1" t="s">
        <v>74</v>
      </c>
      <c r="AR871" s="1" t="s">
        <v>74</v>
      </c>
      <c r="AS871" s="1" t="s">
        <v>74</v>
      </c>
      <c r="AT871" s="1" t="s">
        <v>1711</v>
      </c>
      <c r="AU871" s="1">
        <v>2022.0</v>
      </c>
      <c r="AV871" s="1" t="s">
        <v>74</v>
      </c>
      <c r="AW871" s="1">
        <v>82.0</v>
      </c>
      <c r="AX871" s="1" t="s">
        <v>74</v>
      </c>
      <c r="AY871" s="1" t="s">
        <v>74</v>
      </c>
      <c r="AZ871" s="1" t="s">
        <v>74</v>
      </c>
      <c r="BA871" s="1" t="s">
        <v>74</v>
      </c>
      <c r="BB871" s="1">
        <v>101.0</v>
      </c>
      <c r="BC871" s="1">
        <v>118.0</v>
      </c>
      <c r="BD871" s="1" t="s">
        <v>74</v>
      </c>
      <c r="BE871" s="1" t="s">
        <v>8139</v>
      </c>
      <c r="BF871" s="2" t="str">
        <f>HYPERLINK("http://dx.doi.org/10.7440/res82.2022.06","http://dx.doi.org/10.7440/res82.2022.06")</f>
        <v>http://dx.doi.org/10.7440/res82.2022.06</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8140</v>
      </c>
      <c r="BT871" s="1" t="str">
        <f>HYPERLINK("https%3A%2F%2Fwww.webofscience.com%2Fwos%2Fwoscc%2Ffull-record%2FWOS:000880111600006","View Full Record in Web of Science")</f>
        <v>View Full Record in Web of Science</v>
      </c>
    </row>
    <row r="872" ht="12.75" customHeight="1">
      <c r="A872" s="1" t="s">
        <v>72</v>
      </c>
      <c r="B872" s="1" t="s">
        <v>8141</v>
      </c>
      <c r="C872" s="1" t="s">
        <v>74</v>
      </c>
      <c r="D872" s="1" t="s">
        <v>74</v>
      </c>
      <c r="E872" s="1" t="s">
        <v>74</v>
      </c>
      <c r="F872" s="1" t="s">
        <v>8142</v>
      </c>
      <c r="G872" s="1" t="s">
        <v>74</v>
      </c>
      <c r="H872" s="1" t="s">
        <v>74</v>
      </c>
      <c r="I872" s="1" t="s">
        <v>8143</v>
      </c>
      <c r="J872" s="1" t="s">
        <v>8144</v>
      </c>
      <c r="K872" s="1" t="s">
        <v>74</v>
      </c>
      <c r="L872" s="1" t="s">
        <v>74</v>
      </c>
      <c r="M872" s="1" t="s">
        <v>74</v>
      </c>
      <c r="N872" s="1" t="s">
        <v>74</v>
      </c>
      <c r="O872" s="1" t="s">
        <v>74</v>
      </c>
      <c r="P872" s="1" t="s">
        <v>74</v>
      </c>
      <c r="Q872" s="1" t="s">
        <v>74</v>
      </c>
      <c r="R872" s="1" t="s">
        <v>74</v>
      </c>
      <c r="S872" s="1" t="s">
        <v>74</v>
      </c>
      <c r="T872" s="1" t="s">
        <v>74</v>
      </c>
      <c r="U872" s="1" t="s">
        <v>74</v>
      </c>
      <c r="V872" s="1" t="s">
        <v>8145</v>
      </c>
      <c r="W872" s="1" t="s">
        <v>74</v>
      </c>
      <c r="X872" s="1" t="s">
        <v>74</v>
      </c>
      <c r="Y872" s="1" t="s">
        <v>74</v>
      </c>
      <c r="Z872" s="1" t="s">
        <v>74</v>
      </c>
      <c r="AA872" s="1" t="s">
        <v>8146</v>
      </c>
      <c r="AB872" s="1" t="s">
        <v>8147</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8148</v>
      </c>
      <c r="AP872" s="1" t="s">
        <v>8149</v>
      </c>
      <c r="AQ872" s="1" t="s">
        <v>74</v>
      </c>
      <c r="AR872" s="1" t="s">
        <v>74</v>
      </c>
      <c r="AS872" s="1" t="s">
        <v>74</v>
      </c>
      <c r="AT872" s="1" t="s">
        <v>120</v>
      </c>
      <c r="AU872" s="1">
        <v>2022.0</v>
      </c>
      <c r="AV872" s="1">
        <v>19.0</v>
      </c>
      <c r="AW872" s="1">
        <v>1.0</v>
      </c>
      <c r="AX872" s="1" t="s">
        <v>74</v>
      </c>
      <c r="AY872" s="1" t="s">
        <v>74</v>
      </c>
      <c r="AZ872" s="1" t="s">
        <v>74</v>
      </c>
      <c r="BA872" s="1" t="s">
        <v>74</v>
      </c>
      <c r="BB872" s="1" t="s">
        <v>74</v>
      </c>
      <c r="BC872" s="1" t="s">
        <v>74</v>
      </c>
      <c r="BD872" s="1">
        <v>47.0</v>
      </c>
      <c r="BE872" s="1" t="s">
        <v>8150</v>
      </c>
      <c r="BF872" s="2" t="str">
        <f>HYPERLINK("http://dx.doi.org/10.1007/s00009-021-01964-6","http://dx.doi.org/10.1007/s00009-021-01964-6")</f>
        <v>http://dx.doi.org/10.1007/s00009-021-01964-6</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8151</v>
      </c>
      <c r="BT872" s="1" t="str">
        <f>HYPERLINK("https%3A%2F%2Fwww.webofscience.com%2Fwos%2Fwoscc%2Ffull-record%2FWOS:000748431100002","View Full Record in Web of Science")</f>
        <v>View Full Record in Web of Science</v>
      </c>
    </row>
    <row r="873" ht="12.75" customHeight="1">
      <c r="A873" s="1" t="s">
        <v>72</v>
      </c>
      <c r="B873" s="1" t="s">
        <v>8152</v>
      </c>
      <c r="C873" s="1" t="s">
        <v>74</v>
      </c>
      <c r="D873" s="1" t="s">
        <v>74</v>
      </c>
      <c r="E873" s="1" t="s">
        <v>74</v>
      </c>
      <c r="F873" s="1" t="s">
        <v>8153</v>
      </c>
      <c r="G873" s="1" t="s">
        <v>74</v>
      </c>
      <c r="H873" s="1" t="s">
        <v>74</v>
      </c>
      <c r="I873" s="1" t="s">
        <v>8154</v>
      </c>
      <c r="J873" s="1" t="s">
        <v>7702</v>
      </c>
      <c r="K873" s="1" t="s">
        <v>74</v>
      </c>
      <c r="L873" s="1" t="s">
        <v>74</v>
      </c>
      <c r="M873" s="1" t="s">
        <v>74</v>
      </c>
      <c r="N873" s="1" t="s">
        <v>74</v>
      </c>
      <c r="O873" s="1" t="s">
        <v>74</v>
      </c>
      <c r="P873" s="1" t="s">
        <v>74</v>
      </c>
      <c r="Q873" s="1" t="s">
        <v>74</v>
      </c>
      <c r="R873" s="1" t="s">
        <v>74</v>
      </c>
      <c r="S873" s="1" t="s">
        <v>74</v>
      </c>
      <c r="T873" s="1" t="s">
        <v>74</v>
      </c>
      <c r="U873" s="1" t="s">
        <v>74</v>
      </c>
      <c r="V873" s="1" t="s">
        <v>8155</v>
      </c>
      <c r="W873" s="1" t="s">
        <v>74</v>
      </c>
      <c r="X873" s="1" t="s">
        <v>74</v>
      </c>
      <c r="Y873" s="1" t="s">
        <v>74</v>
      </c>
      <c r="Z873" s="1" t="s">
        <v>74</v>
      </c>
      <c r="AA873" s="1" t="s">
        <v>1117</v>
      </c>
      <c r="AB873" s="1" t="s">
        <v>8156</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74</v>
      </c>
      <c r="AP873" s="1" t="s">
        <v>7706</v>
      </c>
      <c r="AQ873" s="1" t="s">
        <v>74</v>
      </c>
      <c r="AR873" s="1" t="s">
        <v>74</v>
      </c>
      <c r="AS873" s="1" t="s">
        <v>74</v>
      </c>
      <c r="AT873" s="1" t="s">
        <v>461</v>
      </c>
      <c r="AU873" s="1">
        <v>2021.0</v>
      </c>
      <c r="AV873" s="1">
        <v>9.0</v>
      </c>
      <c r="AW873" s="1">
        <v>9.0</v>
      </c>
      <c r="AX873" s="1" t="s">
        <v>74</v>
      </c>
      <c r="AY873" s="1" t="s">
        <v>74</v>
      </c>
      <c r="AZ873" s="1" t="s">
        <v>74</v>
      </c>
      <c r="BA873" s="1" t="s">
        <v>74</v>
      </c>
      <c r="BB873" s="1" t="s">
        <v>74</v>
      </c>
      <c r="BC873" s="1" t="s">
        <v>74</v>
      </c>
      <c r="BD873" s="1">
        <v>1555.0</v>
      </c>
      <c r="BE873" s="1" t="s">
        <v>8157</v>
      </c>
      <c r="BF873" s="2" t="str">
        <f>HYPERLINK("http://dx.doi.org/10.3390/pr9091555","http://dx.doi.org/10.3390/pr9091555")</f>
        <v>http://dx.doi.org/10.3390/pr9091555</v>
      </c>
      <c r="BG873" s="1" t="s">
        <v>74</v>
      </c>
      <c r="BH873" s="1" t="s">
        <v>74</v>
      </c>
      <c r="BI873" s="1" t="s">
        <v>74</v>
      </c>
      <c r="BJ873" s="1" t="s">
        <v>74</v>
      </c>
      <c r="BK873" s="1" t="s">
        <v>74</v>
      </c>
      <c r="BL873" s="1" t="s">
        <v>74</v>
      </c>
      <c r="BM873" s="1" t="s">
        <v>74</v>
      </c>
      <c r="BN873" s="1" t="s">
        <v>74</v>
      </c>
      <c r="BO873" s="1" t="s">
        <v>74</v>
      </c>
      <c r="BP873" s="1" t="s">
        <v>74</v>
      </c>
      <c r="BQ873" s="1" t="s">
        <v>74</v>
      </c>
      <c r="BR873" s="1" t="s">
        <v>74</v>
      </c>
      <c r="BS873" s="1" t="s">
        <v>8158</v>
      </c>
      <c r="BT873" s="1" t="str">
        <f>HYPERLINK("https%3A%2F%2Fwww.webofscience.com%2Fwos%2Fwoscc%2Ffull-record%2FWOS:000701851900001","View Full Record in Web of Science")</f>
        <v>View Full Record in Web of Science</v>
      </c>
    </row>
    <row r="874" ht="12.75" customHeight="1">
      <c r="A874" s="1" t="s">
        <v>72</v>
      </c>
      <c r="B874" s="1" t="s">
        <v>8159</v>
      </c>
      <c r="C874" s="1" t="s">
        <v>74</v>
      </c>
      <c r="D874" s="1" t="s">
        <v>74</v>
      </c>
      <c r="E874" s="1" t="s">
        <v>74</v>
      </c>
      <c r="F874" s="1" t="s">
        <v>8160</v>
      </c>
      <c r="G874" s="1" t="s">
        <v>74</v>
      </c>
      <c r="H874" s="1" t="s">
        <v>74</v>
      </c>
      <c r="I874" s="1" t="s">
        <v>8161</v>
      </c>
      <c r="J874" s="1" t="s">
        <v>8162</v>
      </c>
      <c r="K874" s="1" t="s">
        <v>74</v>
      </c>
      <c r="L874" s="1" t="s">
        <v>74</v>
      </c>
      <c r="M874" s="1" t="s">
        <v>74</v>
      </c>
      <c r="N874" s="1" t="s">
        <v>74</v>
      </c>
      <c r="O874" s="1" t="s">
        <v>74</v>
      </c>
      <c r="P874" s="1" t="s">
        <v>74</v>
      </c>
      <c r="Q874" s="1" t="s">
        <v>74</v>
      </c>
      <c r="R874" s="1" t="s">
        <v>74</v>
      </c>
      <c r="S874" s="1" t="s">
        <v>74</v>
      </c>
      <c r="T874" s="1" t="s">
        <v>74</v>
      </c>
      <c r="U874" s="1" t="s">
        <v>74</v>
      </c>
      <c r="V874" s="1" t="s">
        <v>8163</v>
      </c>
      <c r="W874" s="1" t="s">
        <v>74</v>
      </c>
      <c r="X874" s="1" t="s">
        <v>74</v>
      </c>
      <c r="Y874" s="1" t="s">
        <v>74</v>
      </c>
      <c r="Z874" s="1" t="s">
        <v>74</v>
      </c>
      <c r="AA874" s="1" t="s">
        <v>7404</v>
      </c>
      <c r="AB874" s="1" t="s">
        <v>8164</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8165</v>
      </c>
      <c r="AP874" s="1" t="s">
        <v>8166</v>
      </c>
      <c r="AQ874" s="1" t="s">
        <v>74</v>
      </c>
      <c r="AR874" s="1" t="s">
        <v>74</v>
      </c>
      <c r="AS874" s="1" t="s">
        <v>74</v>
      </c>
      <c r="AT874" s="1" t="s">
        <v>862</v>
      </c>
      <c r="AU874" s="1">
        <v>2021.0</v>
      </c>
      <c r="AV874" s="1">
        <v>281.0</v>
      </c>
      <c r="AW874" s="1">
        <v>4.0</v>
      </c>
      <c r="AX874" s="1" t="s">
        <v>74</v>
      </c>
      <c r="AY874" s="1" t="s">
        <v>74</v>
      </c>
      <c r="AZ874" s="1" t="s">
        <v>74</v>
      </c>
      <c r="BA874" s="1" t="s">
        <v>74</v>
      </c>
      <c r="BB874" s="1" t="s">
        <v>74</v>
      </c>
      <c r="BC874" s="1" t="s">
        <v>74</v>
      </c>
      <c r="BD874" s="1">
        <v>109028.0</v>
      </c>
      <c r="BE874" s="1" t="s">
        <v>8167</v>
      </c>
      <c r="BF874" s="2" t="str">
        <f>HYPERLINK("http://dx.doi.org/10.1016/j.jfa.2021.109028","http://dx.doi.org/10.1016/j.jfa.2021.109028")</f>
        <v>http://dx.doi.org/10.1016/j.jfa.2021.109028</v>
      </c>
      <c r="BG874" s="1" t="s">
        <v>74</v>
      </c>
      <c r="BH874" s="1" t="s">
        <v>556</v>
      </c>
      <c r="BI874" s="1" t="s">
        <v>74</v>
      </c>
      <c r="BJ874" s="1" t="s">
        <v>74</v>
      </c>
      <c r="BK874" s="1" t="s">
        <v>74</v>
      </c>
      <c r="BL874" s="1" t="s">
        <v>74</v>
      </c>
      <c r="BM874" s="1" t="s">
        <v>74</v>
      </c>
      <c r="BN874" s="1" t="s">
        <v>74</v>
      </c>
      <c r="BO874" s="1" t="s">
        <v>74</v>
      </c>
      <c r="BP874" s="1" t="s">
        <v>74</v>
      </c>
      <c r="BQ874" s="1" t="s">
        <v>74</v>
      </c>
      <c r="BR874" s="1" t="s">
        <v>74</v>
      </c>
      <c r="BS874" s="1" t="s">
        <v>8168</v>
      </c>
      <c r="BT874" s="1" t="str">
        <f>HYPERLINK("https%3A%2F%2Fwww.webofscience.com%2Fwos%2Fwoscc%2Ffull-record%2FWOS:000652064800003","View Full Record in Web of Science")</f>
        <v>View Full Record in Web of Science</v>
      </c>
    </row>
    <row r="875" ht="12.75" customHeight="1">
      <c r="A875" s="1" t="s">
        <v>72</v>
      </c>
      <c r="B875" s="1" t="s">
        <v>8169</v>
      </c>
      <c r="C875" s="1" t="s">
        <v>74</v>
      </c>
      <c r="D875" s="1" t="s">
        <v>74</v>
      </c>
      <c r="E875" s="1" t="s">
        <v>74</v>
      </c>
      <c r="F875" s="1" t="s">
        <v>8170</v>
      </c>
      <c r="G875" s="1" t="s">
        <v>74</v>
      </c>
      <c r="H875" s="1" t="s">
        <v>74</v>
      </c>
      <c r="I875" s="1" t="s">
        <v>8171</v>
      </c>
      <c r="J875" s="1" t="s">
        <v>8172</v>
      </c>
      <c r="K875" s="1" t="s">
        <v>74</v>
      </c>
      <c r="L875" s="1" t="s">
        <v>74</v>
      </c>
      <c r="M875" s="1" t="s">
        <v>74</v>
      </c>
      <c r="N875" s="1" t="s">
        <v>74</v>
      </c>
      <c r="O875" s="1" t="s">
        <v>74</v>
      </c>
      <c r="P875" s="1" t="s">
        <v>74</v>
      </c>
      <c r="Q875" s="1" t="s">
        <v>74</v>
      </c>
      <c r="R875" s="1" t="s">
        <v>74</v>
      </c>
      <c r="S875" s="1" t="s">
        <v>74</v>
      </c>
      <c r="T875" s="1" t="s">
        <v>74</v>
      </c>
      <c r="U875" s="1" t="s">
        <v>74</v>
      </c>
      <c r="V875" s="1" t="s">
        <v>74</v>
      </c>
      <c r="W875" s="1" t="s">
        <v>74</v>
      </c>
      <c r="X875" s="1" t="s">
        <v>74</v>
      </c>
      <c r="Y875" s="1" t="s">
        <v>74</v>
      </c>
      <c r="Z875" s="1" t="s">
        <v>74</v>
      </c>
      <c r="AA875" s="1" t="s">
        <v>8173</v>
      </c>
      <c r="AB875" s="1" t="s">
        <v>74</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8174</v>
      </c>
      <c r="AP875" s="1" t="s">
        <v>8175</v>
      </c>
      <c r="AQ875" s="1" t="s">
        <v>74</v>
      </c>
      <c r="AR875" s="1" t="s">
        <v>74</v>
      </c>
      <c r="AS875" s="1" t="s">
        <v>74</v>
      </c>
      <c r="AT875" s="1" t="s">
        <v>5006</v>
      </c>
      <c r="AU875" s="1">
        <v>2021.0</v>
      </c>
      <c r="AV875" s="1">
        <v>32.0</v>
      </c>
      <c r="AW875" s="1">
        <v>1.0</v>
      </c>
      <c r="AX875" s="1" t="s">
        <v>74</v>
      </c>
      <c r="AY875" s="1" t="s">
        <v>74</v>
      </c>
      <c r="AZ875" s="1" t="s">
        <v>297</v>
      </c>
      <c r="BA875" s="1" t="s">
        <v>74</v>
      </c>
      <c r="BB875" s="1">
        <v>1.0</v>
      </c>
      <c r="BC875" s="1">
        <v>4.0</v>
      </c>
      <c r="BD875" s="1" t="s">
        <v>74</v>
      </c>
      <c r="BE875" s="1" t="s">
        <v>8176</v>
      </c>
      <c r="BF875" s="2" t="str">
        <f>HYPERLINK("http://dx.doi.org/10.1108/IJLM-01-2021-449","http://dx.doi.org/10.1108/IJLM-01-2021-449")</f>
        <v>http://dx.doi.org/10.1108/IJLM-01-2021-449</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8177</v>
      </c>
      <c r="BT875" s="1" t="str">
        <f>HYPERLINK("https%3A%2F%2Fwww.webofscience.com%2Fwos%2Fwoscc%2Ffull-record%2FWOS:000615913300001","View Full Record in Web of Science")</f>
        <v>View Full Record in Web of Science</v>
      </c>
    </row>
    <row r="876" ht="12.75" customHeight="1">
      <c r="A876" s="1" t="s">
        <v>72</v>
      </c>
      <c r="B876" s="1" t="s">
        <v>8178</v>
      </c>
      <c r="C876" s="1" t="s">
        <v>74</v>
      </c>
      <c r="D876" s="1" t="s">
        <v>74</v>
      </c>
      <c r="E876" s="1" t="s">
        <v>74</v>
      </c>
      <c r="F876" s="1" t="s">
        <v>8179</v>
      </c>
      <c r="G876" s="1" t="s">
        <v>74</v>
      </c>
      <c r="H876" s="1" t="s">
        <v>74</v>
      </c>
      <c r="I876" s="1" t="s">
        <v>8180</v>
      </c>
      <c r="J876" s="1" t="s">
        <v>8181</v>
      </c>
      <c r="K876" s="1" t="s">
        <v>74</v>
      </c>
      <c r="L876" s="1" t="s">
        <v>74</v>
      </c>
      <c r="M876" s="1" t="s">
        <v>74</v>
      </c>
      <c r="N876" s="1" t="s">
        <v>74</v>
      </c>
      <c r="O876" s="1" t="s">
        <v>74</v>
      </c>
      <c r="P876" s="1" t="s">
        <v>74</v>
      </c>
      <c r="Q876" s="1" t="s">
        <v>74</v>
      </c>
      <c r="R876" s="1" t="s">
        <v>74</v>
      </c>
      <c r="S876" s="1" t="s">
        <v>74</v>
      </c>
      <c r="T876" s="1" t="s">
        <v>74</v>
      </c>
      <c r="U876" s="1" t="s">
        <v>74</v>
      </c>
      <c r="V876" s="1" t="s">
        <v>8182</v>
      </c>
      <c r="W876" s="1" t="s">
        <v>74</v>
      </c>
      <c r="X876" s="1" t="s">
        <v>74</v>
      </c>
      <c r="Y876" s="1" t="s">
        <v>74</v>
      </c>
      <c r="Z876" s="1" t="s">
        <v>74</v>
      </c>
      <c r="AA876" s="1" t="s">
        <v>8183</v>
      </c>
      <c r="AB876" s="1" t="s">
        <v>8184</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8185</v>
      </c>
      <c r="AP876" s="1" t="s">
        <v>8186</v>
      </c>
      <c r="AQ876" s="1" t="s">
        <v>74</v>
      </c>
      <c r="AR876" s="1" t="s">
        <v>74</v>
      </c>
      <c r="AS876" s="1" t="s">
        <v>74</v>
      </c>
      <c r="AT876" s="1" t="s">
        <v>187</v>
      </c>
      <c r="AU876" s="1">
        <v>2021.0</v>
      </c>
      <c r="AV876" s="1">
        <v>67.0</v>
      </c>
      <c r="AW876" s="1" t="s">
        <v>74</v>
      </c>
      <c r="AX876" s="1" t="s">
        <v>74</v>
      </c>
      <c r="AY876" s="1" t="s">
        <v>74</v>
      </c>
      <c r="AZ876" s="1" t="s">
        <v>74</v>
      </c>
      <c r="BA876" s="1" t="s">
        <v>74</v>
      </c>
      <c r="BB876" s="1" t="s">
        <v>74</v>
      </c>
      <c r="BC876" s="1" t="s">
        <v>74</v>
      </c>
      <c r="BD876" s="1">
        <v>102713.0</v>
      </c>
      <c r="BE876" s="1" t="s">
        <v>8187</v>
      </c>
      <c r="BF876" s="2" t="str">
        <f>HYPERLINK("http://dx.doi.org/10.1016/j.scs.2021.102713","http://dx.doi.org/10.1016/j.scs.2021.102713")</f>
        <v>http://dx.doi.org/10.1016/j.scs.2021.102713</v>
      </c>
      <c r="BG876" s="1" t="s">
        <v>74</v>
      </c>
      <c r="BH876" s="1" t="s">
        <v>3206</v>
      </c>
      <c r="BI876" s="1" t="s">
        <v>74</v>
      </c>
      <c r="BJ876" s="1" t="s">
        <v>74</v>
      </c>
      <c r="BK876" s="1" t="s">
        <v>74</v>
      </c>
      <c r="BL876" s="1" t="s">
        <v>74</v>
      </c>
      <c r="BM876" s="1" t="s">
        <v>74</v>
      </c>
      <c r="BN876" s="1" t="s">
        <v>74</v>
      </c>
      <c r="BO876" s="1" t="s">
        <v>74</v>
      </c>
      <c r="BP876" s="1" t="s">
        <v>74</v>
      </c>
      <c r="BQ876" s="1" t="s">
        <v>74</v>
      </c>
      <c r="BR876" s="1" t="s">
        <v>74</v>
      </c>
      <c r="BS876" s="1" t="s">
        <v>8188</v>
      </c>
      <c r="BT876" s="1" t="str">
        <f>HYPERLINK("https%3A%2F%2Fwww.webofscience.com%2Fwos%2Fwoscc%2Ffull-record%2FWOS:000638122500003","View Full Record in Web of Science")</f>
        <v>View Full Record in Web of Science</v>
      </c>
    </row>
    <row r="877" ht="12.75" customHeight="1">
      <c r="A877" s="1" t="s">
        <v>72</v>
      </c>
      <c r="B877" s="1" t="s">
        <v>8189</v>
      </c>
      <c r="C877" s="1" t="s">
        <v>74</v>
      </c>
      <c r="D877" s="1" t="s">
        <v>74</v>
      </c>
      <c r="E877" s="1" t="s">
        <v>74</v>
      </c>
      <c r="F877" s="1" t="s">
        <v>8190</v>
      </c>
      <c r="G877" s="1" t="s">
        <v>74</v>
      </c>
      <c r="H877" s="1" t="s">
        <v>74</v>
      </c>
      <c r="I877" s="1" t="s">
        <v>8191</v>
      </c>
      <c r="J877" s="1" t="s">
        <v>8192</v>
      </c>
      <c r="K877" s="1" t="s">
        <v>74</v>
      </c>
      <c r="L877" s="1" t="s">
        <v>74</v>
      </c>
      <c r="M877" s="1" t="s">
        <v>74</v>
      </c>
      <c r="N877" s="1" t="s">
        <v>74</v>
      </c>
      <c r="O877" s="1" t="s">
        <v>74</v>
      </c>
      <c r="P877" s="1" t="s">
        <v>74</v>
      </c>
      <c r="Q877" s="1" t="s">
        <v>74</v>
      </c>
      <c r="R877" s="1" t="s">
        <v>74</v>
      </c>
      <c r="S877" s="1" t="s">
        <v>74</v>
      </c>
      <c r="T877" s="1" t="s">
        <v>74</v>
      </c>
      <c r="U877" s="1" t="s">
        <v>74</v>
      </c>
      <c r="V877" s="1" t="s">
        <v>8193</v>
      </c>
      <c r="W877" s="1" t="s">
        <v>74</v>
      </c>
      <c r="X877" s="1" t="s">
        <v>74</v>
      </c>
      <c r="Y877" s="1" t="s">
        <v>74</v>
      </c>
      <c r="Z877" s="1" t="s">
        <v>74</v>
      </c>
      <c r="AA877" s="1" t="s">
        <v>8194</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8195</v>
      </c>
      <c r="AP877" s="1" t="s">
        <v>8196</v>
      </c>
      <c r="AQ877" s="1" t="s">
        <v>74</v>
      </c>
      <c r="AR877" s="1" t="s">
        <v>74</v>
      </c>
      <c r="AS877" s="1" t="s">
        <v>74</v>
      </c>
      <c r="AT877" s="1" t="s">
        <v>74</v>
      </c>
      <c r="AU877" s="1">
        <v>2021.0</v>
      </c>
      <c r="AV877" s="1" t="s">
        <v>74</v>
      </c>
      <c r="AW877" s="1">
        <v>48.0</v>
      </c>
      <c r="AX877" s="1" t="s">
        <v>74</v>
      </c>
      <c r="AY877" s="1" t="s">
        <v>74</v>
      </c>
      <c r="AZ877" s="1" t="s">
        <v>74</v>
      </c>
      <c r="BA877" s="1" t="s">
        <v>74</v>
      </c>
      <c r="BB877" s="1">
        <v>429.0</v>
      </c>
      <c r="BC877" s="1">
        <v>438.0</v>
      </c>
      <c r="BD877" s="1" t="s">
        <v>74</v>
      </c>
      <c r="BE877" s="1" t="s">
        <v>74</v>
      </c>
      <c r="BF877" s="1" t="s">
        <v>74</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8197</v>
      </c>
      <c r="BT877" s="1" t="str">
        <f>HYPERLINK("https%3A%2F%2Fwww.webofscience.com%2Fwos%2Fwoscc%2Ffull-record%2FWOS:000967169900001","View Full Record in Web of Science")</f>
        <v>View Full Record in Web of Science</v>
      </c>
    </row>
    <row r="878" ht="12.75" customHeight="1">
      <c r="A878" s="1" t="s">
        <v>346</v>
      </c>
      <c r="B878" s="1" t="s">
        <v>8198</v>
      </c>
      <c r="C878" s="1" t="s">
        <v>74</v>
      </c>
      <c r="D878" s="1" t="s">
        <v>74</v>
      </c>
      <c r="E878" s="1" t="s">
        <v>348</v>
      </c>
      <c r="F878" s="1" t="s">
        <v>8199</v>
      </c>
      <c r="G878" s="1" t="s">
        <v>74</v>
      </c>
      <c r="H878" s="1" t="s">
        <v>74</v>
      </c>
      <c r="I878" s="1" t="s">
        <v>8200</v>
      </c>
      <c r="J878" s="1" t="s">
        <v>974</v>
      </c>
      <c r="K878" s="1" t="s">
        <v>74</v>
      </c>
      <c r="L878" s="1" t="s">
        <v>74</v>
      </c>
      <c r="M878" s="1" t="s">
        <v>74</v>
      </c>
      <c r="N878" s="1" t="s">
        <v>74</v>
      </c>
      <c r="O878" s="1" t="s">
        <v>975</v>
      </c>
      <c r="P878" s="1" t="s">
        <v>976</v>
      </c>
      <c r="Q878" s="1" t="s">
        <v>566</v>
      </c>
      <c r="R878" s="1" t="s">
        <v>977</v>
      </c>
      <c r="S878" s="1" t="s">
        <v>74</v>
      </c>
      <c r="T878" s="1" t="s">
        <v>74</v>
      </c>
      <c r="U878" s="1" t="s">
        <v>74</v>
      </c>
      <c r="V878" s="1" t="s">
        <v>8201</v>
      </c>
      <c r="W878" s="1" t="s">
        <v>74</v>
      </c>
      <c r="X878" s="1" t="s">
        <v>74</v>
      </c>
      <c r="Y878" s="1" t="s">
        <v>74</v>
      </c>
      <c r="Z878" s="1" t="s">
        <v>74</v>
      </c>
      <c r="AA878" s="1" t="s">
        <v>8202</v>
      </c>
      <c r="AB878" s="1" t="s">
        <v>8203</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74</v>
      </c>
      <c r="AP878" s="1" t="s">
        <v>74</v>
      </c>
      <c r="AQ878" s="1" t="s">
        <v>981</v>
      </c>
      <c r="AR878" s="1" t="s">
        <v>74</v>
      </c>
      <c r="AS878" s="1" t="s">
        <v>74</v>
      </c>
      <c r="AT878" s="1" t="s">
        <v>74</v>
      </c>
      <c r="AU878" s="1">
        <v>2021.0</v>
      </c>
      <c r="AV878" s="1" t="s">
        <v>74</v>
      </c>
      <c r="AW878" s="1" t="s">
        <v>74</v>
      </c>
      <c r="AX878" s="1" t="s">
        <v>74</v>
      </c>
      <c r="AY878" s="1" t="s">
        <v>74</v>
      </c>
      <c r="AZ878" s="1" t="s">
        <v>74</v>
      </c>
      <c r="BA878" s="1" t="s">
        <v>74</v>
      </c>
      <c r="BB878" s="1" t="s">
        <v>74</v>
      </c>
      <c r="BC878" s="1" t="s">
        <v>74</v>
      </c>
      <c r="BD878" s="1" t="s">
        <v>74</v>
      </c>
      <c r="BE878" s="1" t="s">
        <v>8204</v>
      </c>
      <c r="BF878" s="2" t="str">
        <f>HYPERLINK("http://dx.doi.org/10.1109/ICAACCA51523.2021.9465201","http://dx.doi.org/10.1109/ICAACCA51523.2021.9465201")</f>
        <v>http://dx.doi.org/10.1109/ICAACCA51523.2021.9465201</v>
      </c>
      <c r="BG878" s="1" t="s">
        <v>74</v>
      </c>
      <c r="BH878" s="1" t="s">
        <v>74</v>
      </c>
      <c r="BI878" s="1" t="s">
        <v>74</v>
      </c>
      <c r="BJ878" s="1" t="s">
        <v>74</v>
      </c>
      <c r="BK878" s="1" t="s">
        <v>74</v>
      </c>
      <c r="BL878" s="1" t="s">
        <v>74</v>
      </c>
      <c r="BM878" s="1" t="s">
        <v>74</v>
      </c>
      <c r="BN878" s="1" t="s">
        <v>74</v>
      </c>
      <c r="BO878" s="1" t="s">
        <v>74</v>
      </c>
      <c r="BP878" s="1" t="s">
        <v>74</v>
      </c>
      <c r="BQ878" s="1" t="s">
        <v>74</v>
      </c>
      <c r="BR878" s="1" t="s">
        <v>74</v>
      </c>
      <c r="BS878" s="1" t="s">
        <v>8205</v>
      </c>
      <c r="BT878" s="1" t="str">
        <f>HYPERLINK("https%3A%2F%2Fwww.webofscience.com%2Fwos%2Fwoscc%2Ffull-record%2FWOS:000855764500096","View Full Record in Web of Science")</f>
        <v>View Full Record in Web of Science</v>
      </c>
    </row>
    <row r="879" ht="12.75" customHeight="1">
      <c r="A879" s="1" t="s">
        <v>72</v>
      </c>
      <c r="B879" s="1" t="s">
        <v>8206</v>
      </c>
      <c r="C879" s="1" t="s">
        <v>74</v>
      </c>
      <c r="D879" s="1" t="s">
        <v>74</v>
      </c>
      <c r="E879" s="1" t="s">
        <v>74</v>
      </c>
      <c r="F879" s="1" t="s">
        <v>8207</v>
      </c>
      <c r="G879" s="1" t="s">
        <v>74</v>
      </c>
      <c r="H879" s="1" t="s">
        <v>74</v>
      </c>
      <c r="I879" s="1" t="s">
        <v>8208</v>
      </c>
      <c r="J879" s="1" t="s">
        <v>5929</v>
      </c>
      <c r="K879" s="1" t="s">
        <v>74</v>
      </c>
      <c r="L879" s="1" t="s">
        <v>74</v>
      </c>
      <c r="M879" s="1" t="s">
        <v>74</v>
      </c>
      <c r="N879" s="1" t="s">
        <v>74</v>
      </c>
      <c r="O879" s="1" t="s">
        <v>74</v>
      </c>
      <c r="P879" s="1" t="s">
        <v>74</v>
      </c>
      <c r="Q879" s="1" t="s">
        <v>74</v>
      </c>
      <c r="R879" s="1" t="s">
        <v>74</v>
      </c>
      <c r="S879" s="1" t="s">
        <v>74</v>
      </c>
      <c r="T879" s="1" t="s">
        <v>74</v>
      </c>
      <c r="U879" s="1" t="s">
        <v>74</v>
      </c>
      <c r="V879" s="1" t="s">
        <v>8209</v>
      </c>
      <c r="W879" s="1" t="s">
        <v>74</v>
      </c>
      <c r="X879" s="1" t="s">
        <v>74</v>
      </c>
      <c r="Y879" s="1" t="s">
        <v>74</v>
      </c>
      <c r="Z879" s="1" t="s">
        <v>74</v>
      </c>
      <c r="AA879" s="1" t="s">
        <v>8210</v>
      </c>
      <c r="AB879" s="1" t="s">
        <v>8211</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5933</v>
      </c>
      <c r="AP879" s="1" t="s">
        <v>5934</v>
      </c>
      <c r="AQ879" s="1" t="s">
        <v>74</v>
      </c>
      <c r="AR879" s="1" t="s">
        <v>74</v>
      </c>
      <c r="AS879" s="1" t="s">
        <v>74</v>
      </c>
      <c r="AT879" s="1" t="s">
        <v>232</v>
      </c>
      <c r="AU879" s="1">
        <v>2020.0</v>
      </c>
      <c r="AV879" s="1">
        <v>27.0</v>
      </c>
      <c r="AW879" s="1">
        <v>30.0</v>
      </c>
      <c r="AX879" s="1" t="s">
        <v>74</v>
      </c>
      <c r="AY879" s="1" t="s">
        <v>74</v>
      </c>
      <c r="AZ879" s="1" t="s">
        <v>74</v>
      </c>
      <c r="BA879" s="1" t="s">
        <v>74</v>
      </c>
      <c r="BB879" s="1">
        <v>38344.0</v>
      </c>
      <c r="BC879" s="1">
        <v>38352.0</v>
      </c>
      <c r="BD879" s="1" t="s">
        <v>74</v>
      </c>
      <c r="BE879" s="1" t="s">
        <v>8212</v>
      </c>
      <c r="BF879" s="2" t="str">
        <f>HYPERLINK("http://dx.doi.org/10.1007/s11356-020-10164-w","http://dx.doi.org/10.1007/s11356-020-10164-w")</f>
        <v>http://dx.doi.org/10.1007/s11356-020-10164-w</v>
      </c>
      <c r="BG879" s="1" t="s">
        <v>74</v>
      </c>
      <c r="BH879" s="1" t="s">
        <v>8213</v>
      </c>
      <c r="BI879" s="1" t="s">
        <v>74</v>
      </c>
      <c r="BJ879" s="1" t="s">
        <v>74</v>
      </c>
      <c r="BK879" s="1" t="s">
        <v>74</v>
      </c>
      <c r="BL879" s="1" t="s">
        <v>74</v>
      </c>
      <c r="BM879" s="1" t="s">
        <v>74</v>
      </c>
      <c r="BN879" s="1">
        <v>3.2734542E7</v>
      </c>
      <c r="BO879" s="1" t="s">
        <v>74</v>
      </c>
      <c r="BP879" s="1" t="s">
        <v>74</v>
      </c>
      <c r="BQ879" s="1" t="s">
        <v>74</v>
      </c>
      <c r="BR879" s="1" t="s">
        <v>74</v>
      </c>
      <c r="BS879" s="1" t="s">
        <v>8214</v>
      </c>
      <c r="BT879" s="1" t="str">
        <f>HYPERLINK("https%3A%2F%2Fwww.webofscience.com%2Fwos%2Fwoscc%2Ffull-record%2FWOS:000554055200001","View Full Record in Web of Science")</f>
        <v>View Full Record in Web of Science</v>
      </c>
    </row>
    <row r="880" ht="12.75" customHeight="1">
      <c r="A880" s="1" t="s">
        <v>72</v>
      </c>
      <c r="B880" s="1" t="s">
        <v>8215</v>
      </c>
      <c r="C880" s="1" t="s">
        <v>74</v>
      </c>
      <c r="D880" s="1" t="s">
        <v>74</v>
      </c>
      <c r="E880" s="1" t="s">
        <v>74</v>
      </c>
      <c r="F880" s="1" t="s">
        <v>8216</v>
      </c>
      <c r="G880" s="1" t="s">
        <v>74</v>
      </c>
      <c r="H880" s="1" t="s">
        <v>74</v>
      </c>
      <c r="I880" s="1" t="s">
        <v>8217</v>
      </c>
      <c r="J880" s="1" t="s">
        <v>5982</v>
      </c>
      <c r="K880" s="1" t="s">
        <v>74</v>
      </c>
      <c r="L880" s="1" t="s">
        <v>74</v>
      </c>
      <c r="M880" s="1" t="s">
        <v>74</v>
      </c>
      <c r="N880" s="1" t="s">
        <v>74</v>
      </c>
      <c r="O880" s="1" t="s">
        <v>74</v>
      </c>
      <c r="P880" s="1" t="s">
        <v>74</v>
      </c>
      <c r="Q880" s="1" t="s">
        <v>74</v>
      </c>
      <c r="R880" s="1" t="s">
        <v>74</v>
      </c>
      <c r="S880" s="1" t="s">
        <v>74</v>
      </c>
      <c r="T880" s="1" t="s">
        <v>74</v>
      </c>
      <c r="U880" s="1" t="s">
        <v>74</v>
      </c>
      <c r="V880" s="1" t="s">
        <v>8218</v>
      </c>
      <c r="W880" s="1" t="s">
        <v>74</v>
      </c>
      <c r="X880" s="1" t="s">
        <v>74</v>
      </c>
      <c r="Y880" s="1" t="s">
        <v>74</v>
      </c>
      <c r="Z880" s="1" t="s">
        <v>74</v>
      </c>
      <c r="AA880" s="1" t="s">
        <v>8219</v>
      </c>
      <c r="AB880" s="1" t="s">
        <v>8220</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5986</v>
      </c>
      <c r="AP880" s="1" t="s">
        <v>74</v>
      </c>
      <c r="AQ880" s="1" t="s">
        <v>74</v>
      </c>
      <c r="AR880" s="1" t="s">
        <v>74</v>
      </c>
      <c r="AS880" s="1" t="s">
        <v>74</v>
      </c>
      <c r="AT880" s="1" t="s">
        <v>5476</v>
      </c>
      <c r="AU880" s="1">
        <v>2020.0</v>
      </c>
      <c r="AV880" s="1">
        <v>11.0</v>
      </c>
      <c r="AW880" s="1" t="s">
        <v>74</v>
      </c>
      <c r="AX880" s="1" t="s">
        <v>74</v>
      </c>
      <c r="AY880" s="1" t="s">
        <v>74</v>
      </c>
      <c r="AZ880" s="1" t="s">
        <v>74</v>
      </c>
      <c r="BA880" s="1" t="s">
        <v>74</v>
      </c>
      <c r="BB880" s="1" t="s">
        <v>74</v>
      </c>
      <c r="BC880" s="1" t="s">
        <v>74</v>
      </c>
      <c r="BD880" s="1">
        <v>429.0</v>
      </c>
      <c r="BE880" s="1" t="s">
        <v>8221</v>
      </c>
      <c r="BF880" s="2" t="str">
        <f>HYPERLINK("http://dx.doi.org/10.3389/fphar.2020.00429","http://dx.doi.org/10.3389/fphar.2020.00429")</f>
        <v>http://dx.doi.org/10.3389/fphar.2020.00429</v>
      </c>
      <c r="BG880" s="1" t="s">
        <v>74</v>
      </c>
      <c r="BH880" s="1" t="s">
        <v>74</v>
      </c>
      <c r="BI880" s="1" t="s">
        <v>74</v>
      </c>
      <c r="BJ880" s="1" t="s">
        <v>74</v>
      </c>
      <c r="BK880" s="1" t="s">
        <v>74</v>
      </c>
      <c r="BL880" s="1" t="s">
        <v>74</v>
      </c>
      <c r="BM880" s="1" t="s">
        <v>74</v>
      </c>
      <c r="BN880" s="1">
        <v>3.239083E7</v>
      </c>
      <c r="BO880" s="1" t="s">
        <v>74</v>
      </c>
      <c r="BP880" s="1" t="s">
        <v>74</v>
      </c>
      <c r="BQ880" s="1" t="s">
        <v>74</v>
      </c>
      <c r="BR880" s="1" t="s">
        <v>74</v>
      </c>
      <c r="BS880" s="1" t="s">
        <v>8222</v>
      </c>
      <c r="BT880" s="1" t="str">
        <f>HYPERLINK("https%3A%2F%2Fwww.webofscience.com%2Fwos%2Fwoscc%2Ffull-record%2FWOS:000533544600001","View Full Record in Web of Science")</f>
        <v>View Full Record in Web of Science</v>
      </c>
    </row>
    <row r="881" ht="12.75" customHeight="1">
      <c r="A881" s="1" t="s">
        <v>72</v>
      </c>
      <c r="B881" s="1" t="s">
        <v>8223</v>
      </c>
      <c r="C881" s="1" t="s">
        <v>74</v>
      </c>
      <c r="D881" s="1" t="s">
        <v>74</v>
      </c>
      <c r="E881" s="1" t="s">
        <v>74</v>
      </c>
      <c r="F881" s="1" t="s">
        <v>8224</v>
      </c>
      <c r="G881" s="1" t="s">
        <v>74</v>
      </c>
      <c r="H881" s="1" t="s">
        <v>74</v>
      </c>
      <c r="I881" s="1" t="s">
        <v>8225</v>
      </c>
      <c r="J881" s="1" t="s">
        <v>8226</v>
      </c>
      <c r="K881" s="1" t="s">
        <v>74</v>
      </c>
      <c r="L881" s="1" t="s">
        <v>74</v>
      </c>
      <c r="M881" s="1" t="s">
        <v>74</v>
      </c>
      <c r="N881" s="1" t="s">
        <v>74</v>
      </c>
      <c r="O881" s="1" t="s">
        <v>74</v>
      </c>
      <c r="P881" s="1" t="s">
        <v>74</v>
      </c>
      <c r="Q881" s="1" t="s">
        <v>74</v>
      </c>
      <c r="R881" s="1" t="s">
        <v>74</v>
      </c>
      <c r="S881" s="1" t="s">
        <v>74</v>
      </c>
      <c r="T881" s="1" t="s">
        <v>74</v>
      </c>
      <c r="U881" s="1" t="s">
        <v>74</v>
      </c>
      <c r="V881" s="1" t="s">
        <v>8227</v>
      </c>
      <c r="W881" s="1" t="s">
        <v>74</v>
      </c>
      <c r="X881" s="1" t="s">
        <v>74</v>
      </c>
      <c r="Y881" s="1" t="s">
        <v>74</v>
      </c>
      <c r="Z881" s="1" t="s">
        <v>74</v>
      </c>
      <c r="AA881" s="1" t="s">
        <v>8228</v>
      </c>
      <c r="AB881" s="1" t="s">
        <v>8229</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8230</v>
      </c>
      <c r="AP881" s="1" t="s">
        <v>8231</v>
      </c>
      <c r="AQ881" s="1" t="s">
        <v>74</v>
      </c>
      <c r="AR881" s="1" t="s">
        <v>74</v>
      </c>
      <c r="AS881" s="1" t="s">
        <v>74</v>
      </c>
      <c r="AT881" s="1" t="s">
        <v>496</v>
      </c>
      <c r="AU881" s="1">
        <v>2020.0</v>
      </c>
      <c r="AV881" s="1">
        <v>221.0</v>
      </c>
      <c r="AW881" s="1" t="s">
        <v>74</v>
      </c>
      <c r="AX881" s="1" t="s">
        <v>74</v>
      </c>
      <c r="AY881" s="1" t="s">
        <v>74</v>
      </c>
      <c r="AZ881" s="1" t="s">
        <v>74</v>
      </c>
      <c r="BA881" s="1" t="s">
        <v>74</v>
      </c>
      <c r="BB881" s="1" t="s">
        <v>74</v>
      </c>
      <c r="BC881" s="1" t="s">
        <v>74</v>
      </c>
      <c r="BD881" s="1">
        <v>105404.0</v>
      </c>
      <c r="BE881" s="1" t="s">
        <v>8232</v>
      </c>
      <c r="BF881" s="2" t="str">
        <f>HYPERLINK("http://dx.doi.org/10.1016/j.fishres.2019.105404","http://dx.doi.org/10.1016/j.fishres.2019.105404")</f>
        <v>http://dx.doi.org/10.1016/j.fishres.2019.105404</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8233</v>
      </c>
      <c r="BT881" s="1" t="str">
        <f>HYPERLINK("https%3A%2F%2Fwww.webofscience.com%2Fwos%2Fwoscc%2Ffull-record%2FWOS:000496874700028","View Full Record in Web of Science")</f>
        <v>View Full Record in Web of Science</v>
      </c>
    </row>
    <row r="882" ht="12.75" customHeight="1">
      <c r="A882" s="1" t="s">
        <v>72</v>
      </c>
      <c r="B882" s="1" t="s">
        <v>8234</v>
      </c>
      <c r="C882" s="1" t="s">
        <v>74</v>
      </c>
      <c r="D882" s="1" t="s">
        <v>74</v>
      </c>
      <c r="E882" s="1" t="s">
        <v>74</v>
      </c>
      <c r="F882" s="1" t="s">
        <v>8235</v>
      </c>
      <c r="G882" s="1" t="s">
        <v>74</v>
      </c>
      <c r="H882" s="1" t="s">
        <v>74</v>
      </c>
      <c r="I882" s="1" t="s">
        <v>8236</v>
      </c>
      <c r="J882" s="1" t="s">
        <v>8192</v>
      </c>
      <c r="K882" s="1" t="s">
        <v>74</v>
      </c>
      <c r="L882" s="1" t="s">
        <v>74</v>
      </c>
      <c r="M882" s="1" t="s">
        <v>74</v>
      </c>
      <c r="N882" s="1" t="s">
        <v>74</v>
      </c>
      <c r="O882" s="1" t="s">
        <v>74</v>
      </c>
      <c r="P882" s="1" t="s">
        <v>74</v>
      </c>
      <c r="Q882" s="1" t="s">
        <v>74</v>
      </c>
      <c r="R882" s="1" t="s">
        <v>74</v>
      </c>
      <c r="S882" s="1" t="s">
        <v>74</v>
      </c>
      <c r="T882" s="1" t="s">
        <v>74</v>
      </c>
      <c r="U882" s="1" t="s">
        <v>74</v>
      </c>
      <c r="V882" s="1" t="s">
        <v>8237</v>
      </c>
      <c r="W882" s="1" t="s">
        <v>74</v>
      </c>
      <c r="X882" s="1" t="s">
        <v>74</v>
      </c>
      <c r="Y882" s="1" t="s">
        <v>74</v>
      </c>
      <c r="Z882" s="1" t="s">
        <v>74</v>
      </c>
      <c r="AA882" s="1" t="s">
        <v>74</v>
      </c>
      <c r="AB882" s="1" t="s">
        <v>74</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8195</v>
      </c>
      <c r="AP882" s="1" t="s">
        <v>8196</v>
      </c>
      <c r="AQ882" s="1" t="s">
        <v>74</v>
      </c>
      <c r="AR882" s="1" t="s">
        <v>74</v>
      </c>
      <c r="AS882" s="1" t="s">
        <v>74</v>
      </c>
      <c r="AT882" s="1" t="s">
        <v>74</v>
      </c>
      <c r="AU882" s="1">
        <v>2020.0</v>
      </c>
      <c r="AV882" s="1" t="s">
        <v>74</v>
      </c>
      <c r="AW882" s="1">
        <v>38.0</v>
      </c>
      <c r="AX882" s="1" t="s">
        <v>74</v>
      </c>
      <c r="AY882" s="1" t="s">
        <v>74</v>
      </c>
      <c r="AZ882" s="1" t="s">
        <v>74</v>
      </c>
      <c r="BA882" s="1" t="s">
        <v>74</v>
      </c>
      <c r="BB882" s="1">
        <v>102.0</v>
      </c>
      <c r="BC882" s="1">
        <v>108.0</v>
      </c>
      <c r="BD882" s="1" t="s">
        <v>74</v>
      </c>
      <c r="BE882" s="1" t="s">
        <v>74</v>
      </c>
      <c r="BF882" s="1" t="s">
        <v>74</v>
      </c>
      <c r="BG882" s="1" t="s">
        <v>74</v>
      </c>
      <c r="BH882" s="1" t="s">
        <v>74</v>
      </c>
      <c r="BI882" s="1" t="s">
        <v>74</v>
      </c>
      <c r="BJ882" s="1" t="s">
        <v>74</v>
      </c>
      <c r="BK882" s="1" t="s">
        <v>74</v>
      </c>
      <c r="BL882" s="1" t="s">
        <v>74</v>
      </c>
      <c r="BM882" s="1" t="s">
        <v>74</v>
      </c>
      <c r="BN882" s="1" t="s">
        <v>74</v>
      </c>
      <c r="BO882" s="1" t="s">
        <v>74</v>
      </c>
      <c r="BP882" s="1" t="s">
        <v>74</v>
      </c>
      <c r="BQ882" s="1" t="s">
        <v>74</v>
      </c>
      <c r="BR882" s="1" t="s">
        <v>74</v>
      </c>
      <c r="BS882" s="1" t="s">
        <v>8238</v>
      </c>
      <c r="BT882" s="1" t="str">
        <f>HYPERLINK("https%3A%2F%2Fwww.webofscience.com%2Fwos%2Fwoscc%2Ffull-record%2FWOS:000535742500017","View Full Record in Web of Science")</f>
        <v>View Full Record in Web of Science</v>
      </c>
    </row>
    <row r="883" ht="12.75" customHeight="1">
      <c r="A883" s="1" t="s">
        <v>346</v>
      </c>
      <c r="B883" s="1" t="s">
        <v>8239</v>
      </c>
      <c r="C883" s="1" t="s">
        <v>74</v>
      </c>
      <c r="D883" s="1" t="s">
        <v>74</v>
      </c>
      <c r="E883" s="1" t="s">
        <v>348</v>
      </c>
      <c r="F883" s="1" t="s">
        <v>8240</v>
      </c>
      <c r="G883" s="1" t="s">
        <v>74</v>
      </c>
      <c r="H883" s="1" t="s">
        <v>74</v>
      </c>
      <c r="I883" s="1" t="s">
        <v>8241</v>
      </c>
      <c r="J883" s="1" t="s">
        <v>8242</v>
      </c>
      <c r="K883" s="1" t="s">
        <v>8243</v>
      </c>
      <c r="L883" s="1" t="s">
        <v>74</v>
      </c>
      <c r="M883" s="1" t="s">
        <v>74</v>
      </c>
      <c r="N883" s="1" t="s">
        <v>74</v>
      </c>
      <c r="O883" s="1" t="s">
        <v>8244</v>
      </c>
      <c r="P883" s="1" t="s">
        <v>8245</v>
      </c>
      <c r="Q883" s="1" t="s">
        <v>8246</v>
      </c>
      <c r="R883" s="1" t="s">
        <v>74</v>
      </c>
      <c r="S883" s="1" t="s">
        <v>74</v>
      </c>
      <c r="T883" s="1" t="s">
        <v>74</v>
      </c>
      <c r="U883" s="1" t="s">
        <v>74</v>
      </c>
      <c r="V883" s="1" t="s">
        <v>8247</v>
      </c>
      <c r="W883" s="1" t="s">
        <v>74</v>
      </c>
      <c r="X883" s="1" t="s">
        <v>74</v>
      </c>
      <c r="Y883" s="1" t="s">
        <v>74</v>
      </c>
      <c r="Z883" s="1" t="s">
        <v>74</v>
      </c>
      <c r="AA883" s="1" t="s">
        <v>8248</v>
      </c>
      <c r="AB883" s="1" t="s">
        <v>8249</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8250</v>
      </c>
      <c r="AP883" s="1" t="s">
        <v>74</v>
      </c>
      <c r="AQ883" s="1" t="s">
        <v>8251</v>
      </c>
      <c r="AR883" s="1" t="s">
        <v>74</v>
      </c>
      <c r="AS883" s="1" t="s">
        <v>74</v>
      </c>
      <c r="AT883" s="1" t="s">
        <v>74</v>
      </c>
      <c r="AU883" s="1">
        <v>2019.0</v>
      </c>
      <c r="AV883" s="1" t="s">
        <v>74</v>
      </c>
      <c r="AW883" s="1" t="s">
        <v>74</v>
      </c>
      <c r="AX883" s="1" t="s">
        <v>74</v>
      </c>
      <c r="AY883" s="1" t="s">
        <v>74</v>
      </c>
      <c r="AZ883" s="1" t="s">
        <v>74</v>
      </c>
      <c r="BA883" s="1" t="s">
        <v>74</v>
      </c>
      <c r="BB883" s="1" t="s">
        <v>74</v>
      </c>
      <c r="BC883" s="1" t="s">
        <v>74</v>
      </c>
      <c r="BD883" s="1" t="s">
        <v>74</v>
      </c>
      <c r="BE883" s="1" t="s">
        <v>74</v>
      </c>
      <c r="BF883" s="1" t="s">
        <v>74</v>
      </c>
      <c r="BG883" s="1" t="s">
        <v>74</v>
      </c>
      <c r="BH883" s="1" t="s">
        <v>74</v>
      </c>
      <c r="BI883" s="1" t="s">
        <v>74</v>
      </c>
      <c r="BJ883" s="1" t="s">
        <v>74</v>
      </c>
      <c r="BK883" s="1" t="s">
        <v>74</v>
      </c>
      <c r="BL883" s="1" t="s">
        <v>74</v>
      </c>
      <c r="BM883" s="1" t="s">
        <v>74</v>
      </c>
      <c r="BN883" s="1" t="s">
        <v>74</v>
      </c>
      <c r="BO883" s="1" t="s">
        <v>74</v>
      </c>
      <c r="BP883" s="1" t="s">
        <v>74</v>
      </c>
      <c r="BQ883" s="1" t="s">
        <v>74</v>
      </c>
      <c r="BR883" s="1" t="s">
        <v>74</v>
      </c>
      <c r="BS883" s="1" t="s">
        <v>8252</v>
      </c>
      <c r="BT883" s="1" t="str">
        <f>HYPERLINK("https%3A%2F%2Fwww.webofscience.com%2Fwos%2Fwoscc%2Ffull-record%2FWOS:000515073402097","View Full Record in Web of Science")</f>
        <v>View Full Record in Web of Science</v>
      </c>
    </row>
    <row r="884" ht="12.75" customHeight="1">
      <c r="A884" s="1" t="s">
        <v>72</v>
      </c>
      <c r="B884" s="1" t="s">
        <v>8253</v>
      </c>
      <c r="C884" s="1" t="s">
        <v>74</v>
      </c>
      <c r="D884" s="1" t="s">
        <v>74</v>
      </c>
      <c r="E884" s="1" t="s">
        <v>74</v>
      </c>
      <c r="F884" s="1" t="s">
        <v>8254</v>
      </c>
      <c r="G884" s="1" t="s">
        <v>74</v>
      </c>
      <c r="H884" s="1" t="s">
        <v>74</v>
      </c>
      <c r="I884" s="1" t="s">
        <v>8255</v>
      </c>
      <c r="J884" s="1" t="s">
        <v>8256</v>
      </c>
      <c r="K884" s="1" t="s">
        <v>74</v>
      </c>
      <c r="L884" s="1" t="s">
        <v>74</v>
      </c>
      <c r="M884" s="1" t="s">
        <v>74</v>
      </c>
      <c r="N884" s="1" t="s">
        <v>74</v>
      </c>
      <c r="O884" s="1" t="s">
        <v>74</v>
      </c>
      <c r="P884" s="1" t="s">
        <v>74</v>
      </c>
      <c r="Q884" s="1" t="s">
        <v>74</v>
      </c>
      <c r="R884" s="1" t="s">
        <v>74</v>
      </c>
      <c r="S884" s="1" t="s">
        <v>74</v>
      </c>
      <c r="T884" s="1" t="s">
        <v>74</v>
      </c>
      <c r="U884" s="1" t="s">
        <v>74</v>
      </c>
      <c r="V884" s="1" t="s">
        <v>8257</v>
      </c>
      <c r="W884" s="1" t="s">
        <v>74</v>
      </c>
      <c r="X884" s="1" t="s">
        <v>74</v>
      </c>
      <c r="Y884" s="1" t="s">
        <v>74</v>
      </c>
      <c r="Z884" s="1" t="s">
        <v>74</v>
      </c>
      <c r="AA884" s="1" t="s">
        <v>8258</v>
      </c>
      <c r="AB884" s="1" t="s">
        <v>8259</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8260</v>
      </c>
      <c r="AP884" s="1" t="s">
        <v>74</v>
      </c>
      <c r="AQ884" s="1" t="s">
        <v>74</v>
      </c>
      <c r="AR884" s="1" t="s">
        <v>74</v>
      </c>
      <c r="AS884" s="1" t="s">
        <v>74</v>
      </c>
      <c r="AT884" s="1" t="s">
        <v>95</v>
      </c>
      <c r="AU884" s="1">
        <v>2018.0</v>
      </c>
      <c r="AV884" s="1">
        <v>8.0</v>
      </c>
      <c r="AW884" s="1">
        <v>12.0</v>
      </c>
      <c r="AX884" s="1" t="s">
        <v>74</v>
      </c>
      <c r="AY884" s="1" t="s">
        <v>74</v>
      </c>
      <c r="AZ884" s="1" t="s">
        <v>74</v>
      </c>
      <c r="BA884" s="1" t="s">
        <v>74</v>
      </c>
      <c r="BB884" s="1" t="s">
        <v>74</v>
      </c>
      <c r="BC884" s="1" t="s">
        <v>74</v>
      </c>
      <c r="BD884" s="1">
        <v>629.0</v>
      </c>
      <c r="BE884" s="1" t="s">
        <v>8261</v>
      </c>
      <c r="BF884" s="2" t="str">
        <f>HYPERLINK("http://dx.doi.org/10.3390/catal8120629","http://dx.doi.org/10.3390/catal8120629")</f>
        <v>http://dx.doi.org/10.3390/catal8120629</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8262</v>
      </c>
      <c r="BT884" s="1" t="str">
        <f>HYPERLINK("https%3A%2F%2Fwww.webofscience.com%2Fwos%2Fwoscc%2Ffull-record%2FWOS:000454711500061","View Full Record in Web of Science")</f>
        <v>View Full Record in Web of Science</v>
      </c>
    </row>
    <row r="885" ht="12.75" customHeight="1">
      <c r="A885" s="1" t="s">
        <v>72</v>
      </c>
      <c r="B885" s="1" t="s">
        <v>8263</v>
      </c>
      <c r="C885" s="1" t="s">
        <v>74</v>
      </c>
      <c r="D885" s="1" t="s">
        <v>74</v>
      </c>
      <c r="E885" s="1" t="s">
        <v>74</v>
      </c>
      <c r="F885" s="1" t="s">
        <v>8264</v>
      </c>
      <c r="G885" s="1" t="s">
        <v>74</v>
      </c>
      <c r="H885" s="1" t="s">
        <v>74</v>
      </c>
      <c r="I885" s="1" t="s">
        <v>8265</v>
      </c>
      <c r="J885" s="1" t="s">
        <v>8266</v>
      </c>
      <c r="K885" s="1" t="s">
        <v>74</v>
      </c>
      <c r="L885" s="1" t="s">
        <v>74</v>
      </c>
      <c r="M885" s="1" t="s">
        <v>74</v>
      </c>
      <c r="N885" s="1" t="s">
        <v>74</v>
      </c>
      <c r="O885" s="1" t="s">
        <v>74</v>
      </c>
      <c r="P885" s="1" t="s">
        <v>74</v>
      </c>
      <c r="Q885" s="1" t="s">
        <v>74</v>
      </c>
      <c r="R885" s="1" t="s">
        <v>74</v>
      </c>
      <c r="S885" s="1" t="s">
        <v>74</v>
      </c>
      <c r="T885" s="1" t="s">
        <v>74</v>
      </c>
      <c r="U885" s="1" t="s">
        <v>74</v>
      </c>
      <c r="V885" s="1" t="s">
        <v>8267</v>
      </c>
      <c r="W885" s="1" t="s">
        <v>74</v>
      </c>
      <c r="X885" s="1" t="s">
        <v>74</v>
      </c>
      <c r="Y885" s="1" t="s">
        <v>74</v>
      </c>
      <c r="Z885" s="1" t="s">
        <v>74</v>
      </c>
      <c r="AA885" s="1" t="s">
        <v>8268</v>
      </c>
      <c r="AB885" s="1" t="s">
        <v>8269</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8270</v>
      </c>
      <c r="AP885" s="1" t="s">
        <v>8271</v>
      </c>
      <c r="AQ885" s="1" t="s">
        <v>74</v>
      </c>
      <c r="AR885" s="1" t="s">
        <v>74</v>
      </c>
      <c r="AS885" s="1" t="s">
        <v>74</v>
      </c>
      <c r="AT885" s="1" t="s">
        <v>8272</v>
      </c>
      <c r="AU885" s="1">
        <v>2018.0</v>
      </c>
      <c r="AV885" s="1">
        <v>24.0</v>
      </c>
      <c r="AW885" s="1">
        <v>52.0</v>
      </c>
      <c r="AX885" s="1" t="s">
        <v>74</v>
      </c>
      <c r="AY885" s="1" t="s">
        <v>74</v>
      </c>
      <c r="AZ885" s="1" t="s">
        <v>74</v>
      </c>
      <c r="BA885" s="1" t="s">
        <v>74</v>
      </c>
      <c r="BB885" s="1">
        <v>13839.0</v>
      </c>
      <c r="BC885" s="1">
        <v>13849.0</v>
      </c>
      <c r="BD885" s="1" t="s">
        <v>74</v>
      </c>
      <c r="BE885" s="1" t="s">
        <v>8273</v>
      </c>
      <c r="BF885" s="2" t="str">
        <f>HYPERLINK("http://dx.doi.org/10.1002/chem.201802290","http://dx.doi.org/10.1002/chem.201802290")</f>
        <v>http://dx.doi.org/10.1002/chem.201802290</v>
      </c>
      <c r="BG885" s="1" t="s">
        <v>74</v>
      </c>
      <c r="BH885" s="1" t="s">
        <v>74</v>
      </c>
      <c r="BI885" s="1" t="s">
        <v>74</v>
      </c>
      <c r="BJ885" s="1" t="s">
        <v>74</v>
      </c>
      <c r="BK885" s="1" t="s">
        <v>74</v>
      </c>
      <c r="BL885" s="1" t="s">
        <v>74</v>
      </c>
      <c r="BM885" s="1" t="s">
        <v>74</v>
      </c>
      <c r="BN885" s="1">
        <v>2.9935009E7</v>
      </c>
      <c r="BO885" s="1" t="s">
        <v>74</v>
      </c>
      <c r="BP885" s="1" t="s">
        <v>74</v>
      </c>
      <c r="BQ885" s="1" t="s">
        <v>74</v>
      </c>
      <c r="BR885" s="1" t="s">
        <v>74</v>
      </c>
      <c r="BS885" s="1" t="s">
        <v>8274</v>
      </c>
      <c r="BT885" s="1" t="str">
        <f>HYPERLINK("https%3A%2F%2Fwww.webofscience.com%2Fwos%2Fwoscc%2Ffull-record%2FWOS:000445447300024","View Full Record in Web of Science")</f>
        <v>View Full Record in Web of Science</v>
      </c>
    </row>
    <row r="886" ht="12.75" customHeight="1">
      <c r="A886" s="1" t="s">
        <v>72</v>
      </c>
      <c r="B886" s="1" t="s">
        <v>8275</v>
      </c>
      <c r="C886" s="1" t="s">
        <v>74</v>
      </c>
      <c r="D886" s="1" t="s">
        <v>74</v>
      </c>
      <c r="E886" s="1" t="s">
        <v>74</v>
      </c>
      <c r="F886" s="1" t="s">
        <v>8276</v>
      </c>
      <c r="G886" s="1" t="s">
        <v>74</v>
      </c>
      <c r="H886" s="1" t="s">
        <v>74</v>
      </c>
      <c r="I886" s="1" t="s">
        <v>8277</v>
      </c>
      <c r="J886" s="1" t="s">
        <v>8278</v>
      </c>
      <c r="K886" s="1" t="s">
        <v>74</v>
      </c>
      <c r="L886" s="1" t="s">
        <v>74</v>
      </c>
      <c r="M886" s="1" t="s">
        <v>74</v>
      </c>
      <c r="N886" s="1" t="s">
        <v>74</v>
      </c>
      <c r="O886" s="1" t="s">
        <v>74</v>
      </c>
      <c r="P886" s="1" t="s">
        <v>74</v>
      </c>
      <c r="Q886" s="1" t="s">
        <v>74</v>
      </c>
      <c r="R886" s="1" t="s">
        <v>74</v>
      </c>
      <c r="S886" s="1" t="s">
        <v>74</v>
      </c>
      <c r="T886" s="1" t="s">
        <v>74</v>
      </c>
      <c r="U886" s="1" t="s">
        <v>74</v>
      </c>
      <c r="V886" s="1" t="s">
        <v>8279</v>
      </c>
      <c r="W886" s="1" t="s">
        <v>74</v>
      </c>
      <c r="X886" s="1" t="s">
        <v>74</v>
      </c>
      <c r="Y886" s="1" t="s">
        <v>74</v>
      </c>
      <c r="Z886" s="1" t="s">
        <v>74</v>
      </c>
      <c r="AA886" s="1" t="s">
        <v>8280</v>
      </c>
      <c r="AB886" s="1" t="s">
        <v>8281</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8282</v>
      </c>
      <c r="AP886" s="1" t="s">
        <v>8283</v>
      </c>
      <c r="AQ886" s="1" t="s">
        <v>74</v>
      </c>
      <c r="AR886" s="1" t="s">
        <v>74</v>
      </c>
      <c r="AS886" s="1" t="s">
        <v>74</v>
      </c>
      <c r="AT886" s="1" t="s">
        <v>461</v>
      </c>
      <c r="AU886" s="1">
        <v>2018.0</v>
      </c>
      <c r="AV886" s="1">
        <v>27.0</v>
      </c>
      <c r="AW886" s="1">
        <v>9.0</v>
      </c>
      <c r="AX886" s="1" t="s">
        <v>74</v>
      </c>
      <c r="AY886" s="1" t="s">
        <v>74</v>
      </c>
      <c r="AZ886" s="1" t="s">
        <v>74</v>
      </c>
      <c r="BA886" s="1" t="s">
        <v>74</v>
      </c>
      <c r="BB886" s="1">
        <v>2305.0</v>
      </c>
      <c r="BC886" s="1">
        <v>2312.0</v>
      </c>
      <c r="BD886" s="1" t="s">
        <v>74</v>
      </c>
      <c r="BE886" s="1" t="s">
        <v>8284</v>
      </c>
      <c r="BF886" s="2" t="str">
        <f>HYPERLINK("http://dx.doi.org/10.1007/s11136-018-1893-5","http://dx.doi.org/10.1007/s11136-018-1893-5")</f>
        <v>http://dx.doi.org/10.1007/s11136-018-1893-5</v>
      </c>
      <c r="BG886" s="1" t="s">
        <v>74</v>
      </c>
      <c r="BH886" s="1" t="s">
        <v>74</v>
      </c>
      <c r="BI886" s="1" t="s">
        <v>74</v>
      </c>
      <c r="BJ886" s="1" t="s">
        <v>74</v>
      </c>
      <c r="BK886" s="1" t="s">
        <v>74</v>
      </c>
      <c r="BL886" s="1" t="s">
        <v>74</v>
      </c>
      <c r="BM886" s="1" t="s">
        <v>74</v>
      </c>
      <c r="BN886" s="1">
        <v>2.9948598E7</v>
      </c>
      <c r="BO886" s="1" t="s">
        <v>74</v>
      </c>
      <c r="BP886" s="1" t="s">
        <v>74</v>
      </c>
      <c r="BQ886" s="1" t="s">
        <v>74</v>
      </c>
      <c r="BR886" s="1" t="s">
        <v>74</v>
      </c>
      <c r="BS886" s="1" t="s">
        <v>8285</v>
      </c>
      <c r="BT886" s="1" t="str">
        <f>HYPERLINK("https%3A%2F%2Fwww.webofscience.com%2Fwos%2Fwoscc%2Ffull-record%2FWOS:000442862200009","View Full Record in Web of Science")</f>
        <v>View Full Record in Web of Science</v>
      </c>
    </row>
    <row r="887" ht="12.75" customHeight="1">
      <c r="A887" s="1" t="s">
        <v>72</v>
      </c>
      <c r="B887" s="1" t="s">
        <v>8286</v>
      </c>
      <c r="C887" s="1" t="s">
        <v>74</v>
      </c>
      <c r="D887" s="1" t="s">
        <v>74</v>
      </c>
      <c r="E887" s="1" t="s">
        <v>74</v>
      </c>
      <c r="F887" s="1" t="s">
        <v>8287</v>
      </c>
      <c r="G887" s="1" t="s">
        <v>74</v>
      </c>
      <c r="H887" s="1" t="s">
        <v>74</v>
      </c>
      <c r="I887" s="1" t="s">
        <v>8288</v>
      </c>
      <c r="J887" s="1" t="s">
        <v>1440</v>
      </c>
      <c r="K887" s="1" t="s">
        <v>74</v>
      </c>
      <c r="L887" s="1" t="s">
        <v>74</v>
      </c>
      <c r="M887" s="1" t="s">
        <v>74</v>
      </c>
      <c r="N887" s="1" t="s">
        <v>74</v>
      </c>
      <c r="O887" s="1" t="s">
        <v>74</v>
      </c>
      <c r="P887" s="1" t="s">
        <v>74</v>
      </c>
      <c r="Q887" s="1" t="s">
        <v>74</v>
      </c>
      <c r="R887" s="1" t="s">
        <v>74</v>
      </c>
      <c r="S887" s="1" t="s">
        <v>74</v>
      </c>
      <c r="T887" s="1" t="s">
        <v>74</v>
      </c>
      <c r="U887" s="1" t="s">
        <v>74</v>
      </c>
      <c r="V887" s="1" t="s">
        <v>8289</v>
      </c>
      <c r="W887" s="1" t="s">
        <v>74</v>
      </c>
      <c r="X887" s="1" t="s">
        <v>74</v>
      </c>
      <c r="Y887" s="1" t="s">
        <v>74</v>
      </c>
      <c r="Z887" s="1" t="s">
        <v>74</v>
      </c>
      <c r="AA887" s="1" t="s">
        <v>7791</v>
      </c>
      <c r="AB887" s="1" t="s">
        <v>8290</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1443</v>
      </c>
      <c r="AP887" s="1" t="s">
        <v>1444</v>
      </c>
      <c r="AQ887" s="1" t="s">
        <v>74</v>
      </c>
      <c r="AR887" s="1" t="s">
        <v>74</v>
      </c>
      <c r="AS887" s="1" t="s">
        <v>74</v>
      </c>
      <c r="AT887" s="1" t="s">
        <v>461</v>
      </c>
      <c r="AU887" s="1">
        <v>2017.0</v>
      </c>
      <c r="AV887" s="1">
        <v>145.0</v>
      </c>
      <c r="AW887" s="1">
        <v>9.0</v>
      </c>
      <c r="AX887" s="1" t="s">
        <v>74</v>
      </c>
      <c r="AY887" s="1" t="s">
        <v>74</v>
      </c>
      <c r="AZ887" s="1" t="s">
        <v>74</v>
      </c>
      <c r="BA887" s="1" t="s">
        <v>74</v>
      </c>
      <c r="BB887" s="1">
        <v>1106.0</v>
      </c>
      <c r="BC887" s="1">
        <v>1114.0</v>
      </c>
      <c r="BD887" s="1" t="s">
        <v>74</v>
      </c>
      <c r="BE887" s="1" t="s">
        <v>8291</v>
      </c>
      <c r="BF887" s="2" t="str">
        <f>HYPERLINK("http://dx.doi.org/10.4067/s0034-98872017000901106","http://dx.doi.org/10.4067/s0034-98872017000901106")</f>
        <v>http://dx.doi.org/10.4067/s0034-98872017000901106</v>
      </c>
      <c r="BG887" s="1" t="s">
        <v>74</v>
      </c>
      <c r="BH887" s="1" t="s">
        <v>74</v>
      </c>
      <c r="BI887" s="1" t="s">
        <v>74</v>
      </c>
      <c r="BJ887" s="1" t="s">
        <v>74</v>
      </c>
      <c r="BK887" s="1" t="s">
        <v>74</v>
      </c>
      <c r="BL887" s="1" t="s">
        <v>74</v>
      </c>
      <c r="BM887" s="1" t="s">
        <v>74</v>
      </c>
      <c r="BN887" s="1">
        <v>2.9424396E7</v>
      </c>
      <c r="BO887" s="1" t="s">
        <v>74</v>
      </c>
      <c r="BP887" s="1" t="s">
        <v>74</v>
      </c>
      <c r="BQ887" s="1" t="s">
        <v>74</v>
      </c>
      <c r="BR887" s="1" t="s">
        <v>74</v>
      </c>
      <c r="BS887" s="1" t="s">
        <v>8292</v>
      </c>
      <c r="BT887" s="1" t="str">
        <f>HYPERLINK("https%3A%2F%2Fwww.webofscience.com%2Fwos%2Fwoscc%2Ffull-record%2FWOS:000416126800002","View Full Record in Web of Science")</f>
        <v>View Full Record in Web of Science</v>
      </c>
    </row>
    <row r="888" ht="12.75" customHeight="1">
      <c r="A888" s="1" t="s">
        <v>72</v>
      </c>
      <c r="B888" s="1" t="s">
        <v>8293</v>
      </c>
      <c r="C888" s="1" t="s">
        <v>74</v>
      </c>
      <c r="D888" s="1" t="s">
        <v>74</v>
      </c>
      <c r="E888" s="1" t="s">
        <v>74</v>
      </c>
      <c r="F888" s="1" t="s">
        <v>8294</v>
      </c>
      <c r="G888" s="1" t="s">
        <v>74</v>
      </c>
      <c r="H888" s="1" t="s">
        <v>74</v>
      </c>
      <c r="I888" s="1" t="s">
        <v>8295</v>
      </c>
      <c r="J888" s="1" t="s">
        <v>7114</v>
      </c>
      <c r="K888" s="1" t="s">
        <v>74</v>
      </c>
      <c r="L888" s="1" t="s">
        <v>74</v>
      </c>
      <c r="M888" s="1" t="s">
        <v>74</v>
      </c>
      <c r="N888" s="1" t="s">
        <v>74</v>
      </c>
      <c r="O888" s="1" t="s">
        <v>74</v>
      </c>
      <c r="P888" s="1" t="s">
        <v>74</v>
      </c>
      <c r="Q888" s="1" t="s">
        <v>74</v>
      </c>
      <c r="R888" s="1" t="s">
        <v>74</v>
      </c>
      <c r="S888" s="1" t="s">
        <v>74</v>
      </c>
      <c r="T888" s="1" t="s">
        <v>74</v>
      </c>
      <c r="U888" s="1" t="s">
        <v>74</v>
      </c>
      <c r="V888" s="1" t="s">
        <v>8296</v>
      </c>
      <c r="W888" s="1" t="s">
        <v>74</v>
      </c>
      <c r="X888" s="1" t="s">
        <v>74</v>
      </c>
      <c r="Y888" s="1" t="s">
        <v>74</v>
      </c>
      <c r="Z888" s="1" t="s">
        <v>74</v>
      </c>
      <c r="AA888" s="1" t="s">
        <v>74</v>
      </c>
      <c r="AB888" s="1" t="s">
        <v>8297</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7118</v>
      </c>
      <c r="AP888" s="1" t="s">
        <v>7119</v>
      </c>
      <c r="AQ888" s="1" t="s">
        <v>74</v>
      </c>
      <c r="AR888" s="1" t="s">
        <v>74</v>
      </c>
      <c r="AS888" s="1" t="s">
        <v>74</v>
      </c>
      <c r="AT888" s="1" t="s">
        <v>554</v>
      </c>
      <c r="AU888" s="1">
        <v>2017.0</v>
      </c>
      <c r="AV888" s="1">
        <v>220.0</v>
      </c>
      <c r="AW888" s="1">
        <v>1.0</v>
      </c>
      <c r="AX888" s="1" t="s">
        <v>74</v>
      </c>
      <c r="AY888" s="1" t="s">
        <v>74</v>
      </c>
      <c r="AZ888" s="1" t="s">
        <v>74</v>
      </c>
      <c r="BA888" s="1" t="s">
        <v>74</v>
      </c>
      <c r="BB888" s="1">
        <v>103.0</v>
      </c>
      <c r="BC888" s="1">
        <v>160.0</v>
      </c>
      <c r="BD888" s="1" t="s">
        <v>74</v>
      </c>
      <c r="BE888" s="1" t="s">
        <v>8298</v>
      </c>
      <c r="BF888" s="2" t="str">
        <f>HYPERLINK("http://dx.doi.org/10.1007/s11856-017-1512-0","http://dx.doi.org/10.1007/s11856-017-1512-0")</f>
        <v>http://dx.doi.org/10.1007/s11856-017-1512-0</v>
      </c>
      <c r="BG888" s="1" t="s">
        <v>74</v>
      </c>
      <c r="BH888" s="1" t="s">
        <v>74</v>
      </c>
      <c r="BI888" s="1" t="s">
        <v>74</v>
      </c>
      <c r="BJ888" s="1" t="s">
        <v>74</v>
      </c>
      <c r="BK888" s="1" t="s">
        <v>74</v>
      </c>
      <c r="BL888" s="1" t="s">
        <v>74</v>
      </c>
      <c r="BM888" s="1" t="s">
        <v>74</v>
      </c>
      <c r="BN888" s="1" t="s">
        <v>74</v>
      </c>
      <c r="BO888" s="1" t="s">
        <v>74</v>
      </c>
      <c r="BP888" s="1" t="s">
        <v>74</v>
      </c>
      <c r="BQ888" s="1" t="s">
        <v>74</v>
      </c>
      <c r="BR888" s="1" t="s">
        <v>74</v>
      </c>
      <c r="BS888" s="1" t="s">
        <v>8299</v>
      </c>
      <c r="BT888" s="1" t="str">
        <f>HYPERLINK("https%3A%2F%2Fwww.webofscience.com%2Fwos%2Fwoscc%2Ffull-record%2FWOS:000404532600005","View Full Record in Web of Science")</f>
        <v>View Full Record in Web of Science</v>
      </c>
    </row>
    <row r="889" ht="12.75" customHeight="1">
      <c r="A889" s="1" t="s">
        <v>72</v>
      </c>
      <c r="B889" s="1" t="s">
        <v>8300</v>
      </c>
      <c r="C889" s="1" t="s">
        <v>74</v>
      </c>
      <c r="D889" s="1" t="s">
        <v>74</v>
      </c>
      <c r="E889" s="1" t="s">
        <v>74</v>
      </c>
      <c r="F889" s="1" t="s">
        <v>8301</v>
      </c>
      <c r="G889" s="1" t="s">
        <v>74</v>
      </c>
      <c r="H889" s="1" t="s">
        <v>74</v>
      </c>
      <c r="I889" s="1" t="s">
        <v>8302</v>
      </c>
      <c r="J889" s="1" t="s">
        <v>3977</v>
      </c>
      <c r="K889" s="1" t="s">
        <v>74</v>
      </c>
      <c r="L889" s="1" t="s">
        <v>74</v>
      </c>
      <c r="M889" s="1" t="s">
        <v>74</v>
      </c>
      <c r="N889" s="1" t="s">
        <v>74</v>
      </c>
      <c r="O889" s="1" t="s">
        <v>74</v>
      </c>
      <c r="P889" s="1" t="s">
        <v>74</v>
      </c>
      <c r="Q889" s="1" t="s">
        <v>74</v>
      </c>
      <c r="R889" s="1" t="s">
        <v>74</v>
      </c>
      <c r="S889" s="1" t="s">
        <v>74</v>
      </c>
      <c r="T889" s="1" t="s">
        <v>74</v>
      </c>
      <c r="U889" s="1" t="s">
        <v>74</v>
      </c>
      <c r="V889" s="1" t="s">
        <v>8303</v>
      </c>
      <c r="W889" s="1" t="s">
        <v>74</v>
      </c>
      <c r="X889" s="1" t="s">
        <v>74</v>
      </c>
      <c r="Y889" s="1" t="s">
        <v>74</v>
      </c>
      <c r="Z889" s="1" t="s">
        <v>74</v>
      </c>
      <c r="AA889" s="1" t="s">
        <v>8304</v>
      </c>
      <c r="AB889" s="1" t="s">
        <v>8305</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3981</v>
      </c>
      <c r="AP889" s="1" t="s">
        <v>3982</v>
      </c>
      <c r="AQ889" s="1" t="s">
        <v>74</v>
      </c>
      <c r="AR889" s="1" t="s">
        <v>74</v>
      </c>
      <c r="AS889" s="1" t="s">
        <v>74</v>
      </c>
      <c r="AT889" s="1" t="s">
        <v>74</v>
      </c>
      <c r="AU889" s="1">
        <v>2016.0</v>
      </c>
      <c r="AV889" s="1">
        <v>14.0</v>
      </c>
      <c r="AW889" s="1">
        <v>3.0</v>
      </c>
      <c r="AX889" s="1" t="s">
        <v>74</v>
      </c>
      <c r="AY889" s="1" t="s">
        <v>74</v>
      </c>
      <c r="AZ889" s="1" t="s">
        <v>74</v>
      </c>
      <c r="BA889" s="1" t="s">
        <v>74</v>
      </c>
      <c r="BB889" s="1">
        <v>399.0</v>
      </c>
      <c r="BC889" s="1">
        <v>404.0</v>
      </c>
      <c r="BD889" s="1" t="s">
        <v>74</v>
      </c>
      <c r="BE889" s="1" t="s">
        <v>8306</v>
      </c>
      <c r="BF889" s="2" t="str">
        <f>HYPERLINK("http://dx.doi.org/10.1080/19476337.2015.1114973","http://dx.doi.org/10.1080/19476337.2015.1114973")</f>
        <v>http://dx.doi.org/10.1080/19476337.2015.1114973</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8307</v>
      </c>
      <c r="BT889" s="1" t="str">
        <f>HYPERLINK("https%3A%2F%2Fwww.webofscience.com%2Fwos%2Fwoscc%2Ffull-record%2FWOS:000382330900005","View Full Record in Web of Science")</f>
        <v>View Full Record in Web of Science</v>
      </c>
    </row>
    <row r="890" ht="12.75" customHeight="1">
      <c r="A890" s="1" t="s">
        <v>72</v>
      </c>
      <c r="B890" s="1" t="s">
        <v>8308</v>
      </c>
      <c r="C890" s="1" t="s">
        <v>74</v>
      </c>
      <c r="D890" s="1" t="s">
        <v>74</v>
      </c>
      <c r="E890" s="1" t="s">
        <v>74</v>
      </c>
      <c r="F890" s="1" t="s">
        <v>8309</v>
      </c>
      <c r="G890" s="1" t="s">
        <v>74</v>
      </c>
      <c r="H890" s="1" t="s">
        <v>74</v>
      </c>
      <c r="I890" s="1" t="s">
        <v>8310</v>
      </c>
      <c r="J890" s="1" t="s">
        <v>7901</v>
      </c>
      <c r="K890" s="1" t="s">
        <v>74</v>
      </c>
      <c r="L890" s="1" t="s">
        <v>74</v>
      </c>
      <c r="M890" s="1" t="s">
        <v>74</v>
      </c>
      <c r="N890" s="1" t="s">
        <v>74</v>
      </c>
      <c r="O890" s="1" t="s">
        <v>74</v>
      </c>
      <c r="P890" s="1" t="s">
        <v>74</v>
      </c>
      <c r="Q890" s="1" t="s">
        <v>74</v>
      </c>
      <c r="R890" s="1" t="s">
        <v>74</v>
      </c>
      <c r="S890" s="1" t="s">
        <v>74</v>
      </c>
      <c r="T890" s="1" t="s">
        <v>74</v>
      </c>
      <c r="U890" s="1" t="s">
        <v>74</v>
      </c>
      <c r="V890" s="1" t="s">
        <v>8311</v>
      </c>
      <c r="W890" s="1" t="s">
        <v>74</v>
      </c>
      <c r="X890" s="1" t="s">
        <v>74</v>
      </c>
      <c r="Y890" s="1" t="s">
        <v>74</v>
      </c>
      <c r="Z890" s="1" t="s">
        <v>74</v>
      </c>
      <c r="AA890" s="1" t="s">
        <v>8312</v>
      </c>
      <c r="AB890" s="1" t="s">
        <v>8313</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7905</v>
      </c>
      <c r="AP890" s="1" t="s">
        <v>7906</v>
      </c>
      <c r="AQ890" s="1" t="s">
        <v>74</v>
      </c>
      <c r="AR890" s="1" t="s">
        <v>74</v>
      </c>
      <c r="AS890" s="1" t="s">
        <v>74</v>
      </c>
      <c r="AT890" s="1" t="s">
        <v>107</v>
      </c>
      <c r="AU890" s="1">
        <v>2015.0</v>
      </c>
      <c r="AV890" s="1">
        <v>31.0</v>
      </c>
      <c r="AW890" s="1">
        <v>5.0</v>
      </c>
      <c r="AX890" s="1" t="s">
        <v>74</v>
      </c>
      <c r="AY890" s="1" t="s">
        <v>74</v>
      </c>
      <c r="AZ890" s="1" t="s">
        <v>74</v>
      </c>
      <c r="BA890" s="1" t="s">
        <v>74</v>
      </c>
      <c r="BB890" s="1">
        <v>2247.0</v>
      </c>
      <c r="BC890" s="1">
        <v>2252.0</v>
      </c>
      <c r="BD890" s="1" t="s">
        <v>74</v>
      </c>
      <c r="BE890" s="1" t="s">
        <v>8314</v>
      </c>
      <c r="BF890" s="2" t="str">
        <f>HYPERLINK("http://dx.doi.org/10.3305/nh.2015.31.5.8617","http://dx.doi.org/10.3305/nh.2015.31.5.8617")</f>
        <v>http://dx.doi.org/10.3305/nh.2015.31.5.8617</v>
      </c>
      <c r="BG890" s="1" t="s">
        <v>74</v>
      </c>
      <c r="BH890" s="1" t="s">
        <v>74</v>
      </c>
      <c r="BI890" s="1" t="s">
        <v>74</v>
      </c>
      <c r="BJ890" s="1" t="s">
        <v>74</v>
      </c>
      <c r="BK890" s="1" t="s">
        <v>74</v>
      </c>
      <c r="BL890" s="1" t="s">
        <v>74</v>
      </c>
      <c r="BM890" s="1" t="s">
        <v>74</v>
      </c>
      <c r="BN890" s="1">
        <v>2.59294E7</v>
      </c>
      <c r="BO890" s="1" t="s">
        <v>74</v>
      </c>
      <c r="BP890" s="1" t="s">
        <v>74</v>
      </c>
      <c r="BQ890" s="1" t="s">
        <v>74</v>
      </c>
      <c r="BR890" s="1" t="s">
        <v>74</v>
      </c>
      <c r="BS890" s="1" t="s">
        <v>8315</v>
      </c>
      <c r="BT890" s="1" t="str">
        <f>HYPERLINK("https%3A%2F%2Fwww.webofscience.com%2Fwos%2Fwoscc%2Ffull-record%2FWOS:000354231200045","View Full Record in Web of Science")</f>
        <v>View Full Record in Web of Science</v>
      </c>
    </row>
    <row r="891" ht="12.75" customHeight="1">
      <c r="A891" s="1" t="s">
        <v>72</v>
      </c>
      <c r="B891" s="1" t="s">
        <v>8316</v>
      </c>
      <c r="C891" s="1" t="s">
        <v>74</v>
      </c>
      <c r="D891" s="1" t="s">
        <v>74</v>
      </c>
      <c r="E891" s="1" t="s">
        <v>74</v>
      </c>
      <c r="F891" s="1" t="s">
        <v>8317</v>
      </c>
      <c r="G891" s="1" t="s">
        <v>74</v>
      </c>
      <c r="H891" s="1" t="s">
        <v>74</v>
      </c>
      <c r="I891" s="1" t="s">
        <v>8318</v>
      </c>
      <c r="J891" s="1" t="s">
        <v>8319</v>
      </c>
      <c r="K891" s="1" t="s">
        <v>74</v>
      </c>
      <c r="L891" s="1" t="s">
        <v>74</v>
      </c>
      <c r="M891" s="1" t="s">
        <v>74</v>
      </c>
      <c r="N891" s="1" t="s">
        <v>74</v>
      </c>
      <c r="O891" s="1" t="s">
        <v>74</v>
      </c>
      <c r="P891" s="1" t="s">
        <v>74</v>
      </c>
      <c r="Q891" s="1" t="s">
        <v>74</v>
      </c>
      <c r="R891" s="1" t="s">
        <v>74</v>
      </c>
      <c r="S891" s="1" t="s">
        <v>74</v>
      </c>
      <c r="T891" s="1" t="s">
        <v>74</v>
      </c>
      <c r="U891" s="1" t="s">
        <v>74</v>
      </c>
      <c r="V891" s="1" t="s">
        <v>8320</v>
      </c>
      <c r="W891" s="1" t="s">
        <v>74</v>
      </c>
      <c r="X891" s="1" t="s">
        <v>74</v>
      </c>
      <c r="Y891" s="1" t="s">
        <v>74</v>
      </c>
      <c r="Z891" s="1" t="s">
        <v>74</v>
      </c>
      <c r="AA891" s="1" t="s">
        <v>8321</v>
      </c>
      <c r="AB891" s="1" t="s">
        <v>8322</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8323</v>
      </c>
      <c r="AP891" s="1" t="s">
        <v>8324</v>
      </c>
      <c r="AQ891" s="1" t="s">
        <v>74</v>
      </c>
      <c r="AR891" s="1" t="s">
        <v>74</v>
      </c>
      <c r="AS891" s="1" t="s">
        <v>74</v>
      </c>
      <c r="AT891" s="1" t="s">
        <v>2338</v>
      </c>
      <c r="AU891" s="1">
        <v>2014.0</v>
      </c>
      <c r="AV891" s="1">
        <v>63.0</v>
      </c>
      <c r="AW891" s="1" t="s">
        <v>74</v>
      </c>
      <c r="AX891" s="1" t="s">
        <v>74</v>
      </c>
      <c r="AY891" s="1" t="s">
        <v>74</v>
      </c>
      <c r="AZ891" s="1" t="s">
        <v>74</v>
      </c>
      <c r="BA891" s="1" t="s">
        <v>74</v>
      </c>
      <c r="BB891" s="1">
        <v>219.0</v>
      </c>
      <c r="BC891" s="1">
        <v>233.0</v>
      </c>
      <c r="BD891" s="1" t="s">
        <v>74</v>
      </c>
      <c r="BE891" s="1" t="s">
        <v>8325</v>
      </c>
      <c r="BF891" s="2" t="str">
        <f>HYPERLINK("http://dx.doi.org/10.1016/j.compchemeng.2014.02.004","http://dx.doi.org/10.1016/j.compchemeng.2014.02.004")</f>
        <v>http://dx.doi.org/10.1016/j.compchemeng.2014.02.004</v>
      </c>
      <c r="BG891" s="1" t="s">
        <v>74</v>
      </c>
      <c r="BH891" s="1" t="s">
        <v>74</v>
      </c>
      <c r="BI891" s="1" t="s">
        <v>74</v>
      </c>
      <c r="BJ891" s="1" t="s">
        <v>74</v>
      </c>
      <c r="BK891" s="1" t="s">
        <v>74</v>
      </c>
      <c r="BL891" s="1" t="s">
        <v>74</v>
      </c>
      <c r="BM891" s="1" t="s">
        <v>74</v>
      </c>
      <c r="BN891" s="1" t="s">
        <v>74</v>
      </c>
      <c r="BO891" s="1" t="s">
        <v>74</v>
      </c>
      <c r="BP891" s="1" t="s">
        <v>74</v>
      </c>
      <c r="BQ891" s="1" t="s">
        <v>74</v>
      </c>
      <c r="BR891" s="1" t="s">
        <v>74</v>
      </c>
      <c r="BS891" s="1" t="s">
        <v>8326</v>
      </c>
      <c r="BT891" s="1" t="str">
        <f>HYPERLINK("https%3A%2F%2Fwww.webofscience.com%2Fwos%2Fwoscc%2Ffull-record%2FWOS:000333056600014","View Full Record in Web of Science")</f>
        <v>View Full Record in Web of Science</v>
      </c>
    </row>
    <row r="892" ht="12.75" customHeight="1">
      <c r="A892" s="1" t="s">
        <v>72</v>
      </c>
      <c r="B892" s="1" t="s">
        <v>8327</v>
      </c>
      <c r="C892" s="1" t="s">
        <v>74</v>
      </c>
      <c r="D892" s="1" t="s">
        <v>74</v>
      </c>
      <c r="E892" s="1" t="s">
        <v>74</v>
      </c>
      <c r="F892" s="1" t="s">
        <v>8328</v>
      </c>
      <c r="G892" s="1" t="s">
        <v>74</v>
      </c>
      <c r="H892" s="1" t="s">
        <v>74</v>
      </c>
      <c r="I892" s="1" t="s">
        <v>8329</v>
      </c>
      <c r="J892" s="1" t="s">
        <v>8330</v>
      </c>
      <c r="K892" s="1" t="s">
        <v>74</v>
      </c>
      <c r="L892" s="1" t="s">
        <v>74</v>
      </c>
      <c r="M892" s="1" t="s">
        <v>74</v>
      </c>
      <c r="N892" s="1" t="s">
        <v>74</v>
      </c>
      <c r="O892" s="1" t="s">
        <v>74</v>
      </c>
      <c r="P892" s="1" t="s">
        <v>74</v>
      </c>
      <c r="Q892" s="1" t="s">
        <v>74</v>
      </c>
      <c r="R892" s="1" t="s">
        <v>74</v>
      </c>
      <c r="S892" s="1" t="s">
        <v>74</v>
      </c>
      <c r="T892" s="1" t="s">
        <v>74</v>
      </c>
      <c r="U892" s="1" t="s">
        <v>74</v>
      </c>
      <c r="V892" s="1" t="s">
        <v>8331</v>
      </c>
      <c r="W892" s="1" t="s">
        <v>74</v>
      </c>
      <c r="X892" s="1" t="s">
        <v>74</v>
      </c>
      <c r="Y892" s="1" t="s">
        <v>74</v>
      </c>
      <c r="Z892" s="1" t="s">
        <v>74</v>
      </c>
      <c r="AA892" s="1" t="s">
        <v>8332</v>
      </c>
      <c r="AB892" s="1" t="s">
        <v>8333</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8334</v>
      </c>
      <c r="AP892" s="1" t="s">
        <v>74</v>
      </c>
      <c r="AQ892" s="1" t="s">
        <v>74</v>
      </c>
      <c r="AR892" s="1" t="s">
        <v>74</v>
      </c>
      <c r="AS892" s="1" t="s">
        <v>74</v>
      </c>
      <c r="AT892" s="1" t="s">
        <v>417</v>
      </c>
      <c r="AU892" s="1">
        <v>2012.0</v>
      </c>
      <c r="AV892" s="1">
        <v>16.0</v>
      </c>
      <c r="AW892" s="1">
        <v>3.0</v>
      </c>
      <c r="AX892" s="1" t="s">
        <v>74</v>
      </c>
      <c r="AY892" s="1" t="s">
        <v>74</v>
      </c>
      <c r="AZ892" s="1" t="s">
        <v>74</v>
      </c>
      <c r="BA892" s="1" t="s">
        <v>74</v>
      </c>
      <c r="BB892" s="1">
        <v>273.0</v>
      </c>
      <c r="BC892" s="1">
        <v>278.0</v>
      </c>
      <c r="BD892" s="1" t="s">
        <v>74</v>
      </c>
      <c r="BE892" s="1" t="s">
        <v>8335</v>
      </c>
      <c r="BF892" s="2" t="str">
        <f>HYPERLINK("http://dx.doi.org/10.1016/S1413-8670(12)70323-9","http://dx.doi.org/10.1016/S1413-8670(12)70323-9")</f>
        <v>http://dx.doi.org/10.1016/S1413-8670(12)70323-9</v>
      </c>
      <c r="BG892" s="1" t="s">
        <v>74</v>
      </c>
      <c r="BH892" s="1" t="s">
        <v>74</v>
      </c>
      <c r="BI892" s="1" t="s">
        <v>74</v>
      </c>
      <c r="BJ892" s="1" t="s">
        <v>74</v>
      </c>
      <c r="BK892" s="1" t="s">
        <v>74</v>
      </c>
      <c r="BL892" s="1" t="s">
        <v>74</v>
      </c>
      <c r="BM892" s="1" t="s">
        <v>74</v>
      </c>
      <c r="BN892" s="1">
        <v>2.2729196E7</v>
      </c>
      <c r="BO892" s="1" t="s">
        <v>74</v>
      </c>
      <c r="BP892" s="1" t="s">
        <v>74</v>
      </c>
      <c r="BQ892" s="1" t="s">
        <v>74</v>
      </c>
      <c r="BR892" s="1" t="s">
        <v>74</v>
      </c>
      <c r="BS892" s="1" t="s">
        <v>8336</v>
      </c>
      <c r="BT892" s="1" t="str">
        <f>HYPERLINK("https%3A%2F%2Fwww.webofscience.com%2Fwos%2Fwoscc%2Ffull-record%2FWOS:000305258200010","View Full Record in Web of Science")</f>
        <v>View Full Record in Web of Science</v>
      </c>
    </row>
    <row r="893" ht="12.75" customHeight="1">
      <c r="A893" s="1" t="s">
        <v>72</v>
      </c>
      <c r="B893" s="1" t="s">
        <v>8337</v>
      </c>
      <c r="C893" s="1" t="s">
        <v>74</v>
      </c>
      <c r="D893" s="1" t="s">
        <v>74</v>
      </c>
      <c r="E893" s="1" t="s">
        <v>74</v>
      </c>
      <c r="F893" s="1" t="s">
        <v>8338</v>
      </c>
      <c r="G893" s="1" t="s">
        <v>74</v>
      </c>
      <c r="H893" s="1" t="s">
        <v>74</v>
      </c>
      <c r="I893" s="1" t="s">
        <v>8339</v>
      </c>
      <c r="J893" s="1" t="s">
        <v>8340</v>
      </c>
      <c r="K893" s="1" t="s">
        <v>74</v>
      </c>
      <c r="L893" s="1" t="s">
        <v>74</v>
      </c>
      <c r="M893" s="1" t="s">
        <v>74</v>
      </c>
      <c r="N893" s="1" t="s">
        <v>74</v>
      </c>
      <c r="O893" s="1" t="s">
        <v>74</v>
      </c>
      <c r="P893" s="1" t="s">
        <v>74</v>
      </c>
      <c r="Q893" s="1" t="s">
        <v>74</v>
      </c>
      <c r="R893" s="1" t="s">
        <v>74</v>
      </c>
      <c r="S893" s="1" t="s">
        <v>74</v>
      </c>
      <c r="T893" s="1" t="s">
        <v>74</v>
      </c>
      <c r="U893" s="1" t="s">
        <v>74</v>
      </c>
      <c r="V893" s="1" t="s">
        <v>8341</v>
      </c>
      <c r="W893" s="1" t="s">
        <v>74</v>
      </c>
      <c r="X893" s="1" t="s">
        <v>74</v>
      </c>
      <c r="Y893" s="1" t="s">
        <v>74</v>
      </c>
      <c r="Z893" s="1" t="s">
        <v>74</v>
      </c>
      <c r="AA893" s="1" t="s">
        <v>8342</v>
      </c>
      <c r="AB893" s="1" t="s">
        <v>8343</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8344</v>
      </c>
      <c r="AP893" s="1" t="s">
        <v>74</v>
      </c>
      <c r="AQ893" s="1" t="s">
        <v>74</v>
      </c>
      <c r="AR893" s="1" t="s">
        <v>74</v>
      </c>
      <c r="AS893" s="1" t="s">
        <v>74</v>
      </c>
      <c r="AT893" s="1" t="s">
        <v>95</v>
      </c>
      <c r="AU893" s="1">
        <v>2009.0</v>
      </c>
      <c r="AV893" s="1">
        <v>3.0</v>
      </c>
      <c r="AW893" s="1">
        <v>8.0</v>
      </c>
      <c r="AX893" s="1" t="s">
        <v>74</v>
      </c>
      <c r="AY893" s="1" t="s">
        <v>74</v>
      </c>
      <c r="AZ893" s="1" t="s">
        <v>74</v>
      </c>
      <c r="BA893" s="1" t="s">
        <v>74</v>
      </c>
      <c r="BB893" s="1">
        <v>1191.0</v>
      </c>
      <c r="BC893" s="1">
        <v>1198.0</v>
      </c>
      <c r="BD893" s="1" t="s">
        <v>74</v>
      </c>
      <c r="BE893" s="1" t="s">
        <v>8345</v>
      </c>
      <c r="BF893" s="2" t="str">
        <f>HYPERLINK("http://dx.doi.org/10.1049/iet-map.2008.0301","http://dx.doi.org/10.1049/iet-map.2008.0301")</f>
        <v>http://dx.doi.org/10.1049/iet-map.2008.0301</v>
      </c>
      <c r="BG893" s="1" t="s">
        <v>74</v>
      </c>
      <c r="BH893" s="1" t="s">
        <v>74</v>
      </c>
      <c r="BI893" s="1" t="s">
        <v>74</v>
      </c>
      <c r="BJ893" s="1" t="s">
        <v>74</v>
      </c>
      <c r="BK893" s="1" t="s">
        <v>74</v>
      </c>
      <c r="BL893" s="1" t="s">
        <v>74</v>
      </c>
      <c r="BM893" s="1" t="s">
        <v>74</v>
      </c>
      <c r="BN893" s="1" t="s">
        <v>74</v>
      </c>
      <c r="BO893" s="1" t="s">
        <v>74</v>
      </c>
      <c r="BP893" s="1" t="s">
        <v>74</v>
      </c>
      <c r="BQ893" s="1" t="s">
        <v>74</v>
      </c>
      <c r="BR893" s="1" t="s">
        <v>74</v>
      </c>
      <c r="BS893" s="1" t="s">
        <v>8346</v>
      </c>
      <c r="BT893" s="1" t="str">
        <f>HYPERLINK("https%3A%2F%2Fwww.webofscience.com%2Fwos%2Fwoscc%2Ffull-record%2FWOS:000273046400007","View Full Record in Web of Science")</f>
        <v>View Full Record in Web of Science</v>
      </c>
    </row>
    <row r="894" ht="12.75" customHeight="1">
      <c r="A894" s="1" t="s">
        <v>72</v>
      </c>
      <c r="B894" s="1" t="s">
        <v>8347</v>
      </c>
      <c r="C894" s="1" t="s">
        <v>74</v>
      </c>
      <c r="D894" s="1" t="s">
        <v>74</v>
      </c>
      <c r="E894" s="1" t="s">
        <v>74</v>
      </c>
      <c r="F894" s="1" t="s">
        <v>8348</v>
      </c>
      <c r="G894" s="1" t="s">
        <v>74</v>
      </c>
      <c r="H894" s="1" t="s">
        <v>74</v>
      </c>
      <c r="I894" s="1" t="s">
        <v>8349</v>
      </c>
      <c r="J894" s="1" t="s">
        <v>8350</v>
      </c>
      <c r="K894" s="1" t="s">
        <v>74</v>
      </c>
      <c r="L894" s="1" t="s">
        <v>74</v>
      </c>
      <c r="M894" s="1" t="s">
        <v>74</v>
      </c>
      <c r="N894" s="1" t="s">
        <v>74</v>
      </c>
      <c r="O894" s="1" t="s">
        <v>74</v>
      </c>
      <c r="P894" s="1" t="s">
        <v>74</v>
      </c>
      <c r="Q894" s="1" t="s">
        <v>74</v>
      </c>
      <c r="R894" s="1" t="s">
        <v>74</v>
      </c>
      <c r="S894" s="1" t="s">
        <v>74</v>
      </c>
      <c r="T894" s="1" t="s">
        <v>74</v>
      </c>
      <c r="U894" s="1" t="s">
        <v>74</v>
      </c>
      <c r="V894" s="1" t="s">
        <v>8351</v>
      </c>
      <c r="W894" s="1" t="s">
        <v>74</v>
      </c>
      <c r="X894" s="1" t="s">
        <v>74</v>
      </c>
      <c r="Y894" s="1" t="s">
        <v>74</v>
      </c>
      <c r="Z894" s="1" t="s">
        <v>74</v>
      </c>
      <c r="AA894" s="1" t="s">
        <v>8352</v>
      </c>
      <c r="AB894" s="1" t="s">
        <v>8353</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8354</v>
      </c>
      <c r="AP894" s="1" t="s">
        <v>8355</v>
      </c>
      <c r="AQ894" s="1" t="s">
        <v>74</v>
      </c>
      <c r="AR894" s="1" t="s">
        <v>74</v>
      </c>
      <c r="AS894" s="1" t="s">
        <v>74</v>
      </c>
      <c r="AT894" s="1" t="s">
        <v>1467</v>
      </c>
      <c r="AU894" s="1">
        <v>2009.0</v>
      </c>
      <c r="AV894" s="1">
        <v>694.0</v>
      </c>
      <c r="AW894" s="1">
        <v>23.0</v>
      </c>
      <c r="AX894" s="1" t="s">
        <v>74</v>
      </c>
      <c r="AY894" s="1" t="s">
        <v>74</v>
      </c>
      <c r="AZ894" s="1" t="s">
        <v>74</v>
      </c>
      <c r="BA894" s="1" t="s">
        <v>74</v>
      </c>
      <c r="BB894" s="1">
        <v>3781.0</v>
      </c>
      <c r="BC894" s="1">
        <v>3792.0</v>
      </c>
      <c r="BD894" s="1" t="s">
        <v>74</v>
      </c>
      <c r="BE894" s="1" t="s">
        <v>8356</v>
      </c>
      <c r="BF894" s="2" t="str">
        <f>HYPERLINK("http://dx.doi.org/10.1016/j.jorganchem.2009.07.028","http://dx.doi.org/10.1016/j.jorganchem.2009.07.028")</f>
        <v>http://dx.doi.org/10.1016/j.jorganchem.2009.07.028</v>
      </c>
      <c r="BG894" s="1" t="s">
        <v>74</v>
      </c>
      <c r="BH894" s="1" t="s">
        <v>74</v>
      </c>
      <c r="BI894" s="1" t="s">
        <v>74</v>
      </c>
      <c r="BJ894" s="1" t="s">
        <v>74</v>
      </c>
      <c r="BK894" s="1" t="s">
        <v>74</v>
      </c>
      <c r="BL894" s="1" t="s">
        <v>74</v>
      </c>
      <c r="BM894" s="1" t="s">
        <v>74</v>
      </c>
      <c r="BN894" s="1" t="s">
        <v>74</v>
      </c>
      <c r="BO894" s="1" t="s">
        <v>74</v>
      </c>
      <c r="BP894" s="1" t="s">
        <v>74</v>
      </c>
      <c r="BQ894" s="1" t="s">
        <v>74</v>
      </c>
      <c r="BR894" s="1" t="s">
        <v>74</v>
      </c>
      <c r="BS894" s="1" t="s">
        <v>8357</v>
      </c>
      <c r="BT894" s="1" t="str">
        <f>HYPERLINK("https%3A%2F%2Fwww.webofscience.com%2Fwos%2Fwoscc%2Ffull-record%2FWOS:000270369400015","View Full Record in Web of Science")</f>
        <v>View Full Record in Web of Science</v>
      </c>
    </row>
    <row r="895" ht="12.75" customHeight="1">
      <c r="A895" s="1" t="s">
        <v>72</v>
      </c>
      <c r="B895" s="1" t="s">
        <v>8358</v>
      </c>
      <c r="C895" s="1" t="s">
        <v>74</v>
      </c>
      <c r="D895" s="1" t="s">
        <v>74</v>
      </c>
      <c r="E895" s="1" t="s">
        <v>74</v>
      </c>
      <c r="F895" s="1" t="s">
        <v>8359</v>
      </c>
      <c r="G895" s="1" t="s">
        <v>74</v>
      </c>
      <c r="H895" s="1" t="s">
        <v>74</v>
      </c>
      <c r="I895" s="1" t="s">
        <v>8360</v>
      </c>
      <c r="J895" s="1" t="s">
        <v>8361</v>
      </c>
      <c r="K895" s="1" t="s">
        <v>74</v>
      </c>
      <c r="L895" s="1" t="s">
        <v>74</v>
      </c>
      <c r="M895" s="1" t="s">
        <v>74</v>
      </c>
      <c r="N895" s="1" t="s">
        <v>74</v>
      </c>
      <c r="O895" s="1" t="s">
        <v>74</v>
      </c>
      <c r="P895" s="1" t="s">
        <v>74</v>
      </c>
      <c r="Q895" s="1" t="s">
        <v>74</v>
      </c>
      <c r="R895" s="1" t="s">
        <v>74</v>
      </c>
      <c r="S895" s="1" t="s">
        <v>74</v>
      </c>
      <c r="T895" s="1" t="s">
        <v>74</v>
      </c>
      <c r="U895" s="1" t="s">
        <v>74</v>
      </c>
      <c r="V895" s="1" t="s">
        <v>8362</v>
      </c>
      <c r="W895" s="1" t="s">
        <v>74</v>
      </c>
      <c r="X895" s="1" t="s">
        <v>74</v>
      </c>
      <c r="Y895" s="1" t="s">
        <v>74</v>
      </c>
      <c r="Z895" s="1" t="s">
        <v>74</v>
      </c>
      <c r="AA895" s="1" t="s">
        <v>8363</v>
      </c>
      <c r="AB895" s="1" t="s">
        <v>8364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8365</v>
      </c>
      <c r="AP895" s="1" t="s">
        <v>8366</v>
      </c>
      <c r="AQ895" s="1" t="s">
        <v>74</v>
      </c>
      <c r="AR895" s="1" t="s">
        <v>74</v>
      </c>
      <c r="AS895" s="1" t="s">
        <v>74</v>
      </c>
      <c r="AT895" s="1" t="s">
        <v>83</v>
      </c>
      <c r="AU895" s="1">
        <v>2009.0</v>
      </c>
      <c r="AV895" s="1">
        <v>60.0</v>
      </c>
      <c r="AW895" s="1">
        <v>3.0</v>
      </c>
      <c r="AX895" s="1" t="s">
        <v>74</v>
      </c>
      <c r="AY895" s="1" t="s">
        <v>74</v>
      </c>
      <c r="AZ895" s="1" t="s">
        <v>74</v>
      </c>
      <c r="BA895" s="1" t="s">
        <v>74</v>
      </c>
      <c r="BB895" s="1">
        <v>853.0</v>
      </c>
      <c r="BC895" s="1">
        <v>867.0</v>
      </c>
      <c r="BD895" s="1" t="s">
        <v>74</v>
      </c>
      <c r="BE895" s="1" t="s">
        <v>8367</v>
      </c>
      <c r="BF895" s="2" t="str">
        <f>HYPERLINK("http://dx.doi.org/10.1093/jxb/ern336","http://dx.doi.org/10.1093/jxb/ern336")</f>
        <v>http://dx.doi.org/10.1093/jxb/ern336</v>
      </c>
      <c r="BG895" s="1" t="s">
        <v>74</v>
      </c>
      <c r="BH895" s="1" t="s">
        <v>74</v>
      </c>
      <c r="BI895" s="1" t="s">
        <v>74</v>
      </c>
      <c r="BJ895" s="1" t="s">
        <v>74</v>
      </c>
      <c r="BK895" s="1" t="s">
        <v>74</v>
      </c>
      <c r="BL895" s="1" t="s">
        <v>74</v>
      </c>
      <c r="BM895" s="1" t="s">
        <v>74</v>
      </c>
      <c r="BN895" s="1">
        <v>1.9129169E7</v>
      </c>
      <c r="BO895" s="1" t="s">
        <v>74</v>
      </c>
      <c r="BP895" s="1" t="s">
        <v>74</v>
      </c>
      <c r="BQ895" s="1" t="s">
        <v>74</v>
      </c>
      <c r="BR895" s="1" t="s">
        <v>74</v>
      </c>
      <c r="BS895" s="1" t="s">
        <v>8368</v>
      </c>
      <c r="BT895" s="1" t="str">
        <f>HYPERLINK("https%3A%2F%2Fwww.webofscience.com%2Fwos%2Fwoscc%2Ffull-record%2FWOS:000264189900015","View Full Record in Web of Science")</f>
        <v>View Full Record in Web of Science</v>
      </c>
    </row>
    <row r="896" ht="12.75" customHeight="1">
      <c r="A896" s="1" t="s">
        <v>72</v>
      </c>
      <c r="B896" s="1" t="s">
        <v>8369</v>
      </c>
      <c r="C896" s="1" t="s">
        <v>74</v>
      </c>
      <c r="D896" s="1" t="s">
        <v>74</v>
      </c>
      <c r="E896" s="1" t="s">
        <v>74</v>
      </c>
      <c r="F896" s="1" t="s">
        <v>8370</v>
      </c>
      <c r="G896" s="1" t="s">
        <v>74</v>
      </c>
      <c r="H896" s="1" t="s">
        <v>74</v>
      </c>
      <c r="I896" s="1" t="s">
        <v>8371</v>
      </c>
      <c r="J896" s="1" t="s">
        <v>8372</v>
      </c>
      <c r="K896" s="1" t="s">
        <v>74</v>
      </c>
      <c r="L896" s="1" t="s">
        <v>74</v>
      </c>
      <c r="M896" s="1" t="s">
        <v>74</v>
      </c>
      <c r="N896" s="1" t="s">
        <v>74</v>
      </c>
      <c r="O896" s="1" t="s">
        <v>74</v>
      </c>
      <c r="P896" s="1" t="s">
        <v>74</v>
      </c>
      <c r="Q896" s="1" t="s">
        <v>74</v>
      </c>
      <c r="R896" s="1" t="s">
        <v>74</v>
      </c>
      <c r="S896" s="1" t="s">
        <v>74</v>
      </c>
      <c r="T896" s="1" t="s">
        <v>74</v>
      </c>
      <c r="U896" s="1" t="s">
        <v>74</v>
      </c>
      <c r="V896" s="1" t="s">
        <v>8373</v>
      </c>
      <c r="W896" s="1" t="s">
        <v>74</v>
      </c>
      <c r="X896" s="1" t="s">
        <v>74</v>
      </c>
      <c r="Y896" s="1" t="s">
        <v>74</v>
      </c>
      <c r="Z896" s="1" t="s">
        <v>74</v>
      </c>
      <c r="AA896" s="1" t="s">
        <v>8374</v>
      </c>
      <c r="AB896" s="1" t="s">
        <v>8375</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8376</v>
      </c>
      <c r="AP896" s="1" t="s">
        <v>8377</v>
      </c>
      <c r="AQ896" s="1" t="s">
        <v>74</v>
      </c>
      <c r="AR896" s="1" t="s">
        <v>74</v>
      </c>
      <c r="AS896" s="1" t="s">
        <v>74</v>
      </c>
      <c r="AT896" s="1" t="s">
        <v>74</v>
      </c>
      <c r="AU896" s="1">
        <v>2009.0</v>
      </c>
      <c r="AV896" s="1">
        <v>8.0</v>
      </c>
      <c r="AW896" s="1">
        <v>7.0</v>
      </c>
      <c r="AX896" s="1" t="s">
        <v>74</v>
      </c>
      <c r="AY896" s="1" t="s">
        <v>74</v>
      </c>
      <c r="AZ896" s="1" t="s">
        <v>74</v>
      </c>
      <c r="BA896" s="1" t="s">
        <v>74</v>
      </c>
      <c r="BB896" s="1">
        <v>933.0</v>
      </c>
      <c r="BC896" s="1">
        <v>943.0</v>
      </c>
      <c r="BD896" s="1" t="s">
        <v>74</v>
      </c>
      <c r="BE896" s="1" t="s">
        <v>8378</v>
      </c>
      <c r="BF896" s="2" t="str">
        <f>HYPERLINK("http://dx.doi.org/10.1039/b901056d","http://dx.doi.org/10.1039/b901056d")</f>
        <v>http://dx.doi.org/10.1039/b901056d</v>
      </c>
      <c r="BG896" s="1" t="s">
        <v>74</v>
      </c>
      <c r="BH896" s="1" t="s">
        <v>74</v>
      </c>
      <c r="BI896" s="1" t="s">
        <v>74</v>
      </c>
      <c r="BJ896" s="1" t="s">
        <v>74</v>
      </c>
      <c r="BK896" s="1" t="s">
        <v>74</v>
      </c>
      <c r="BL896" s="1" t="s">
        <v>74</v>
      </c>
      <c r="BM896" s="1" t="s">
        <v>74</v>
      </c>
      <c r="BN896" s="1">
        <v>1.9582268E7</v>
      </c>
      <c r="BO896" s="1" t="s">
        <v>74</v>
      </c>
      <c r="BP896" s="1" t="s">
        <v>74</v>
      </c>
      <c r="BQ896" s="1" t="s">
        <v>74</v>
      </c>
      <c r="BR896" s="1" t="s">
        <v>74</v>
      </c>
      <c r="BS896" s="1" t="s">
        <v>8379</v>
      </c>
      <c r="BT896" s="1" t="str">
        <f>HYPERLINK("https%3A%2F%2Fwww.webofscience.com%2Fwos%2Fwoscc%2Ffull-record%2FWOS:000267728600006","View Full Record in Web of Science")</f>
        <v>View Full Record in Web of Science</v>
      </c>
    </row>
    <row r="897" ht="12.75" customHeight="1">
      <c r="A897" s="1" t="s">
        <v>72</v>
      </c>
      <c r="B897" s="1" t="s">
        <v>8380</v>
      </c>
      <c r="C897" s="1" t="s">
        <v>74</v>
      </c>
      <c r="D897" s="1" t="s">
        <v>74</v>
      </c>
      <c r="E897" s="1" t="s">
        <v>74</v>
      </c>
      <c r="F897" s="1" t="s">
        <v>8381</v>
      </c>
      <c r="G897" s="1" t="s">
        <v>74</v>
      </c>
      <c r="H897" s="1" t="s">
        <v>74</v>
      </c>
      <c r="I897" s="1" t="s">
        <v>8382</v>
      </c>
      <c r="J897" s="1" t="s">
        <v>2026</v>
      </c>
      <c r="K897" s="1" t="s">
        <v>74</v>
      </c>
      <c r="L897" s="1" t="s">
        <v>74</v>
      </c>
      <c r="M897" s="1" t="s">
        <v>74</v>
      </c>
      <c r="N897" s="1" t="s">
        <v>74</v>
      </c>
      <c r="O897" s="1" t="s">
        <v>74</v>
      </c>
      <c r="P897" s="1" t="s">
        <v>74</v>
      </c>
      <c r="Q897" s="1" t="s">
        <v>74</v>
      </c>
      <c r="R897" s="1" t="s">
        <v>74</v>
      </c>
      <c r="S897" s="1" t="s">
        <v>74</v>
      </c>
      <c r="T897" s="1" t="s">
        <v>74</v>
      </c>
      <c r="U897" s="1" t="s">
        <v>74</v>
      </c>
      <c r="V897" s="1" t="s">
        <v>8383</v>
      </c>
      <c r="W897" s="1" t="s">
        <v>74</v>
      </c>
      <c r="X897" s="1" t="s">
        <v>74</v>
      </c>
      <c r="Y897" s="1" t="s">
        <v>74</v>
      </c>
      <c r="Z897" s="1" t="s">
        <v>74</v>
      </c>
      <c r="AA897" s="1" t="s">
        <v>74</v>
      </c>
      <c r="AB897" s="1" t="s">
        <v>8384</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2028</v>
      </c>
      <c r="AP897" s="1" t="s">
        <v>4880</v>
      </c>
      <c r="AQ897" s="1" t="s">
        <v>74</v>
      </c>
      <c r="AR897" s="1" t="s">
        <v>74</v>
      </c>
      <c r="AS897" s="1" t="s">
        <v>74</v>
      </c>
      <c r="AT897" s="1" t="s">
        <v>1679</v>
      </c>
      <c r="AU897" s="1">
        <v>2008.0</v>
      </c>
      <c r="AV897" s="1">
        <v>90.0</v>
      </c>
      <c r="AW897" s="1" t="s">
        <v>6433</v>
      </c>
      <c r="AX897" s="1" t="s">
        <v>74</v>
      </c>
      <c r="AY897" s="1" t="s">
        <v>74</v>
      </c>
      <c r="AZ897" s="1" t="s">
        <v>74</v>
      </c>
      <c r="BA897" s="1" t="s">
        <v>74</v>
      </c>
      <c r="BB897" s="1">
        <v>1685.0</v>
      </c>
      <c r="BC897" s="1">
        <v>1692.0</v>
      </c>
      <c r="BD897" s="1" t="s">
        <v>74</v>
      </c>
      <c r="BE897" s="1" t="s">
        <v>8385</v>
      </c>
      <c r="BF897" s="2" t="str">
        <f>HYPERLINK("http://dx.doi.org/10.1016/j.biochi.2008.07.002","http://dx.doi.org/10.1016/j.biochi.2008.07.002")</f>
        <v>http://dx.doi.org/10.1016/j.biochi.2008.07.002</v>
      </c>
      <c r="BG897" s="1" t="s">
        <v>74</v>
      </c>
      <c r="BH897" s="1" t="s">
        <v>74</v>
      </c>
      <c r="BI897" s="1" t="s">
        <v>74</v>
      </c>
      <c r="BJ897" s="1" t="s">
        <v>74</v>
      </c>
      <c r="BK897" s="1" t="s">
        <v>74</v>
      </c>
      <c r="BL897" s="1" t="s">
        <v>74</v>
      </c>
      <c r="BM897" s="1" t="s">
        <v>74</v>
      </c>
      <c r="BN897" s="1">
        <v>1.8675879E7</v>
      </c>
      <c r="BO897" s="1" t="s">
        <v>74</v>
      </c>
      <c r="BP897" s="1" t="s">
        <v>74</v>
      </c>
      <c r="BQ897" s="1" t="s">
        <v>74</v>
      </c>
      <c r="BR897" s="1" t="s">
        <v>74</v>
      </c>
      <c r="BS897" s="1" t="s">
        <v>8386</v>
      </c>
      <c r="BT897" s="1" t="str">
        <f>HYPERLINK("https%3A%2F%2Fwww.webofscience.com%2Fwos%2Fwoscc%2Ffull-record%2FWOS:000261567400009","View Full Record in Web of Science")</f>
        <v>View Full Record in Web of Science</v>
      </c>
    </row>
    <row r="898" ht="12.75" customHeight="1">
      <c r="A898" s="1" t="s">
        <v>72</v>
      </c>
      <c r="B898" s="1" t="s">
        <v>8387</v>
      </c>
      <c r="C898" s="1" t="s">
        <v>74</v>
      </c>
      <c r="D898" s="1" t="s">
        <v>74</v>
      </c>
      <c r="E898" s="1" t="s">
        <v>74</v>
      </c>
      <c r="F898" s="1" t="s">
        <v>8388</v>
      </c>
      <c r="G898" s="1" t="s">
        <v>74</v>
      </c>
      <c r="H898" s="1" t="s">
        <v>74</v>
      </c>
      <c r="I898" s="1" t="s">
        <v>8389</v>
      </c>
      <c r="J898" s="1" t="s">
        <v>1376</v>
      </c>
      <c r="K898" s="1" t="s">
        <v>74</v>
      </c>
      <c r="L898" s="1" t="s">
        <v>74</v>
      </c>
      <c r="M898" s="1" t="s">
        <v>74</v>
      </c>
      <c r="N898" s="1" t="s">
        <v>74</v>
      </c>
      <c r="O898" s="1" t="s">
        <v>74</v>
      </c>
      <c r="P898" s="1" t="s">
        <v>74</v>
      </c>
      <c r="Q898" s="1" t="s">
        <v>74</v>
      </c>
      <c r="R898" s="1" t="s">
        <v>74</v>
      </c>
      <c r="S898" s="1" t="s">
        <v>74</v>
      </c>
      <c r="T898" s="1" t="s">
        <v>74</v>
      </c>
      <c r="U898" s="1" t="s">
        <v>74</v>
      </c>
      <c r="V898" s="1" t="s">
        <v>8390</v>
      </c>
      <c r="W898" s="1" t="s">
        <v>74</v>
      </c>
      <c r="X898" s="1" t="s">
        <v>74</v>
      </c>
      <c r="Y898" s="1" t="s">
        <v>74</v>
      </c>
      <c r="Z898" s="1" t="s">
        <v>74</v>
      </c>
      <c r="AA898" s="1" t="s">
        <v>8391</v>
      </c>
      <c r="AB898" s="1" t="s">
        <v>8353</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1380</v>
      </c>
      <c r="AP898" s="1" t="s">
        <v>74</v>
      </c>
      <c r="AQ898" s="1" t="s">
        <v>74</v>
      </c>
      <c r="AR898" s="1" t="s">
        <v>74</v>
      </c>
      <c r="AS898" s="1" t="s">
        <v>74</v>
      </c>
      <c r="AT898" s="1" t="s">
        <v>8392</v>
      </c>
      <c r="AU898" s="1">
        <v>2008.0</v>
      </c>
      <c r="AV898" s="1">
        <v>112.0</v>
      </c>
      <c r="AW898" s="1">
        <v>35.0</v>
      </c>
      <c r="AX898" s="1" t="s">
        <v>74</v>
      </c>
      <c r="AY898" s="1" t="s">
        <v>74</v>
      </c>
      <c r="AZ898" s="1" t="s">
        <v>74</v>
      </c>
      <c r="BA898" s="1" t="s">
        <v>74</v>
      </c>
      <c r="BB898" s="1">
        <v>8100.0</v>
      </c>
      <c r="BC898" s="1">
        <v>8106.0</v>
      </c>
      <c r="BD898" s="1" t="s">
        <v>74</v>
      </c>
      <c r="BE898" s="1" t="s">
        <v>8393</v>
      </c>
      <c r="BF898" s="2" t="str">
        <f>HYPERLINK("http://dx.doi.org/10.1021/jp801368c","http://dx.doi.org/10.1021/jp801368c")</f>
        <v>http://dx.doi.org/10.1021/jp801368c</v>
      </c>
      <c r="BG898" s="1" t="s">
        <v>74</v>
      </c>
      <c r="BH898" s="1" t="s">
        <v>74</v>
      </c>
      <c r="BI898" s="1" t="s">
        <v>74</v>
      </c>
      <c r="BJ898" s="1" t="s">
        <v>74</v>
      </c>
      <c r="BK898" s="1" t="s">
        <v>74</v>
      </c>
      <c r="BL898" s="1" t="s">
        <v>74</v>
      </c>
      <c r="BM898" s="1" t="s">
        <v>74</v>
      </c>
      <c r="BN898" s="1">
        <v>1.8693712E7</v>
      </c>
      <c r="BO898" s="1" t="s">
        <v>74</v>
      </c>
      <c r="BP898" s="1" t="s">
        <v>74</v>
      </c>
      <c r="BQ898" s="1" t="s">
        <v>74</v>
      </c>
      <c r="BR898" s="1" t="s">
        <v>74</v>
      </c>
      <c r="BS898" s="1" t="s">
        <v>8394</v>
      </c>
      <c r="BT898" s="1" t="str">
        <f>HYPERLINK("https%3A%2F%2Fwww.webofscience.com%2Fwos%2Fwoscc%2Ffull-record%2FWOS:000258800400014","View Full Record in Web of Science")</f>
        <v>View Full Record in Web of Science</v>
      </c>
    </row>
    <row r="899" ht="12.75" customHeight="1">
      <c r="A899" s="1" t="s">
        <v>72</v>
      </c>
      <c r="B899" s="1" t="s">
        <v>8395</v>
      </c>
      <c r="C899" s="1" t="s">
        <v>74</v>
      </c>
      <c r="D899" s="1" t="s">
        <v>74</v>
      </c>
      <c r="E899" s="1" t="s">
        <v>74</v>
      </c>
      <c r="F899" s="1" t="s">
        <v>8396</v>
      </c>
      <c r="G899" s="1" t="s">
        <v>74</v>
      </c>
      <c r="H899" s="1" t="s">
        <v>74</v>
      </c>
      <c r="I899" s="1" t="s">
        <v>8397</v>
      </c>
      <c r="J899" s="1" t="s">
        <v>8398</v>
      </c>
      <c r="K899" s="1" t="s">
        <v>74</v>
      </c>
      <c r="L899" s="1" t="s">
        <v>74</v>
      </c>
      <c r="M899" s="1" t="s">
        <v>74</v>
      </c>
      <c r="N899" s="1" t="s">
        <v>74</v>
      </c>
      <c r="O899" s="1" t="s">
        <v>74</v>
      </c>
      <c r="P899" s="1" t="s">
        <v>74</v>
      </c>
      <c r="Q899" s="1" t="s">
        <v>74</v>
      </c>
      <c r="R899" s="1" t="s">
        <v>74</v>
      </c>
      <c r="S899" s="1" t="s">
        <v>74</v>
      </c>
      <c r="T899" s="1" t="s">
        <v>74</v>
      </c>
      <c r="U899" s="1" t="s">
        <v>74</v>
      </c>
      <c r="V899" s="1" t="s">
        <v>8399</v>
      </c>
      <c r="W899" s="1" t="s">
        <v>74</v>
      </c>
      <c r="X899" s="1" t="s">
        <v>74</v>
      </c>
      <c r="Y899" s="1" t="s">
        <v>74</v>
      </c>
      <c r="Z899" s="1" t="s">
        <v>74</v>
      </c>
      <c r="AA899" s="1" t="s">
        <v>8400</v>
      </c>
      <c r="AB899" s="1" t="s">
        <v>8401</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8402</v>
      </c>
      <c r="AP899" s="1" t="s">
        <v>8403</v>
      </c>
      <c r="AQ899" s="1" t="s">
        <v>74</v>
      </c>
      <c r="AR899" s="1" t="s">
        <v>74</v>
      </c>
      <c r="AS899" s="1" t="s">
        <v>74</v>
      </c>
      <c r="AT899" s="1" t="s">
        <v>485</v>
      </c>
      <c r="AU899" s="1">
        <v>2008.0</v>
      </c>
      <c r="AV899" s="1">
        <v>20.0</v>
      </c>
      <c r="AW899" s="1" t="s">
        <v>8404</v>
      </c>
      <c r="AX899" s="1" t="s">
        <v>74</v>
      </c>
      <c r="AY899" s="1" t="s">
        <v>74</v>
      </c>
      <c r="AZ899" s="1" t="s">
        <v>74</v>
      </c>
      <c r="BA899" s="1" t="s">
        <v>74</v>
      </c>
      <c r="BB899" s="1">
        <v>327.0</v>
      </c>
      <c r="BC899" s="1">
        <v>329.0</v>
      </c>
      <c r="BD899" s="1" t="s">
        <v>74</v>
      </c>
      <c r="BE899" s="1" t="s">
        <v>8405</v>
      </c>
      <c r="BF899" s="2" t="str">
        <f>HYPERLINK("http://dx.doi.org/10.1109/LPT.2007.915643","http://dx.doi.org/10.1109/LPT.2007.915643")</f>
        <v>http://dx.doi.org/10.1109/LPT.2007.915643</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8406</v>
      </c>
      <c r="BT899" s="1" t="str">
        <f>HYPERLINK("https%3A%2F%2Fwww.webofscience.com%2Fwos%2Fwoscc%2Ffull-record%2FWOS:000257952800001","View Full Record in Web of Science")</f>
        <v>View Full Record in Web of Science</v>
      </c>
    </row>
    <row r="900" ht="12.75" customHeight="1">
      <c r="A900" s="1" t="s">
        <v>72</v>
      </c>
      <c r="B900" s="1" t="s">
        <v>8407</v>
      </c>
      <c r="C900" s="1" t="s">
        <v>74</v>
      </c>
      <c r="D900" s="1" t="s">
        <v>74</v>
      </c>
      <c r="E900" s="1" t="s">
        <v>74</v>
      </c>
      <c r="F900" s="1" t="s">
        <v>8407</v>
      </c>
      <c r="G900" s="1" t="s">
        <v>74</v>
      </c>
      <c r="H900" s="1" t="s">
        <v>74</v>
      </c>
      <c r="I900" s="1" t="s">
        <v>8408</v>
      </c>
      <c r="J900" s="1" t="s">
        <v>2011</v>
      </c>
      <c r="K900" s="1" t="s">
        <v>74</v>
      </c>
      <c r="L900" s="1" t="s">
        <v>74</v>
      </c>
      <c r="M900" s="1" t="s">
        <v>74</v>
      </c>
      <c r="N900" s="1" t="s">
        <v>74</v>
      </c>
      <c r="O900" s="1" t="s">
        <v>74</v>
      </c>
      <c r="P900" s="1" t="s">
        <v>74</v>
      </c>
      <c r="Q900" s="1" t="s">
        <v>74</v>
      </c>
      <c r="R900" s="1" t="s">
        <v>74</v>
      </c>
      <c r="S900" s="1" t="s">
        <v>74</v>
      </c>
      <c r="T900" s="1" t="s">
        <v>74</v>
      </c>
      <c r="U900" s="1" t="s">
        <v>74</v>
      </c>
      <c r="V900" s="1" t="s">
        <v>8409</v>
      </c>
      <c r="W900" s="1" t="s">
        <v>74</v>
      </c>
      <c r="X900" s="1" t="s">
        <v>74</v>
      </c>
      <c r="Y900" s="1" t="s">
        <v>74</v>
      </c>
      <c r="Z900" s="1" t="s">
        <v>74</v>
      </c>
      <c r="AA900" s="1" t="s">
        <v>8410</v>
      </c>
      <c r="AB900" s="1" t="s">
        <v>8411</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2013</v>
      </c>
      <c r="AP900" s="1" t="s">
        <v>2014</v>
      </c>
      <c r="AQ900" s="1" t="s">
        <v>74</v>
      </c>
      <c r="AR900" s="1" t="s">
        <v>74</v>
      </c>
      <c r="AS900" s="1" t="s">
        <v>74</v>
      </c>
      <c r="AT900" s="1" t="s">
        <v>596</v>
      </c>
      <c r="AU900" s="1">
        <v>2005.0</v>
      </c>
      <c r="AV900" s="1">
        <v>72.0</v>
      </c>
      <c r="AW900" s="1">
        <v>10.0</v>
      </c>
      <c r="AX900" s="1" t="s">
        <v>74</v>
      </c>
      <c r="AY900" s="1" t="s">
        <v>74</v>
      </c>
      <c r="AZ900" s="1" t="s">
        <v>74</v>
      </c>
      <c r="BA900" s="1" t="s">
        <v>74</v>
      </c>
      <c r="BB900" s="1" t="s">
        <v>74</v>
      </c>
      <c r="BC900" s="1" t="s">
        <v>74</v>
      </c>
      <c r="BD900" s="1">
        <v>107702.0</v>
      </c>
      <c r="BE900" s="1" t="s">
        <v>8412</v>
      </c>
      <c r="BF900" s="2" t="str">
        <f>HYPERLINK("http://dx.doi.org/10.1103/PhysRevD.72.107702","http://dx.doi.org/10.1103/PhysRevD.72.107702")</f>
        <v>http://dx.doi.org/10.1103/PhysRevD.72.107702</v>
      </c>
      <c r="BG900" s="1" t="s">
        <v>74</v>
      </c>
      <c r="BH900" s="1" t="s">
        <v>74</v>
      </c>
      <c r="BI900" s="1" t="s">
        <v>74</v>
      </c>
      <c r="BJ900" s="1" t="s">
        <v>74</v>
      </c>
      <c r="BK900" s="1" t="s">
        <v>74</v>
      </c>
      <c r="BL900" s="1" t="s">
        <v>74</v>
      </c>
      <c r="BM900" s="1" t="s">
        <v>74</v>
      </c>
      <c r="BN900" s="1" t="s">
        <v>74</v>
      </c>
      <c r="BO900" s="1" t="s">
        <v>74</v>
      </c>
      <c r="BP900" s="1" t="s">
        <v>74</v>
      </c>
      <c r="BQ900" s="1" t="s">
        <v>74</v>
      </c>
      <c r="BR900" s="1" t="s">
        <v>74</v>
      </c>
      <c r="BS900" s="1" t="s">
        <v>8413</v>
      </c>
      <c r="BT900" s="1" t="str">
        <f>HYPERLINK("https%3A%2F%2Fwww.webofscience.com%2Fwos%2Fwoscc%2Ffull-record%2FWOS:000233608800099","View Full Record in Web of Science")</f>
        <v>View Full Record in Web of Science</v>
      </c>
    </row>
    <row r="901" ht="12.75" customHeight="1">
      <c r="A901" s="1" t="s">
        <v>72</v>
      </c>
      <c r="B901" s="1" t="s">
        <v>8414</v>
      </c>
      <c r="C901" s="1" t="s">
        <v>74</v>
      </c>
      <c r="D901" s="1" t="s">
        <v>74</v>
      </c>
      <c r="E901" s="1" t="s">
        <v>74</v>
      </c>
      <c r="F901" s="1" t="s">
        <v>8414</v>
      </c>
      <c r="G901" s="1" t="s">
        <v>74</v>
      </c>
      <c r="H901" s="1" t="s">
        <v>74</v>
      </c>
      <c r="I901" s="1" t="s">
        <v>8415</v>
      </c>
      <c r="J901" s="1" t="s">
        <v>664</v>
      </c>
      <c r="K901" s="1" t="s">
        <v>74</v>
      </c>
      <c r="L901" s="1" t="s">
        <v>74</v>
      </c>
      <c r="M901" s="1" t="s">
        <v>74</v>
      </c>
      <c r="N901" s="1" t="s">
        <v>74</v>
      </c>
      <c r="O901" s="1" t="s">
        <v>74</v>
      </c>
      <c r="P901" s="1" t="s">
        <v>74</v>
      </c>
      <c r="Q901" s="1" t="s">
        <v>74</v>
      </c>
      <c r="R901" s="1" t="s">
        <v>74</v>
      </c>
      <c r="S901" s="1" t="s">
        <v>74</v>
      </c>
      <c r="T901" s="1" t="s">
        <v>74</v>
      </c>
      <c r="U901" s="1" t="s">
        <v>74</v>
      </c>
      <c r="V901" s="1" t="s">
        <v>8416</v>
      </c>
      <c r="W901" s="1" t="s">
        <v>74</v>
      </c>
      <c r="X901" s="1" t="s">
        <v>74</v>
      </c>
      <c r="Y901" s="1" t="s">
        <v>74</v>
      </c>
      <c r="Z901" s="1" t="s">
        <v>74</v>
      </c>
      <c r="AA901" s="1" t="s">
        <v>8417</v>
      </c>
      <c r="AB901" s="1" t="s">
        <v>8418</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2531</v>
      </c>
      <c r="AP901" s="1" t="s">
        <v>2532</v>
      </c>
      <c r="AQ901" s="1" t="s">
        <v>74</v>
      </c>
      <c r="AR901" s="1" t="s">
        <v>74</v>
      </c>
      <c r="AS901" s="1" t="s">
        <v>74</v>
      </c>
      <c r="AT901" s="1" t="s">
        <v>164</v>
      </c>
      <c r="AU901" s="1">
        <v>2002.0</v>
      </c>
      <c r="AV901" s="1">
        <v>66.0</v>
      </c>
      <c r="AW901" s="1">
        <v>1.0</v>
      </c>
      <c r="AX901" s="1" t="s">
        <v>74</v>
      </c>
      <c r="AY901" s="1" t="s">
        <v>74</v>
      </c>
      <c r="AZ901" s="1" t="s">
        <v>74</v>
      </c>
      <c r="BA901" s="1" t="s">
        <v>74</v>
      </c>
      <c r="BB901" s="1" t="s">
        <v>74</v>
      </c>
      <c r="BC901" s="1" t="s">
        <v>74</v>
      </c>
      <c r="BD901" s="1">
        <v>12103.0</v>
      </c>
      <c r="BE901" s="1" t="s">
        <v>8419</v>
      </c>
      <c r="BF901" s="2" t="str">
        <f>HYPERLINK("http://dx.doi.org/10.1103/PhysRevA.66.012103","http://dx.doi.org/10.1103/PhysRevA.66.012103")</f>
        <v>http://dx.doi.org/10.1103/PhysRevA.66.012103</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8420</v>
      </c>
      <c r="BT901" s="1" t="str">
        <f>HYPERLINK("https%3A%2F%2Fwww.webofscience.com%2Fwos%2Fwoscc%2Ffull-record%2FWOS:000177200800016","View Full Record in Web of Science")</f>
        <v>View Full Record in Web of Science</v>
      </c>
    </row>
    <row r="902" ht="12.75" customHeight="1">
      <c r="A902" s="1" t="s">
        <v>72</v>
      </c>
      <c r="B902" s="1" t="s">
        <v>8421</v>
      </c>
      <c r="C902" s="1" t="s">
        <v>74</v>
      </c>
      <c r="D902" s="1" t="s">
        <v>74</v>
      </c>
      <c r="E902" s="1" t="s">
        <v>74</v>
      </c>
      <c r="F902" s="1" t="s">
        <v>8421</v>
      </c>
      <c r="G902" s="1" t="s">
        <v>74</v>
      </c>
      <c r="H902" s="1" t="s">
        <v>74</v>
      </c>
      <c r="I902" s="1" t="s">
        <v>8422</v>
      </c>
      <c r="J902" s="1" t="s">
        <v>8423</v>
      </c>
      <c r="K902" s="1" t="s">
        <v>74</v>
      </c>
      <c r="L902" s="1" t="s">
        <v>74</v>
      </c>
      <c r="M902" s="1" t="s">
        <v>74</v>
      </c>
      <c r="N902" s="1" t="s">
        <v>74</v>
      </c>
      <c r="O902" s="1" t="s">
        <v>8424</v>
      </c>
      <c r="P902" s="1" t="s">
        <v>8425</v>
      </c>
      <c r="Q902" s="1" t="s">
        <v>8426</v>
      </c>
      <c r="R902" s="1" t="s">
        <v>74</v>
      </c>
      <c r="S902" s="1" t="s">
        <v>74</v>
      </c>
      <c r="T902" s="1" t="s">
        <v>74</v>
      </c>
      <c r="U902" s="1" t="s">
        <v>74</v>
      </c>
      <c r="V902" s="1" t="s">
        <v>8427</v>
      </c>
      <c r="W902" s="1" t="s">
        <v>74</v>
      </c>
      <c r="X902" s="1" t="s">
        <v>74</v>
      </c>
      <c r="Y902" s="1" t="s">
        <v>74</v>
      </c>
      <c r="Z902" s="1" t="s">
        <v>74</v>
      </c>
      <c r="AA902" s="1" t="s">
        <v>8428</v>
      </c>
      <c r="AB902" s="1" t="s">
        <v>8429</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8430</v>
      </c>
      <c r="AP902" s="1" t="s">
        <v>74</v>
      </c>
      <c r="AQ902" s="1" t="s">
        <v>74</v>
      </c>
      <c r="AR902" s="1" t="s">
        <v>74</v>
      </c>
      <c r="AS902" s="1" t="s">
        <v>74</v>
      </c>
      <c r="AT902" s="1" t="s">
        <v>107</v>
      </c>
      <c r="AU902" s="1">
        <v>1999.0</v>
      </c>
      <c r="AV902" s="1">
        <v>101.0</v>
      </c>
      <c r="AW902" s="1" t="s">
        <v>3424</v>
      </c>
      <c r="AX902" s="1" t="s">
        <v>74</v>
      </c>
      <c r="AY902" s="1" t="s">
        <v>74</v>
      </c>
      <c r="AZ902" s="1" t="s">
        <v>74</v>
      </c>
      <c r="BA902" s="1" t="s">
        <v>74</v>
      </c>
      <c r="BB902" s="1">
        <v>646.0</v>
      </c>
      <c r="BC902" s="1">
        <v>646.0</v>
      </c>
      <c r="BD902" s="1" t="s">
        <v>74</v>
      </c>
      <c r="BE902" s="1" t="s">
        <v>8431</v>
      </c>
      <c r="BF902" s="2" t="str">
        <f>HYPERLINK("http://dx.doi.org/10.1016/S0379-6779(98)01141-2","http://dx.doi.org/10.1016/S0379-6779(98)01141-2")</f>
        <v>http://dx.doi.org/10.1016/S0379-6779(98)01141-2</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8432</v>
      </c>
      <c r="BT902" s="1" t="str">
        <f>HYPERLINK("https%3A%2F%2Fwww.webofscience.com%2Fwos%2Fwoscc%2Ffull-record%2FWOS:000081101300310","View Full Record in Web of Science")</f>
        <v>View Full Record in Web of Science</v>
      </c>
    </row>
    <row r="903" ht="12.75" customHeight="1">
      <c r="A903" s="1" t="s">
        <v>72</v>
      </c>
      <c r="B903" s="1" t="s">
        <v>8433</v>
      </c>
      <c r="C903" s="1" t="s">
        <v>74</v>
      </c>
      <c r="D903" s="1" t="s">
        <v>74</v>
      </c>
      <c r="E903" s="1" t="s">
        <v>74</v>
      </c>
      <c r="F903" s="1" t="s">
        <v>8433</v>
      </c>
      <c r="G903" s="1" t="s">
        <v>74</v>
      </c>
      <c r="H903" s="1" t="s">
        <v>74</v>
      </c>
      <c r="I903" s="1" t="s">
        <v>8434</v>
      </c>
      <c r="J903" s="1" t="s">
        <v>453</v>
      </c>
      <c r="K903" s="1" t="s">
        <v>74</v>
      </c>
      <c r="L903" s="1" t="s">
        <v>74</v>
      </c>
      <c r="M903" s="1" t="s">
        <v>74</v>
      </c>
      <c r="N903" s="1" t="s">
        <v>74</v>
      </c>
      <c r="O903" s="1" t="s">
        <v>74</v>
      </c>
      <c r="P903" s="1" t="s">
        <v>74</v>
      </c>
      <c r="Q903" s="1" t="s">
        <v>74</v>
      </c>
      <c r="R903" s="1" t="s">
        <v>74</v>
      </c>
      <c r="S903" s="1" t="s">
        <v>74</v>
      </c>
      <c r="T903" s="1" t="s">
        <v>74</v>
      </c>
      <c r="U903" s="1" t="s">
        <v>74</v>
      </c>
      <c r="V903" s="1" t="s">
        <v>8435</v>
      </c>
      <c r="W903" s="1" t="s">
        <v>74</v>
      </c>
      <c r="X903" s="1" t="s">
        <v>74</v>
      </c>
      <c r="Y903" s="1" t="s">
        <v>74</v>
      </c>
      <c r="Z903" s="1" t="s">
        <v>74</v>
      </c>
      <c r="AA903" s="1" t="s">
        <v>4110</v>
      </c>
      <c r="AB903" s="1" t="s">
        <v>2991</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460</v>
      </c>
      <c r="AP903" s="1" t="s">
        <v>74</v>
      </c>
      <c r="AQ903" s="1" t="s">
        <v>74</v>
      </c>
      <c r="AR903" s="1" t="s">
        <v>74</v>
      </c>
      <c r="AS903" s="1" t="s">
        <v>74</v>
      </c>
      <c r="AT903" s="1" t="s">
        <v>95</v>
      </c>
      <c r="AU903" s="1">
        <v>1998.0</v>
      </c>
      <c r="AV903" s="1">
        <v>43.0</v>
      </c>
      <c r="AW903" s="1">
        <v>4.0</v>
      </c>
      <c r="AX903" s="1" t="s">
        <v>74</v>
      </c>
      <c r="AY903" s="1" t="s">
        <v>74</v>
      </c>
      <c r="AZ903" s="1" t="s">
        <v>74</v>
      </c>
      <c r="BA903" s="1" t="s">
        <v>74</v>
      </c>
      <c r="BB903" s="1">
        <v>447.0</v>
      </c>
      <c r="BC903" s="1">
        <v>459.0</v>
      </c>
      <c r="BD903" s="1" t="s">
        <v>74</v>
      </c>
      <c r="BE903" s="1" t="s">
        <v>74</v>
      </c>
      <c r="BF903" s="1" t="s">
        <v>74</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8436</v>
      </c>
      <c r="BT903" s="1" t="str">
        <f>HYPERLINK("https%3A%2F%2Fwww.webofscience.com%2Fwos%2Fwoscc%2Ffull-record%2FWOS:000078428600009","View Full Record in Web of Science")</f>
        <v>View Full Record in Web of Science</v>
      </c>
    </row>
    <row r="904" ht="12.75" customHeight="1">
      <c r="A904" s="1" t="s">
        <v>72</v>
      </c>
      <c r="B904" s="1" t="s">
        <v>8437</v>
      </c>
      <c r="C904" s="1" t="s">
        <v>74</v>
      </c>
      <c r="D904" s="1" t="s">
        <v>74</v>
      </c>
      <c r="E904" s="1" t="s">
        <v>74</v>
      </c>
      <c r="F904" s="1" t="s">
        <v>8437</v>
      </c>
      <c r="G904" s="1" t="s">
        <v>74</v>
      </c>
      <c r="H904" s="1" t="s">
        <v>74</v>
      </c>
      <c r="I904" s="1" t="s">
        <v>8438</v>
      </c>
      <c r="J904" s="1" t="s">
        <v>5217</v>
      </c>
      <c r="K904" s="1" t="s">
        <v>74</v>
      </c>
      <c r="L904" s="1" t="s">
        <v>74</v>
      </c>
      <c r="M904" s="1" t="s">
        <v>74</v>
      </c>
      <c r="N904" s="1" t="s">
        <v>74</v>
      </c>
      <c r="O904" s="1" t="s">
        <v>74</v>
      </c>
      <c r="P904" s="1" t="s">
        <v>74</v>
      </c>
      <c r="Q904" s="1" t="s">
        <v>74</v>
      </c>
      <c r="R904" s="1" t="s">
        <v>74</v>
      </c>
      <c r="S904" s="1" t="s">
        <v>74</v>
      </c>
      <c r="T904" s="1" t="s">
        <v>74</v>
      </c>
      <c r="U904" s="1" t="s">
        <v>74</v>
      </c>
      <c r="V904" s="1" t="s">
        <v>8439</v>
      </c>
      <c r="W904" s="1" t="s">
        <v>74</v>
      </c>
      <c r="X904" s="1" t="s">
        <v>74</v>
      </c>
      <c r="Y904" s="1" t="s">
        <v>74</v>
      </c>
      <c r="Z904" s="1" t="s">
        <v>74</v>
      </c>
      <c r="AA904" s="1" t="s">
        <v>8440</v>
      </c>
      <c r="AB904" s="1" t="s">
        <v>74</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5219</v>
      </c>
      <c r="AP904" s="1" t="s">
        <v>74</v>
      </c>
      <c r="AQ904" s="1" t="s">
        <v>74</v>
      </c>
      <c r="AR904" s="1" t="s">
        <v>74</v>
      </c>
      <c r="AS904" s="1" t="s">
        <v>74</v>
      </c>
      <c r="AT904" s="1" t="s">
        <v>6207</v>
      </c>
      <c r="AU904" s="1">
        <v>1998.0</v>
      </c>
      <c r="AV904" s="1">
        <v>145.0</v>
      </c>
      <c r="AW904" s="1">
        <v>1.0</v>
      </c>
      <c r="AX904" s="1" t="s">
        <v>74</v>
      </c>
      <c r="AY904" s="1" t="s">
        <v>74</v>
      </c>
      <c r="AZ904" s="1" t="s">
        <v>74</v>
      </c>
      <c r="BA904" s="1" t="s">
        <v>74</v>
      </c>
      <c r="BB904" s="1">
        <v>23.0</v>
      </c>
      <c r="BC904" s="1">
        <v>51.0</v>
      </c>
      <c r="BD904" s="1" t="s">
        <v>74</v>
      </c>
      <c r="BE904" s="1" t="s">
        <v>8441</v>
      </c>
      <c r="BF904" s="2" t="str">
        <f>HYPERLINK("http://dx.doi.org/10.1006/jdeq.1997.3390","http://dx.doi.org/10.1006/jdeq.1997.3390")</f>
        <v>http://dx.doi.org/10.1006/jdeq.1997.3390</v>
      </c>
      <c r="BG904" s="1" t="s">
        <v>74</v>
      </c>
      <c r="BH904" s="1" t="s">
        <v>74</v>
      </c>
      <c r="BI904" s="1" t="s">
        <v>74</v>
      </c>
      <c r="BJ904" s="1" t="s">
        <v>74</v>
      </c>
      <c r="BK904" s="1" t="s">
        <v>74</v>
      </c>
      <c r="BL904" s="1" t="s">
        <v>74</v>
      </c>
      <c r="BM904" s="1" t="s">
        <v>74</v>
      </c>
      <c r="BN904" s="1" t="s">
        <v>74</v>
      </c>
      <c r="BO904" s="1" t="s">
        <v>74</v>
      </c>
      <c r="BP904" s="1" t="s">
        <v>74</v>
      </c>
      <c r="BQ904" s="1" t="s">
        <v>74</v>
      </c>
      <c r="BR904" s="1" t="s">
        <v>74</v>
      </c>
      <c r="BS904" s="1" t="s">
        <v>8442</v>
      </c>
      <c r="BT904" s="1" t="str">
        <f>HYPERLINK("https%3A%2F%2Fwww.webofscience.com%2Fwos%2Fwoscc%2Ffull-record%2FWOS:000073386900003","View Full Record in Web of Science")</f>
        <v>View Full Record in Web of Science</v>
      </c>
    </row>
    <row r="905" ht="12.75" customHeight="1">
      <c r="A905" s="1" t="s">
        <v>72</v>
      </c>
      <c r="B905" s="1" t="s">
        <v>8443</v>
      </c>
      <c r="C905" s="1" t="s">
        <v>74</v>
      </c>
      <c r="D905" s="1" t="s">
        <v>74</v>
      </c>
      <c r="E905" s="1" t="s">
        <v>74</v>
      </c>
      <c r="F905" s="1" t="s">
        <v>8443</v>
      </c>
      <c r="G905" s="1" t="s">
        <v>74</v>
      </c>
      <c r="H905" s="1" t="s">
        <v>74</v>
      </c>
      <c r="I905" s="1" t="s">
        <v>8444</v>
      </c>
      <c r="J905" s="1" t="s">
        <v>8445</v>
      </c>
      <c r="K905" s="1" t="s">
        <v>74</v>
      </c>
      <c r="L905" s="1" t="s">
        <v>74</v>
      </c>
      <c r="M905" s="1" t="s">
        <v>74</v>
      </c>
      <c r="N905" s="1" t="s">
        <v>74</v>
      </c>
      <c r="O905" s="1" t="s">
        <v>74</v>
      </c>
      <c r="P905" s="1" t="s">
        <v>74</v>
      </c>
      <c r="Q905" s="1" t="s">
        <v>74</v>
      </c>
      <c r="R905" s="1" t="s">
        <v>74</v>
      </c>
      <c r="S905" s="1" t="s">
        <v>74</v>
      </c>
      <c r="T905" s="1" t="s">
        <v>74</v>
      </c>
      <c r="U905" s="1" t="s">
        <v>74</v>
      </c>
      <c r="V905" s="1" t="s">
        <v>8446</v>
      </c>
      <c r="W905" s="1" t="s">
        <v>74</v>
      </c>
      <c r="X905" s="1" t="s">
        <v>74</v>
      </c>
      <c r="Y905" s="1" t="s">
        <v>74</v>
      </c>
      <c r="Z905" s="1" t="s">
        <v>74</v>
      </c>
      <c r="AA905" s="1" t="s">
        <v>74</v>
      </c>
      <c r="AB905" s="1" t="s">
        <v>74</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8447</v>
      </c>
      <c r="AP905" s="1" t="s">
        <v>74</v>
      </c>
      <c r="AQ905" s="1" t="s">
        <v>74</v>
      </c>
      <c r="AR905" s="1" t="s">
        <v>74</v>
      </c>
      <c r="AS905" s="1" t="s">
        <v>74</v>
      </c>
      <c r="AT905" s="1" t="s">
        <v>2015</v>
      </c>
      <c r="AU905" s="1">
        <v>1998.0</v>
      </c>
      <c r="AV905" s="1">
        <v>350.0</v>
      </c>
      <c r="AW905" s="1">
        <v>2.0</v>
      </c>
      <c r="AX905" s="1" t="s">
        <v>74</v>
      </c>
      <c r="AY905" s="1" t="s">
        <v>74</v>
      </c>
      <c r="AZ905" s="1" t="s">
        <v>74</v>
      </c>
      <c r="BA905" s="1" t="s">
        <v>74</v>
      </c>
      <c r="BB905" s="1">
        <v>137.0</v>
      </c>
      <c r="BC905" s="1">
        <v>144.0</v>
      </c>
      <c r="BD905" s="1" t="s">
        <v>74</v>
      </c>
      <c r="BE905" s="1" t="s">
        <v>8448</v>
      </c>
      <c r="BF905" s="2" t="str">
        <f>HYPERLINK("http://dx.doi.org/10.1006/abbi.1997.0500","http://dx.doi.org/10.1006/abbi.1997.0500")</f>
        <v>http://dx.doi.org/10.1006/abbi.1997.0500</v>
      </c>
      <c r="BG905" s="1" t="s">
        <v>74</v>
      </c>
      <c r="BH905" s="1" t="s">
        <v>74</v>
      </c>
      <c r="BI905" s="1" t="s">
        <v>74</v>
      </c>
      <c r="BJ905" s="1" t="s">
        <v>74</v>
      </c>
      <c r="BK905" s="1" t="s">
        <v>74</v>
      </c>
      <c r="BL905" s="1" t="s">
        <v>74</v>
      </c>
      <c r="BM905" s="1" t="s">
        <v>74</v>
      </c>
      <c r="BN905" s="1">
        <v>9473287.0</v>
      </c>
      <c r="BO905" s="1" t="s">
        <v>74</v>
      </c>
      <c r="BP905" s="1" t="s">
        <v>74</v>
      </c>
      <c r="BQ905" s="1" t="s">
        <v>74</v>
      </c>
      <c r="BR905" s="1" t="s">
        <v>74</v>
      </c>
      <c r="BS905" s="1" t="s">
        <v>8449</v>
      </c>
      <c r="BT905" s="1" t="str">
        <f>HYPERLINK("https%3A%2F%2Fwww.webofscience.com%2Fwos%2Fwoscc%2Ffull-record%2FWOS:000072428500001","View Full Record in Web of Science")</f>
        <v>View Full Record in Web of Science</v>
      </c>
    </row>
    <row r="906" ht="12.75" customHeight="1">
      <c r="A906" s="1" t="s">
        <v>72</v>
      </c>
      <c r="B906" s="1" t="s">
        <v>8450</v>
      </c>
      <c r="C906" s="1" t="s">
        <v>74</v>
      </c>
      <c r="D906" s="1" t="s">
        <v>74</v>
      </c>
      <c r="E906" s="1" t="s">
        <v>74</v>
      </c>
      <c r="F906" s="1" t="s">
        <v>8450</v>
      </c>
      <c r="G906" s="1" t="s">
        <v>74</v>
      </c>
      <c r="H906" s="1" t="s">
        <v>74</v>
      </c>
      <c r="I906" s="1" t="s">
        <v>8451</v>
      </c>
      <c r="J906" s="1" t="s">
        <v>2190</v>
      </c>
      <c r="K906" s="1" t="s">
        <v>74</v>
      </c>
      <c r="L906" s="1" t="s">
        <v>74</v>
      </c>
      <c r="M906" s="1" t="s">
        <v>74</v>
      </c>
      <c r="N906" s="1" t="s">
        <v>74</v>
      </c>
      <c r="O906" s="1" t="s">
        <v>74</v>
      </c>
      <c r="P906" s="1" t="s">
        <v>74</v>
      </c>
      <c r="Q906" s="1" t="s">
        <v>74</v>
      </c>
      <c r="R906" s="1" t="s">
        <v>74</v>
      </c>
      <c r="S906" s="1" t="s">
        <v>74</v>
      </c>
      <c r="T906" s="1" t="s">
        <v>74</v>
      </c>
      <c r="U906" s="1" t="s">
        <v>74</v>
      </c>
      <c r="V906" s="1" t="s">
        <v>8452</v>
      </c>
      <c r="W906" s="1" t="s">
        <v>74</v>
      </c>
      <c r="X906" s="1" t="s">
        <v>74</v>
      </c>
      <c r="Y906" s="1" t="s">
        <v>74</v>
      </c>
      <c r="Z906" s="1" t="s">
        <v>74</v>
      </c>
      <c r="AA906" s="1" t="s">
        <v>8453</v>
      </c>
      <c r="AB906" s="1" t="s">
        <v>8454</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5824</v>
      </c>
      <c r="AP906" s="1" t="s">
        <v>74</v>
      </c>
      <c r="AQ906" s="1" t="s">
        <v>74</v>
      </c>
      <c r="AR906" s="1" t="s">
        <v>74</v>
      </c>
      <c r="AS906" s="1" t="s">
        <v>74</v>
      </c>
      <c r="AT906" s="1" t="s">
        <v>2085</v>
      </c>
      <c r="AU906" s="1">
        <v>1996.0</v>
      </c>
      <c r="AV906" s="1">
        <v>53.0</v>
      </c>
      <c r="AW906" s="1">
        <v>19.0</v>
      </c>
      <c r="AX906" s="1" t="s">
        <v>74</v>
      </c>
      <c r="AY906" s="1" t="s">
        <v>74</v>
      </c>
      <c r="AZ906" s="1" t="s">
        <v>74</v>
      </c>
      <c r="BA906" s="1" t="s">
        <v>74</v>
      </c>
      <c r="BB906" s="1">
        <v>12967.0</v>
      </c>
      <c r="BC906" s="1">
        <v>12972.0</v>
      </c>
      <c r="BD906" s="1" t="s">
        <v>74</v>
      </c>
      <c r="BE906" s="1" t="s">
        <v>8455</v>
      </c>
      <c r="BF906" s="2" t="str">
        <f>HYPERLINK("http://dx.doi.org/10.1103/PhysRevB.53.12967","http://dx.doi.org/10.1103/PhysRevB.53.12967")</f>
        <v>http://dx.doi.org/10.1103/PhysRevB.53.12967</v>
      </c>
      <c r="BG906" s="1" t="s">
        <v>74</v>
      </c>
      <c r="BH906" s="1" t="s">
        <v>74</v>
      </c>
      <c r="BI906" s="1" t="s">
        <v>74</v>
      </c>
      <c r="BJ906" s="1" t="s">
        <v>74</v>
      </c>
      <c r="BK906" s="1" t="s">
        <v>74</v>
      </c>
      <c r="BL906" s="1" t="s">
        <v>74</v>
      </c>
      <c r="BM906" s="1" t="s">
        <v>74</v>
      </c>
      <c r="BN906" s="1">
        <v>9982971.0</v>
      </c>
      <c r="BO906" s="1" t="s">
        <v>74</v>
      </c>
      <c r="BP906" s="1" t="s">
        <v>74</v>
      </c>
      <c r="BQ906" s="1" t="s">
        <v>74</v>
      </c>
      <c r="BR906" s="1" t="s">
        <v>74</v>
      </c>
      <c r="BS906" s="1" t="s">
        <v>8456</v>
      </c>
      <c r="BT906" s="1" t="str">
        <f>HYPERLINK("https%3A%2F%2Fwww.webofscience.com%2Fwos%2Fwoscc%2Ffull-record%2FWOS:A1996UM47800068","View Full Record in Web of Science")</f>
        <v>View Full Record in Web of Science</v>
      </c>
    </row>
    <row r="907" ht="12.75" customHeight="1">
      <c r="A907" s="1" t="s">
        <v>72</v>
      </c>
      <c r="B907" s="1" t="s">
        <v>8457</v>
      </c>
      <c r="C907" s="1" t="s">
        <v>74</v>
      </c>
      <c r="D907" s="1" t="s">
        <v>74</v>
      </c>
      <c r="E907" s="1" t="s">
        <v>74</v>
      </c>
      <c r="F907" s="1" t="s">
        <v>8457</v>
      </c>
      <c r="G907" s="1" t="s">
        <v>74</v>
      </c>
      <c r="H907" s="1" t="s">
        <v>74</v>
      </c>
      <c r="I907" s="1" t="s">
        <v>8458</v>
      </c>
      <c r="J907" s="1" t="s">
        <v>8459</v>
      </c>
      <c r="K907" s="1" t="s">
        <v>74</v>
      </c>
      <c r="L907" s="1" t="s">
        <v>74</v>
      </c>
      <c r="M907" s="1" t="s">
        <v>74</v>
      </c>
      <c r="N907" s="1" t="s">
        <v>74</v>
      </c>
      <c r="O907" s="1" t="s">
        <v>74</v>
      </c>
      <c r="P907" s="1" t="s">
        <v>74</v>
      </c>
      <c r="Q907" s="1" t="s">
        <v>74</v>
      </c>
      <c r="R907" s="1" t="s">
        <v>74</v>
      </c>
      <c r="S907" s="1" t="s">
        <v>74</v>
      </c>
      <c r="T907" s="1" t="s">
        <v>74</v>
      </c>
      <c r="U907" s="1" t="s">
        <v>74</v>
      </c>
      <c r="V907" s="1" t="s">
        <v>8460</v>
      </c>
      <c r="W907" s="1" t="s">
        <v>74</v>
      </c>
      <c r="X907" s="1" t="s">
        <v>74</v>
      </c>
      <c r="Y907" s="1" t="s">
        <v>74</v>
      </c>
      <c r="Z907" s="1" t="s">
        <v>74</v>
      </c>
      <c r="AA907" s="1" t="s">
        <v>74</v>
      </c>
      <c r="AB907" s="1" t="s">
        <v>74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8461</v>
      </c>
      <c r="AP907" s="1" t="s">
        <v>74</v>
      </c>
      <c r="AQ907" s="1" t="s">
        <v>74</v>
      </c>
      <c r="AR907" s="1" t="s">
        <v>74</v>
      </c>
      <c r="AS907" s="1" t="s">
        <v>74</v>
      </c>
      <c r="AT907" s="1" t="s">
        <v>1679</v>
      </c>
      <c r="AU907" s="1">
        <v>1993.0</v>
      </c>
      <c r="AV907" s="1">
        <v>70.0</v>
      </c>
      <c r="AW907" s="1" t="s">
        <v>6433</v>
      </c>
      <c r="AX907" s="1" t="s">
        <v>74</v>
      </c>
      <c r="AY907" s="1" t="s">
        <v>74</v>
      </c>
      <c r="AZ907" s="1" t="s">
        <v>74</v>
      </c>
      <c r="BA907" s="1" t="s">
        <v>74</v>
      </c>
      <c r="BB907" s="1">
        <v>877.0</v>
      </c>
      <c r="BC907" s="1">
        <v>883.0</v>
      </c>
      <c r="BD907" s="1" t="s">
        <v>74</v>
      </c>
      <c r="BE907" s="1" t="s">
        <v>74</v>
      </c>
      <c r="BF907" s="1" t="s">
        <v>74</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8462</v>
      </c>
      <c r="BT907" s="1" t="str">
        <f>HYPERLINK("https%3A%2F%2Fwww.webofscience.com%2Fwos%2Fwoscc%2Ffull-record%2FWOS:A1993QU35000005","View Full Record in Web of Science")</f>
        <v>View Full Record in Web of Science</v>
      </c>
    </row>
    <row r="908" ht="12.75" customHeight="1">
      <c r="A908" s="1" t="s">
        <v>72</v>
      </c>
      <c r="B908" s="1" t="s">
        <v>8463</v>
      </c>
      <c r="C908" s="1" t="s">
        <v>74</v>
      </c>
      <c r="D908" s="1" t="s">
        <v>74</v>
      </c>
      <c r="E908" s="1" t="s">
        <v>74</v>
      </c>
      <c r="F908" s="1" t="s">
        <v>8464</v>
      </c>
      <c r="G908" s="1" t="s">
        <v>74</v>
      </c>
      <c r="H908" s="1" t="s">
        <v>74</v>
      </c>
      <c r="I908" s="1" t="s">
        <v>8465</v>
      </c>
      <c r="J908" s="1" t="s">
        <v>2355</v>
      </c>
      <c r="K908" s="1" t="s">
        <v>74</v>
      </c>
      <c r="L908" s="1" t="s">
        <v>74</v>
      </c>
      <c r="M908" s="1" t="s">
        <v>74</v>
      </c>
      <c r="N908" s="1" t="s">
        <v>74</v>
      </c>
      <c r="O908" s="1" t="s">
        <v>74</v>
      </c>
      <c r="P908" s="1" t="s">
        <v>74</v>
      </c>
      <c r="Q908" s="1" t="s">
        <v>74</v>
      </c>
      <c r="R908" s="1" t="s">
        <v>74</v>
      </c>
      <c r="S908" s="1" t="s">
        <v>74</v>
      </c>
      <c r="T908" s="1" t="s">
        <v>74</v>
      </c>
      <c r="U908" s="1" t="s">
        <v>74</v>
      </c>
      <c r="V908" s="1" t="s">
        <v>8466</v>
      </c>
      <c r="W908" s="1" t="s">
        <v>74</v>
      </c>
      <c r="X908" s="1" t="s">
        <v>74</v>
      </c>
      <c r="Y908" s="1" t="s">
        <v>74</v>
      </c>
      <c r="Z908" s="1" t="s">
        <v>74</v>
      </c>
      <c r="AA908" s="1" t="s">
        <v>8467</v>
      </c>
      <c r="AB908" s="1" t="s">
        <v>8468</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2357</v>
      </c>
      <c r="AP908" s="1" t="s">
        <v>2358</v>
      </c>
      <c r="AQ908" s="1" t="s">
        <v>74</v>
      </c>
      <c r="AR908" s="1" t="s">
        <v>74</v>
      </c>
      <c r="AS908" s="1" t="s">
        <v>74</v>
      </c>
      <c r="AT908" s="1" t="s">
        <v>164</v>
      </c>
      <c r="AU908" s="1">
        <v>2025.0</v>
      </c>
      <c r="AV908" s="1">
        <v>143.0</v>
      </c>
      <c r="AW908" s="1" t="s">
        <v>74</v>
      </c>
      <c r="AX908" s="1" t="s">
        <v>74</v>
      </c>
      <c r="AY908" s="1" t="s">
        <v>74</v>
      </c>
      <c r="AZ908" s="1" t="s">
        <v>74</v>
      </c>
      <c r="BA908" s="1" t="s">
        <v>74</v>
      </c>
      <c r="BB908" s="1" t="s">
        <v>74</v>
      </c>
      <c r="BC908" s="1" t="s">
        <v>74</v>
      </c>
      <c r="BD908" s="1">
        <v>115994.0</v>
      </c>
      <c r="BE908" s="1" t="s">
        <v>8469</v>
      </c>
      <c r="BF908" s="2" t="str">
        <f>HYPERLINK("http://dx.doi.org/10.1016/j.apm.2025.115994","http://dx.doi.org/10.1016/j.apm.2025.115994")</f>
        <v>http://dx.doi.org/10.1016/j.apm.2025.115994</v>
      </c>
      <c r="BG908" s="1" t="s">
        <v>74</v>
      </c>
      <c r="BH908" s="1" t="s">
        <v>5912</v>
      </c>
      <c r="BI908" s="1" t="s">
        <v>74</v>
      </c>
      <c r="BJ908" s="1" t="s">
        <v>74</v>
      </c>
      <c r="BK908" s="1" t="s">
        <v>74</v>
      </c>
      <c r="BL908" s="1" t="s">
        <v>74</v>
      </c>
      <c r="BM908" s="1" t="s">
        <v>74</v>
      </c>
      <c r="BN908" s="1" t="s">
        <v>74</v>
      </c>
      <c r="BO908" s="1" t="s">
        <v>74</v>
      </c>
      <c r="BP908" s="1" t="s">
        <v>74</v>
      </c>
      <c r="BQ908" s="1" t="s">
        <v>74</v>
      </c>
      <c r="BR908" s="1" t="s">
        <v>74</v>
      </c>
      <c r="BS908" s="1" t="s">
        <v>8470</v>
      </c>
      <c r="BT908" s="1" t="str">
        <f>HYPERLINK("https%3A%2F%2Fwww.webofscience.com%2Fwos%2Fwoscc%2Ffull-record%2FWOS:001426724900001","View Full Record in Web of Science")</f>
        <v>View Full Record in Web of Science</v>
      </c>
    </row>
    <row r="909" ht="12.75" customHeight="1">
      <c r="A909" s="1" t="s">
        <v>72</v>
      </c>
      <c r="B909" s="1" t="s">
        <v>8471</v>
      </c>
      <c r="C909" s="1" t="s">
        <v>74</v>
      </c>
      <c r="D909" s="1" t="s">
        <v>74</v>
      </c>
      <c r="E909" s="1" t="s">
        <v>74</v>
      </c>
      <c r="F909" s="1" t="s">
        <v>8472</v>
      </c>
      <c r="G909" s="1" t="s">
        <v>74</v>
      </c>
      <c r="H909" s="1" t="s">
        <v>74</v>
      </c>
      <c r="I909" s="1" t="s">
        <v>8473</v>
      </c>
      <c r="J909" s="1" t="s">
        <v>8474</v>
      </c>
      <c r="K909" s="1" t="s">
        <v>74</v>
      </c>
      <c r="L909" s="1" t="s">
        <v>74</v>
      </c>
      <c r="M909" s="1" t="s">
        <v>74</v>
      </c>
      <c r="N909" s="1" t="s">
        <v>74</v>
      </c>
      <c r="O909" s="1" t="s">
        <v>74</v>
      </c>
      <c r="P909" s="1" t="s">
        <v>74</v>
      </c>
      <c r="Q909" s="1" t="s">
        <v>74</v>
      </c>
      <c r="R909" s="1" t="s">
        <v>74</v>
      </c>
      <c r="S909" s="1" t="s">
        <v>74</v>
      </c>
      <c r="T909" s="1" t="s">
        <v>74</v>
      </c>
      <c r="U909" s="1" t="s">
        <v>74</v>
      </c>
      <c r="V909" s="1" t="s">
        <v>8475</v>
      </c>
      <c r="W909" s="1" t="s">
        <v>74</v>
      </c>
      <c r="X909" s="1" t="s">
        <v>74</v>
      </c>
      <c r="Y909" s="1" t="s">
        <v>74</v>
      </c>
      <c r="Z909" s="1" t="s">
        <v>74</v>
      </c>
      <c r="AA909" s="1" t="s">
        <v>8476</v>
      </c>
      <c r="AB909" s="1" t="s">
        <v>8477</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74</v>
      </c>
      <c r="AP909" s="1" t="s">
        <v>8478</v>
      </c>
      <c r="AQ909" s="1" t="s">
        <v>74</v>
      </c>
      <c r="AR909" s="1" t="s">
        <v>74</v>
      </c>
      <c r="AS909" s="1" t="s">
        <v>74</v>
      </c>
      <c r="AT909" s="1" t="s">
        <v>8479</v>
      </c>
      <c r="AU909" s="1">
        <v>2025.0</v>
      </c>
      <c r="AV909" s="1">
        <v>4.0</v>
      </c>
      <c r="AW909" s="1">
        <v>3.0</v>
      </c>
      <c r="AX909" s="1" t="s">
        <v>74</v>
      </c>
      <c r="AY909" s="1" t="s">
        <v>74</v>
      </c>
      <c r="AZ909" s="1" t="s">
        <v>74</v>
      </c>
      <c r="BA909" s="1" t="s">
        <v>74</v>
      </c>
      <c r="BB909" s="1">
        <v>694.0</v>
      </c>
      <c r="BC909" s="1">
        <v>710.0</v>
      </c>
      <c r="BD909" s="1" t="s">
        <v>74</v>
      </c>
      <c r="BE909" s="1" t="s">
        <v>8480</v>
      </c>
      <c r="BF909" s="2" t="str">
        <f>HYPERLINK("http://dx.doi.org/10.1039/d4dd00352g","http://dx.doi.org/10.1039/d4dd00352g")</f>
        <v>http://dx.doi.org/10.1039/d4dd00352g</v>
      </c>
      <c r="BG909" s="1" t="s">
        <v>74</v>
      </c>
      <c r="BH909" s="1" t="s">
        <v>85</v>
      </c>
      <c r="BI909" s="1" t="s">
        <v>74</v>
      </c>
      <c r="BJ909" s="1" t="s">
        <v>74</v>
      </c>
      <c r="BK909" s="1" t="s">
        <v>74</v>
      </c>
      <c r="BL909" s="1" t="s">
        <v>74</v>
      </c>
      <c r="BM909" s="1" t="s">
        <v>74</v>
      </c>
      <c r="BN909" s="1" t="s">
        <v>74</v>
      </c>
      <c r="BO909" s="1" t="s">
        <v>74</v>
      </c>
      <c r="BP909" s="1" t="s">
        <v>74</v>
      </c>
      <c r="BQ909" s="1" t="s">
        <v>74</v>
      </c>
      <c r="BR909" s="1" t="s">
        <v>74</v>
      </c>
      <c r="BS909" s="1" t="s">
        <v>8481</v>
      </c>
      <c r="BT909" s="1" t="str">
        <f>HYPERLINK("https%3A%2F%2Fwww.webofscience.com%2Fwos%2Fwoscc%2Ffull-record%2FWOS:001411116400001","View Full Record in Web of Science")</f>
        <v>View Full Record in Web of Science</v>
      </c>
    </row>
    <row r="910" ht="12.75" customHeight="1">
      <c r="A910" s="1" t="s">
        <v>72</v>
      </c>
      <c r="B910" s="1" t="s">
        <v>8482</v>
      </c>
      <c r="C910" s="1" t="s">
        <v>74</v>
      </c>
      <c r="D910" s="1" t="s">
        <v>74</v>
      </c>
      <c r="E910" s="1" t="s">
        <v>74</v>
      </c>
      <c r="F910" s="1" t="s">
        <v>8483</v>
      </c>
      <c r="G910" s="1" t="s">
        <v>74</v>
      </c>
      <c r="H910" s="1" t="s">
        <v>74</v>
      </c>
      <c r="I910" s="1" t="s">
        <v>8484</v>
      </c>
      <c r="J910" s="1" t="s">
        <v>1597</v>
      </c>
      <c r="K910" s="1" t="s">
        <v>74</v>
      </c>
      <c r="L910" s="1" t="s">
        <v>74</v>
      </c>
      <c r="M910" s="1" t="s">
        <v>74</v>
      </c>
      <c r="N910" s="1" t="s">
        <v>74</v>
      </c>
      <c r="O910" s="1" t="s">
        <v>74</v>
      </c>
      <c r="P910" s="1" t="s">
        <v>74</v>
      </c>
      <c r="Q910" s="1" t="s">
        <v>74</v>
      </c>
      <c r="R910" s="1" t="s">
        <v>74</v>
      </c>
      <c r="S910" s="1" t="s">
        <v>74</v>
      </c>
      <c r="T910" s="1" t="s">
        <v>74</v>
      </c>
      <c r="U910" s="1" t="s">
        <v>74</v>
      </c>
      <c r="V910" s="1" t="s">
        <v>8485</v>
      </c>
      <c r="W910" s="1" t="s">
        <v>74</v>
      </c>
      <c r="X910" s="1" t="s">
        <v>74</v>
      </c>
      <c r="Y910" s="1" t="s">
        <v>74</v>
      </c>
      <c r="Z910" s="1" t="s">
        <v>74</v>
      </c>
      <c r="AA910" s="1" t="s">
        <v>8486</v>
      </c>
      <c r="AB910" s="1" t="s">
        <v>74</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1601</v>
      </c>
      <c r="AP910" s="1" t="s">
        <v>1602</v>
      </c>
      <c r="AQ910" s="1" t="s">
        <v>74</v>
      </c>
      <c r="AR910" s="1" t="s">
        <v>74</v>
      </c>
      <c r="AS910" s="1" t="s">
        <v>74</v>
      </c>
      <c r="AT910" s="1" t="s">
        <v>8487</v>
      </c>
      <c r="AU910" s="1">
        <v>2024.0</v>
      </c>
      <c r="AV910" s="1">
        <v>39.0</v>
      </c>
      <c r="AW910" s="1">
        <v>2.0</v>
      </c>
      <c r="AX910" s="1" t="s">
        <v>74</v>
      </c>
      <c r="AY910" s="1" t="s">
        <v>74</v>
      </c>
      <c r="AZ910" s="1" t="s">
        <v>74</v>
      </c>
      <c r="BA910" s="1" t="s">
        <v>74</v>
      </c>
      <c r="BB910" s="1" t="s">
        <v>74</v>
      </c>
      <c r="BC910" s="1" t="s">
        <v>74</v>
      </c>
      <c r="BD910" s="1">
        <v>2350191.0</v>
      </c>
      <c r="BE910" s="1" t="s">
        <v>8488</v>
      </c>
      <c r="BF910" s="2" t="str">
        <f>HYPERLINK("http://dx.doi.org/10.1142/S0217732323501912","http://dx.doi.org/10.1142/S0217732323501912")</f>
        <v>http://dx.doi.org/10.1142/S0217732323501912</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8489</v>
      </c>
      <c r="BT910" s="1" t="str">
        <f>HYPERLINK("https%3A%2F%2Fwww.webofscience.com%2Fwos%2Fwoscc%2Ffull-record%2FWOS:001173869900005","View Full Record in Web of Science")</f>
        <v>View Full Record in Web of Science</v>
      </c>
    </row>
    <row r="911" ht="12.75" customHeight="1">
      <c r="A911" s="1" t="s">
        <v>72</v>
      </c>
      <c r="B911" s="1" t="s">
        <v>8490</v>
      </c>
      <c r="C911" s="1" t="s">
        <v>74</v>
      </c>
      <c r="D911" s="1" t="s">
        <v>74</v>
      </c>
      <c r="E911" s="1" t="s">
        <v>74</v>
      </c>
      <c r="F911" s="1" t="s">
        <v>8491</v>
      </c>
      <c r="G911" s="1" t="s">
        <v>74</v>
      </c>
      <c r="H911" s="1" t="s">
        <v>74</v>
      </c>
      <c r="I911" s="1" t="s">
        <v>8492</v>
      </c>
      <c r="J911" s="1" t="s">
        <v>8493</v>
      </c>
      <c r="K911" s="1" t="s">
        <v>74</v>
      </c>
      <c r="L911" s="1" t="s">
        <v>74</v>
      </c>
      <c r="M911" s="1" t="s">
        <v>74</v>
      </c>
      <c r="N911" s="1" t="s">
        <v>74</v>
      </c>
      <c r="O911" s="1" t="s">
        <v>74</v>
      </c>
      <c r="P911" s="1" t="s">
        <v>74</v>
      </c>
      <c r="Q911" s="1" t="s">
        <v>74</v>
      </c>
      <c r="R911" s="1" t="s">
        <v>74</v>
      </c>
      <c r="S911" s="1" t="s">
        <v>74</v>
      </c>
      <c r="T911" s="1" t="s">
        <v>74</v>
      </c>
      <c r="U911" s="1" t="s">
        <v>74</v>
      </c>
      <c r="V911" s="1" t="s">
        <v>8494</v>
      </c>
      <c r="W911" s="1" t="s">
        <v>74</v>
      </c>
      <c r="X911" s="1" t="s">
        <v>74</v>
      </c>
      <c r="Y911" s="1" t="s">
        <v>74</v>
      </c>
      <c r="Z911" s="1" t="s">
        <v>74</v>
      </c>
      <c r="AA911" s="1" t="s">
        <v>8495</v>
      </c>
      <c r="AB911" s="1" t="s">
        <v>8496</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8497</v>
      </c>
      <c r="AP911" s="1" t="s">
        <v>74</v>
      </c>
      <c r="AQ911" s="1" t="s">
        <v>74</v>
      </c>
      <c r="AR911" s="1" t="s">
        <v>74</v>
      </c>
      <c r="AS911" s="1" t="s">
        <v>74</v>
      </c>
      <c r="AT911" s="1" t="s">
        <v>74</v>
      </c>
      <c r="AU911" s="1">
        <v>2024.0</v>
      </c>
      <c r="AV911" s="1">
        <v>12.0</v>
      </c>
      <c r="AW911" s="1" t="s">
        <v>74</v>
      </c>
      <c r="AX911" s="1" t="s">
        <v>74</v>
      </c>
      <c r="AY911" s="1" t="s">
        <v>74</v>
      </c>
      <c r="AZ911" s="1" t="s">
        <v>74</v>
      </c>
      <c r="BA911" s="1" t="s">
        <v>74</v>
      </c>
      <c r="BB911" s="1">
        <v>74126.0</v>
      </c>
      <c r="BC911" s="1">
        <v>74136.0</v>
      </c>
      <c r="BD911" s="1" t="s">
        <v>74</v>
      </c>
      <c r="BE911" s="1" t="s">
        <v>8498</v>
      </c>
      <c r="BF911" s="2" t="str">
        <f>HYPERLINK("http://dx.doi.org/10.1109/ACCESS.2024.3406264","http://dx.doi.org/10.1109/ACCESS.2024.3406264")</f>
        <v>http://dx.doi.org/10.1109/ACCESS.2024.3406264</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8499</v>
      </c>
      <c r="BT911" s="1" t="str">
        <f>HYPERLINK("https%3A%2F%2Fwww.webofscience.com%2Fwos%2Fwoscc%2Ffull-record%2FWOS:001237363100001","View Full Record in Web of Science")</f>
        <v>View Full Record in Web of Science</v>
      </c>
    </row>
    <row r="912" ht="12.75" customHeight="1">
      <c r="A912" s="1" t="s">
        <v>72</v>
      </c>
      <c r="B912" s="1" t="s">
        <v>8500</v>
      </c>
      <c r="C912" s="1" t="s">
        <v>74</v>
      </c>
      <c r="D912" s="1" t="s">
        <v>74</v>
      </c>
      <c r="E912" s="1" t="s">
        <v>74</v>
      </c>
      <c r="F912" s="1" t="s">
        <v>8501</v>
      </c>
      <c r="G912" s="1" t="s">
        <v>74</v>
      </c>
      <c r="H912" s="1" t="s">
        <v>74</v>
      </c>
      <c r="I912" s="1" t="s">
        <v>8502</v>
      </c>
      <c r="J912" s="1" t="s">
        <v>908</v>
      </c>
      <c r="K912" s="1" t="s">
        <v>74</v>
      </c>
      <c r="L912" s="1" t="s">
        <v>74</v>
      </c>
      <c r="M912" s="1" t="s">
        <v>74</v>
      </c>
      <c r="N912" s="1" t="s">
        <v>74</v>
      </c>
      <c r="O912" s="1" t="s">
        <v>74</v>
      </c>
      <c r="P912" s="1" t="s">
        <v>74</v>
      </c>
      <c r="Q912" s="1" t="s">
        <v>74</v>
      </c>
      <c r="R912" s="1" t="s">
        <v>74</v>
      </c>
      <c r="S912" s="1" t="s">
        <v>74</v>
      </c>
      <c r="T912" s="1" t="s">
        <v>74</v>
      </c>
      <c r="U912" s="1" t="s">
        <v>74</v>
      </c>
      <c r="V912" s="1" t="s">
        <v>8503</v>
      </c>
      <c r="W912" s="1" t="s">
        <v>74</v>
      </c>
      <c r="X912" s="1" t="s">
        <v>74</v>
      </c>
      <c r="Y912" s="1" t="s">
        <v>74</v>
      </c>
      <c r="Z912" s="1" t="s">
        <v>74</v>
      </c>
      <c r="AA912" s="1" t="s">
        <v>3137</v>
      </c>
      <c r="AB912" s="1" t="s">
        <v>8504</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74</v>
      </c>
      <c r="AP912" s="1" t="s">
        <v>912</v>
      </c>
      <c r="AQ912" s="1" t="s">
        <v>74</v>
      </c>
      <c r="AR912" s="1" t="s">
        <v>74</v>
      </c>
      <c r="AS912" s="1" t="s">
        <v>74</v>
      </c>
      <c r="AT912" s="1" t="s">
        <v>95</v>
      </c>
      <c r="AU912" s="1">
        <v>2023.0</v>
      </c>
      <c r="AV912" s="1">
        <v>15.0</v>
      </c>
      <c r="AW912" s="1">
        <v>23.0</v>
      </c>
      <c r="AX912" s="1" t="s">
        <v>74</v>
      </c>
      <c r="AY912" s="1" t="s">
        <v>74</v>
      </c>
      <c r="AZ912" s="1" t="s">
        <v>74</v>
      </c>
      <c r="BA912" s="1" t="s">
        <v>74</v>
      </c>
      <c r="BB912" s="1" t="s">
        <v>74</v>
      </c>
      <c r="BC912" s="1" t="s">
        <v>74</v>
      </c>
      <c r="BD912" s="1">
        <v>4595.0</v>
      </c>
      <c r="BE912" s="1" t="s">
        <v>8505</v>
      </c>
      <c r="BF912" s="2" t="str">
        <f>HYPERLINK("http://dx.doi.org/10.3390/polym15234595","http://dx.doi.org/10.3390/polym15234595")</f>
        <v>http://dx.doi.org/10.3390/polym15234595</v>
      </c>
      <c r="BG912" s="1" t="s">
        <v>74</v>
      </c>
      <c r="BH912" s="1" t="s">
        <v>74</v>
      </c>
      <c r="BI912" s="1" t="s">
        <v>74</v>
      </c>
      <c r="BJ912" s="1" t="s">
        <v>74</v>
      </c>
      <c r="BK912" s="1" t="s">
        <v>74</v>
      </c>
      <c r="BL912" s="1" t="s">
        <v>74</v>
      </c>
      <c r="BM912" s="1" t="s">
        <v>74</v>
      </c>
      <c r="BN912" s="1">
        <v>3.8232016E7</v>
      </c>
      <c r="BO912" s="1" t="s">
        <v>74</v>
      </c>
      <c r="BP912" s="1" t="s">
        <v>74</v>
      </c>
      <c r="BQ912" s="1" t="s">
        <v>74</v>
      </c>
      <c r="BR912" s="1" t="s">
        <v>74</v>
      </c>
      <c r="BS912" s="1" t="s">
        <v>8506</v>
      </c>
      <c r="BT912" s="1" t="str">
        <f>HYPERLINK("https%3A%2F%2Fwww.webofscience.com%2Fwos%2Fwoscc%2Ffull-record%2FWOS:001116008500001","View Full Record in Web of Science")</f>
        <v>View Full Record in Web of Science</v>
      </c>
    </row>
    <row r="913" ht="12.75" customHeight="1">
      <c r="A913" s="1" t="s">
        <v>72</v>
      </c>
      <c r="B913" s="1" t="s">
        <v>8507</v>
      </c>
      <c r="C913" s="1" t="s">
        <v>74</v>
      </c>
      <c r="D913" s="1" t="s">
        <v>74</v>
      </c>
      <c r="E913" s="1" t="s">
        <v>74</v>
      </c>
      <c r="F913" s="1" t="s">
        <v>8508</v>
      </c>
      <c r="G913" s="1" t="s">
        <v>74</v>
      </c>
      <c r="H913" s="1" t="s">
        <v>74</v>
      </c>
      <c r="I913" s="1" t="s">
        <v>8509</v>
      </c>
      <c r="J913" s="1" t="s">
        <v>1440</v>
      </c>
      <c r="K913" s="1" t="s">
        <v>74</v>
      </c>
      <c r="L913" s="1" t="s">
        <v>74</v>
      </c>
      <c r="M913" s="1" t="s">
        <v>74</v>
      </c>
      <c r="N913" s="1" t="s">
        <v>74</v>
      </c>
      <c r="O913" s="1" t="s">
        <v>74</v>
      </c>
      <c r="P913" s="1" t="s">
        <v>74</v>
      </c>
      <c r="Q913" s="1" t="s">
        <v>74</v>
      </c>
      <c r="R913" s="1" t="s">
        <v>74</v>
      </c>
      <c r="S913" s="1" t="s">
        <v>74</v>
      </c>
      <c r="T913" s="1" t="s">
        <v>74</v>
      </c>
      <c r="U913" s="1" t="s">
        <v>74</v>
      </c>
      <c r="V913" s="1" t="s">
        <v>8510</v>
      </c>
      <c r="W913" s="1" t="s">
        <v>74</v>
      </c>
      <c r="X913" s="1" t="s">
        <v>74</v>
      </c>
      <c r="Y913" s="1" t="s">
        <v>74</v>
      </c>
      <c r="Z913" s="1" t="s">
        <v>74</v>
      </c>
      <c r="AA913" s="1" t="s">
        <v>8511</v>
      </c>
      <c r="AB913" s="1" t="s">
        <v>74</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1443</v>
      </c>
      <c r="AP913" s="1" t="s">
        <v>1444</v>
      </c>
      <c r="AQ913" s="1" t="s">
        <v>74</v>
      </c>
      <c r="AR913" s="1" t="s">
        <v>74</v>
      </c>
      <c r="AS913" s="1" t="s">
        <v>74</v>
      </c>
      <c r="AT913" s="1" t="s">
        <v>232</v>
      </c>
      <c r="AU913" s="1">
        <v>2023.0</v>
      </c>
      <c r="AV913" s="1">
        <v>151.0</v>
      </c>
      <c r="AW913" s="1">
        <v>10.0</v>
      </c>
      <c r="AX913" s="1" t="s">
        <v>74</v>
      </c>
      <c r="AY913" s="1" t="s">
        <v>74</v>
      </c>
      <c r="AZ913" s="1" t="s">
        <v>74</v>
      </c>
      <c r="BA913" s="1" t="s">
        <v>74</v>
      </c>
      <c r="BB913" s="1">
        <v>1288.0</v>
      </c>
      <c r="BC913" s="1">
        <v>1294.0</v>
      </c>
      <c r="BD913" s="1" t="s">
        <v>74</v>
      </c>
      <c r="BE913" s="1" t="s">
        <v>74</v>
      </c>
      <c r="BF913" s="1" t="s">
        <v>74</v>
      </c>
      <c r="BG913" s="1" t="s">
        <v>74</v>
      </c>
      <c r="BH913" s="1" t="s">
        <v>74</v>
      </c>
      <c r="BI913" s="1" t="s">
        <v>74</v>
      </c>
      <c r="BJ913" s="1" t="s">
        <v>74</v>
      </c>
      <c r="BK913" s="1" t="s">
        <v>74</v>
      </c>
      <c r="BL913" s="1" t="s">
        <v>74</v>
      </c>
      <c r="BM913" s="1" t="s">
        <v>74</v>
      </c>
      <c r="BN913" s="1">
        <v>3.9093132E7</v>
      </c>
      <c r="BO913" s="1" t="s">
        <v>74</v>
      </c>
      <c r="BP913" s="1" t="s">
        <v>74</v>
      </c>
      <c r="BQ913" s="1" t="s">
        <v>74</v>
      </c>
      <c r="BR913" s="1" t="s">
        <v>74</v>
      </c>
      <c r="BS913" s="1" t="s">
        <v>8512</v>
      </c>
      <c r="BT913" s="1" t="str">
        <f>HYPERLINK("https%3A%2F%2Fwww.webofscience.com%2Fwos%2Fwoscc%2Ffull-record%2FWOS:001223730900003","View Full Record in Web of Science")</f>
        <v>View Full Record in Web of Science</v>
      </c>
    </row>
    <row r="914" ht="12.75" customHeight="1">
      <c r="A914" s="1" t="s">
        <v>475</v>
      </c>
      <c r="B914" s="1" t="s">
        <v>8513</v>
      </c>
      <c r="C914" s="1" t="s">
        <v>74</v>
      </c>
      <c r="D914" s="1" t="s">
        <v>8514</v>
      </c>
      <c r="E914" s="1" t="s">
        <v>74</v>
      </c>
      <c r="F914" s="1" t="s">
        <v>8515</v>
      </c>
      <c r="G914" s="1" t="s">
        <v>74</v>
      </c>
      <c r="H914" s="1" t="s">
        <v>74</v>
      </c>
      <c r="I914" s="1" t="s">
        <v>8516</v>
      </c>
      <c r="J914" s="1" t="s">
        <v>8517</v>
      </c>
      <c r="K914" s="1" t="s">
        <v>8518</v>
      </c>
      <c r="L914" s="1" t="s">
        <v>74</v>
      </c>
      <c r="M914" s="1" t="s">
        <v>74</v>
      </c>
      <c r="N914" s="1" t="s">
        <v>74</v>
      </c>
      <c r="O914" s="1" t="s">
        <v>74</v>
      </c>
      <c r="P914" s="1" t="s">
        <v>74</v>
      </c>
      <c r="Q914" s="1" t="s">
        <v>74</v>
      </c>
      <c r="R914" s="1" t="s">
        <v>74</v>
      </c>
      <c r="S914" s="1" t="s">
        <v>74</v>
      </c>
      <c r="T914" s="1" t="s">
        <v>74</v>
      </c>
      <c r="U914" s="1" t="s">
        <v>74</v>
      </c>
      <c r="V914" s="1" t="s">
        <v>8519</v>
      </c>
      <c r="W914" s="1" t="s">
        <v>74</v>
      </c>
      <c r="X914" s="1" t="s">
        <v>74</v>
      </c>
      <c r="Y914" s="1" t="s">
        <v>74</v>
      </c>
      <c r="Z914" s="1" t="s">
        <v>74</v>
      </c>
      <c r="AA914" s="1" t="s">
        <v>8520</v>
      </c>
      <c r="AB914" s="1" t="s">
        <v>8521</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8522</v>
      </c>
      <c r="AP914" s="1" t="s">
        <v>8523</v>
      </c>
      <c r="AQ914" s="1" t="s">
        <v>8524</v>
      </c>
      <c r="AR914" s="1" t="s">
        <v>74</v>
      </c>
      <c r="AS914" s="1" t="s">
        <v>74</v>
      </c>
      <c r="AT914" s="1" t="s">
        <v>74</v>
      </c>
      <c r="AU914" s="1">
        <v>2023.0</v>
      </c>
      <c r="AV914" s="1">
        <v>1428.0</v>
      </c>
      <c r="AW914" s="1" t="s">
        <v>74</v>
      </c>
      <c r="AX914" s="1" t="s">
        <v>74</v>
      </c>
      <c r="AY914" s="1" t="s">
        <v>74</v>
      </c>
      <c r="AZ914" s="1" t="s">
        <v>74</v>
      </c>
      <c r="BA914" s="1" t="s">
        <v>74</v>
      </c>
      <c r="BB914" s="1">
        <v>233.0</v>
      </c>
      <c r="BC914" s="1">
        <v>244.0</v>
      </c>
      <c r="BD914" s="1" t="s">
        <v>74</v>
      </c>
      <c r="BE914" s="1" t="s">
        <v>8525</v>
      </c>
      <c r="BF914" s="2" t="str">
        <f>HYPERLINK("http://dx.doi.org/10.1007/978-3-031-32554-0_10","http://dx.doi.org/10.1007/978-3-031-32554-0_10")</f>
        <v>http://dx.doi.org/10.1007/978-3-031-32554-0_10</v>
      </c>
      <c r="BG914" s="1" t="s">
        <v>8526</v>
      </c>
      <c r="BH914" s="1" t="s">
        <v>74</v>
      </c>
      <c r="BI914" s="1" t="s">
        <v>74</v>
      </c>
      <c r="BJ914" s="1" t="s">
        <v>74</v>
      </c>
      <c r="BK914" s="1" t="s">
        <v>74</v>
      </c>
      <c r="BL914" s="1" t="s">
        <v>74</v>
      </c>
      <c r="BM914" s="1" t="s">
        <v>74</v>
      </c>
      <c r="BN914" s="1">
        <v>3.7466776E7</v>
      </c>
      <c r="BO914" s="1" t="s">
        <v>74</v>
      </c>
      <c r="BP914" s="1" t="s">
        <v>74</v>
      </c>
      <c r="BQ914" s="1" t="s">
        <v>74</v>
      </c>
      <c r="BR914" s="1" t="s">
        <v>74</v>
      </c>
      <c r="BS914" s="1" t="s">
        <v>8527</v>
      </c>
      <c r="BT914" s="1" t="str">
        <f>HYPERLINK("https%3A%2F%2Fwww.webofscience.com%2Fwos%2Fwoscc%2Ffull-record%2FWOS:001168210800010","View Full Record in Web of Science")</f>
        <v>View Full Record in Web of Science</v>
      </c>
    </row>
    <row r="915" ht="12.75" customHeight="1">
      <c r="A915" s="1" t="s">
        <v>72</v>
      </c>
      <c r="B915" s="1" t="s">
        <v>8528</v>
      </c>
      <c r="C915" s="1" t="s">
        <v>74</v>
      </c>
      <c r="D915" s="1" t="s">
        <v>74</v>
      </c>
      <c r="E915" s="1" t="s">
        <v>74</v>
      </c>
      <c r="F915" s="1" t="s">
        <v>8529</v>
      </c>
      <c r="G915" s="1" t="s">
        <v>74</v>
      </c>
      <c r="H915" s="1" t="s">
        <v>74</v>
      </c>
      <c r="I915" s="1" t="s">
        <v>8530</v>
      </c>
      <c r="J915" s="1" t="s">
        <v>8531</v>
      </c>
      <c r="K915" s="1" t="s">
        <v>74</v>
      </c>
      <c r="L915" s="1" t="s">
        <v>74</v>
      </c>
      <c r="M915" s="1" t="s">
        <v>74</v>
      </c>
      <c r="N915" s="1" t="s">
        <v>74</v>
      </c>
      <c r="O915" s="1" t="s">
        <v>74</v>
      </c>
      <c r="P915" s="1" t="s">
        <v>74</v>
      </c>
      <c r="Q915" s="1" t="s">
        <v>74</v>
      </c>
      <c r="R915" s="1" t="s">
        <v>74</v>
      </c>
      <c r="S915" s="1" t="s">
        <v>74</v>
      </c>
      <c r="T915" s="1" t="s">
        <v>74</v>
      </c>
      <c r="U915" s="1" t="s">
        <v>74</v>
      </c>
      <c r="V915" s="1" t="s">
        <v>8532</v>
      </c>
      <c r="W915" s="1" t="s">
        <v>74</v>
      </c>
      <c r="X915" s="1" t="s">
        <v>74</v>
      </c>
      <c r="Y915" s="1" t="s">
        <v>74</v>
      </c>
      <c r="Z915" s="1" t="s">
        <v>74</v>
      </c>
      <c r="AA915" s="1" t="s">
        <v>8533</v>
      </c>
      <c r="AB915" s="1" t="s">
        <v>8534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8535</v>
      </c>
      <c r="AP915" s="1" t="s">
        <v>8536</v>
      </c>
      <c r="AQ915" s="1" t="s">
        <v>74</v>
      </c>
      <c r="AR915" s="1" t="s">
        <v>74</v>
      </c>
      <c r="AS915" s="1" t="s">
        <v>74</v>
      </c>
      <c r="AT915" s="1" t="s">
        <v>596</v>
      </c>
      <c r="AU915" s="1">
        <v>2022.0</v>
      </c>
      <c r="AV915" s="1">
        <v>28.0</v>
      </c>
      <c r="AW915" s="1">
        <v>11.0</v>
      </c>
      <c r="AX915" s="1" t="s">
        <v>74</v>
      </c>
      <c r="AY915" s="1" t="s">
        <v>74</v>
      </c>
      <c r="AZ915" s="1" t="s">
        <v>74</v>
      </c>
      <c r="BA915" s="1" t="s">
        <v>74</v>
      </c>
      <c r="BB915" s="1" t="s">
        <v>74</v>
      </c>
      <c r="BC915" s="1" t="s">
        <v>74</v>
      </c>
      <c r="BD915" s="1">
        <v>344.0</v>
      </c>
      <c r="BE915" s="1" t="s">
        <v>8537</v>
      </c>
      <c r="BF915" s="2" t="str">
        <f>HYPERLINK("http://dx.doi.org/10.1007/s00894-022-05329-y","http://dx.doi.org/10.1007/s00894-022-05329-y")</f>
        <v>http://dx.doi.org/10.1007/s00894-022-05329-y</v>
      </c>
      <c r="BG915" s="1" t="s">
        <v>74</v>
      </c>
      <c r="BH915" s="1" t="s">
        <v>74</v>
      </c>
      <c r="BI915" s="1" t="s">
        <v>74</v>
      </c>
      <c r="BJ915" s="1" t="s">
        <v>74</v>
      </c>
      <c r="BK915" s="1" t="s">
        <v>74</v>
      </c>
      <c r="BL915" s="1" t="s">
        <v>74</v>
      </c>
      <c r="BM915" s="1" t="s">
        <v>74</v>
      </c>
      <c r="BN915" s="1">
        <v>3.6201064E7</v>
      </c>
      <c r="BO915" s="1" t="s">
        <v>74</v>
      </c>
      <c r="BP915" s="1" t="s">
        <v>74</v>
      </c>
      <c r="BQ915" s="1" t="s">
        <v>74</v>
      </c>
      <c r="BR915" s="1" t="s">
        <v>74</v>
      </c>
      <c r="BS915" s="1" t="s">
        <v>8538</v>
      </c>
      <c r="BT915" s="1" t="str">
        <f>HYPERLINK("https%3A%2F%2Fwww.webofscience.com%2Fwos%2Fwoscc%2Ffull-record%2FWOS:000864629200001","View Full Record in Web of Science")</f>
        <v>View Full Record in Web of Science</v>
      </c>
    </row>
    <row r="916" ht="12.75" customHeight="1">
      <c r="A916" s="1" t="s">
        <v>346</v>
      </c>
      <c r="B916" s="1" t="s">
        <v>8539</v>
      </c>
      <c r="C916" s="1" t="s">
        <v>74</v>
      </c>
      <c r="D916" s="1" t="s">
        <v>8540</v>
      </c>
      <c r="E916" s="1" t="s">
        <v>74</v>
      </c>
      <c r="F916" s="1" t="s">
        <v>8541</v>
      </c>
      <c r="G916" s="1" t="s">
        <v>74</v>
      </c>
      <c r="H916" s="1" t="s">
        <v>74</v>
      </c>
      <c r="I916" s="1" t="s">
        <v>8542</v>
      </c>
      <c r="J916" s="1" t="s">
        <v>8543</v>
      </c>
      <c r="K916" s="1" t="s">
        <v>2124</v>
      </c>
      <c r="L916" s="1" t="s">
        <v>74</v>
      </c>
      <c r="M916" s="1" t="s">
        <v>74</v>
      </c>
      <c r="N916" s="1" t="s">
        <v>74</v>
      </c>
      <c r="O916" s="1" t="s">
        <v>8544</v>
      </c>
      <c r="P916" s="1" t="s">
        <v>8545</v>
      </c>
      <c r="Q916" s="1" t="s">
        <v>566</v>
      </c>
      <c r="R916" s="1" t="s">
        <v>74</v>
      </c>
      <c r="S916" s="1" t="s">
        <v>74</v>
      </c>
      <c r="T916" s="1" t="s">
        <v>74</v>
      </c>
      <c r="U916" s="1" t="s">
        <v>74</v>
      </c>
      <c r="V916" s="1" t="s">
        <v>8546</v>
      </c>
      <c r="W916" s="1" t="s">
        <v>74</v>
      </c>
      <c r="X916" s="1" t="s">
        <v>74</v>
      </c>
      <c r="Y916" s="1" t="s">
        <v>74</v>
      </c>
      <c r="Z916" s="1" t="s">
        <v>74</v>
      </c>
      <c r="AA916" s="1" t="s">
        <v>8547</v>
      </c>
      <c r="AB916" s="1" t="s">
        <v>8548</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2130</v>
      </c>
      <c r="AP916" s="1" t="s">
        <v>2131</v>
      </c>
      <c r="AQ916" s="1" t="s">
        <v>8549</v>
      </c>
      <c r="AR916" s="1" t="s">
        <v>74</v>
      </c>
      <c r="AS916" s="1" t="s">
        <v>74</v>
      </c>
      <c r="AT916" s="1" t="s">
        <v>74</v>
      </c>
      <c r="AU916" s="1">
        <v>2022.0</v>
      </c>
      <c r="AV916" s="1">
        <v>255.0</v>
      </c>
      <c r="AW916" s="1" t="s">
        <v>74</v>
      </c>
      <c r="AX916" s="1" t="s">
        <v>74</v>
      </c>
      <c r="AY916" s="1" t="s">
        <v>74</v>
      </c>
      <c r="AZ916" s="1" t="s">
        <v>74</v>
      </c>
      <c r="BA916" s="1" t="s">
        <v>74</v>
      </c>
      <c r="BB916" s="1">
        <v>319.0</v>
      </c>
      <c r="BC916" s="1">
        <v>325.0</v>
      </c>
      <c r="BD916" s="1" t="s">
        <v>74</v>
      </c>
      <c r="BE916" s="1" t="s">
        <v>8550</v>
      </c>
      <c r="BF916" s="2" t="str">
        <f>HYPERLINK("http://dx.doi.org/10.1007/978-981-16-4884-7_26","http://dx.doi.org/10.1007/978-981-16-4884-7_26")</f>
        <v>http://dx.doi.org/10.1007/978-981-16-4884-7_26</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8551</v>
      </c>
      <c r="BT916" s="1" t="str">
        <f>HYPERLINK("https%3A%2F%2Fwww.webofscience.com%2Fwos%2Fwoscc%2Ffull-record%2FWOS:000842939900026","View Full Record in Web of Science")</f>
        <v>View Full Record in Web of Science</v>
      </c>
    </row>
    <row r="917" ht="12.75" customHeight="1">
      <c r="A917" s="1" t="s">
        <v>72</v>
      </c>
      <c r="B917" s="1" t="s">
        <v>8552</v>
      </c>
      <c r="C917" s="1" t="s">
        <v>74</v>
      </c>
      <c r="D917" s="1" t="s">
        <v>74</v>
      </c>
      <c r="E917" s="1" t="s">
        <v>74</v>
      </c>
      <c r="F917" s="1" t="s">
        <v>8553</v>
      </c>
      <c r="G917" s="1" t="s">
        <v>74</v>
      </c>
      <c r="H917" s="1" t="s">
        <v>74</v>
      </c>
      <c r="I917" s="1" t="s">
        <v>8554</v>
      </c>
      <c r="J917" s="1" t="s">
        <v>7720</v>
      </c>
      <c r="K917" s="1" t="s">
        <v>74</v>
      </c>
      <c r="L917" s="1" t="s">
        <v>74</v>
      </c>
      <c r="M917" s="1" t="s">
        <v>74</v>
      </c>
      <c r="N917" s="1" t="s">
        <v>74</v>
      </c>
      <c r="O917" s="1" t="s">
        <v>74</v>
      </c>
      <c r="P917" s="1" t="s">
        <v>74</v>
      </c>
      <c r="Q917" s="1" t="s">
        <v>74</v>
      </c>
      <c r="R917" s="1" t="s">
        <v>74</v>
      </c>
      <c r="S917" s="1" t="s">
        <v>74</v>
      </c>
      <c r="T917" s="1" t="s">
        <v>74</v>
      </c>
      <c r="U917" s="1" t="s">
        <v>74</v>
      </c>
      <c r="V917" s="1" t="s">
        <v>8555</v>
      </c>
      <c r="W917" s="1" t="s">
        <v>74</v>
      </c>
      <c r="X917" s="1" t="s">
        <v>74</v>
      </c>
      <c r="Y917" s="1" t="s">
        <v>74</v>
      </c>
      <c r="Z917" s="1" t="s">
        <v>74</v>
      </c>
      <c r="AA917" s="1" t="s">
        <v>4658</v>
      </c>
      <c r="AB917" s="1" t="s">
        <v>8556</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74</v>
      </c>
      <c r="AP917" s="1" t="s">
        <v>7724</v>
      </c>
      <c r="AQ917" s="1" t="s">
        <v>74</v>
      </c>
      <c r="AR917" s="1" t="s">
        <v>74</v>
      </c>
      <c r="AS917" s="1" t="s">
        <v>74</v>
      </c>
      <c r="AT917" s="1" t="s">
        <v>596</v>
      </c>
      <c r="AU917" s="1">
        <v>2021.0</v>
      </c>
      <c r="AV917" s="1">
        <v>7.0</v>
      </c>
      <c r="AW917" s="1">
        <v>11.0</v>
      </c>
      <c r="AX917" s="1" t="s">
        <v>74</v>
      </c>
      <c r="AY917" s="1" t="s">
        <v>74</v>
      </c>
      <c r="AZ917" s="1" t="s">
        <v>74</v>
      </c>
      <c r="BA917" s="1" t="s">
        <v>74</v>
      </c>
      <c r="BB917" s="1" t="s">
        <v>74</v>
      </c>
      <c r="BC917" s="1" t="s">
        <v>74</v>
      </c>
      <c r="BD917" s="1">
        <v>902.0</v>
      </c>
      <c r="BE917" s="1" t="s">
        <v>8557</v>
      </c>
      <c r="BF917" s="2" t="str">
        <f>HYPERLINK("http://dx.doi.org/10.3390/jof7110902","http://dx.doi.org/10.3390/jof7110902")</f>
        <v>http://dx.doi.org/10.3390/jof7110902</v>
      </c>
      <c r="BG917" s="1" t="s">
        <v>74</v>
      </c>
      <c r="BH917" s="1" t="s">
        <v>74</v>
      </c>
      <c r="BI917" s="1" t="s">
        <v>74</v>
      </c>
      <c r="BJ917" s="1" t="s">
        <v>74</v>
      </c>
      <c r="BK917" s="1" t="s">
        <v>74</v>
      </c>
      <c r="BL917" s="1" t="s">
        <v>74</v>
      </c>
      <c r="BM917" s="1" t="s">
        <v>74</v>
      </c>
      <c r="BN917" s="1">
        <v>3.4829191E7</v>
      </c>
      <c r="BO917" s="1" t="s">
        <v>74</v>
      </c>
      <c r="BP917" s="1" t="s">
        <v>74</v>
      </c>
      <c r="BQ917" s="1" t="s">
        <v>74</v>
      </c>
      <c r="BR917" s="1" t="s">
        <v>74</v>
      </c>
      <c r="BS917" s="1" t="s">
        <v>8558</v>
      </c>
      <c r="BT917" s="1" t="str">
        <f>HYPERLINK("https%3A%2F%2Fwww.webofscience.com%2Fwos%2Fwoscc%2Ffull-record%2FWOS:000726704800001","View Full Record in Web of Science")</f>
        <v>View Full Record in Web of Science</v>
      </c>
    </row>
    <row r="918" ht="12.75" customHeight="1">
      <c r="A918" s="1" t="s">
        <v>72</v>
      </c>
      <c r="B918" s="1" t="s">
        <v>8559</v>
      </c>
      <c r="C918" s="1" t="s">
        <v>74</v>
      </c>
      <c r="D918" s="1" t="s">
        <v>74</v>
      </c>
      <c r="E918" s="1" t="s">
        <v>74</v>
      </c>
      <c r="F918" s="1" t="s">
        <v>8560</v>
      </c>
      <c r="G918" s="1" t="s">
        <v>74</v>
      </c>
      <c r="H918" s="1" t="s">
        <v>74</v>
      </c>
      <c r="I918" s="1" t="s">
        <v>8561</v>
      </c>
      <c r="J918" s="1" t="s">
        <v>2386</v>
      </c>
      <c r="K918" s="1" t="s">
        <v>74</v>
      </c>
      <c r="L918" s="1" t="s">
        <v>74</v>
      </c>
      <c r="M918" s="1" t="s">
        <v>74</v>
      </c>
      <c r="N918" s="1" t="s">
        <v>74</v>
      </c>
      <c r="O918" s="1" t="s">
        <v>74</v>
      </c>
      <c r="P918" s="1" t="s">
        <v>74</v>
      </c>
      <c r="Q918" s="1" t="s">
        <v>74</v>
      </c>
      <c r="R918" s="1" t="s">
        <v>74</v>
      </c>
      <c r="S918" s="1" t="s">
        <v>74</v>
      </c>
      <c r="T918" s="1" t="s">
        <v>74</v>
      </c>
      <c r="U918" s="1" t="s">
        <v>74</v>
      </c>
      <c r="V918" s="1" t="s">
        <v>8562</v>
      </c>
      <c r="W918" s="1" t="s">
        <v>74</v>
      </c>
      <c r="X918" s="1" t="s">
        <v>74</v>
      </c>
      <c r="Y918" s="1" t="s">
        <v>74</v>
      </c>
      <c r="Z918" s="1" t="s">
        <v>74</v>
      </c>
      <c r="AA918" s="1" t="s">
        <v>8563</v>
      </c>
      <c r="AB918" s="1" t="s">
        <v>8564</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74</v>
      </c>
      <c r="AP918" s="1" t="s">
        <v>2389</v>
      </c>
      <c r="AQ918" s="1" t="s">
        <v>74</v>
      </c>
      <c r="AR918" s="1" t="s">
        <v>74</v>
      </c>
      <c r="AS918" s="1" t="s">
        <v>74</v>
      </c>
      <c r="AT918" s="1" t="s">
        <v>496</v>
      </c>
      <c r="AU918" s="1">
        <v>2021.0</v>
      </c>
      <c r="AV918" s="1">
        <v>18.0</v>
      </c>
      <c r="AW918" s="1">
        <v>2.0</v>
      </c>
      <c r="AX918" s="1" t="s">
        <v>74</v>
      </c>
      <c r="AY918" s="1" t="s">
        <v>74</v>
      </c>
      <c r="AZ918" s="1" t="s">
        <v>74</v>
      </c>
      <c r="BA918" s="1" t="s">
        <v>74</v>
      </c>
      <c r="BB918" s="1" t="s">
        <v>74</v>
      </c>
      <c r="BC918" s="1" t="s">
        <v>74</v>
      </c>
      <c r="BD918" s="1">
        <v>361.0</v>
      </c>
      <c r="BE918" s="1" t="s">
        <v>8565</v>
      </c>
      <c r="BF918" s="2" t="str">
        <f>HYPERLINK("http://dx.doi.org/10.3390/ijerph18020361","http://dx.doi.org/10.3390/ijerph18020361")</f>
        <v>http://dx.doi.org/10.3390/ijerph18020361</v>
      </c>
      <c r="BG918" s="1" t="s">
        <v>74</v>
      </c>
      <c r="BH918" s="1" t="s">
        <v>74</v>
      </c>
      <c r="BI918" s="1" t="s">
        <v>74</v>
      </c>
      <c r="BJ918" s="1" t="s">
        <v>74</v>
      </c>
      <c r="BK918" s="1" t="s">
        <v>74</v>
      </c>
      <c r="BL918" s="1" t="s">
        <v>74</v>
      </c>
      <c r="BM918" s="1" t="s">
        <v>74</v>
      </c>
      <c r="BN918" s="1">
        <v>3.3418855E7</v>
      </c>
      <c r="BO918" s="1" t="s">
        <v>74</v>
      </c>
      <c r="BP918" s="1" t="s">
        <v>74</v>
      </c>
      <c r="BQ918" s="1" t="s">
        <v>74</v>
      </c>
      <c r="BR918" s="1" t="s">
        <v>74</v>
      </c>
      <c r="BS918" s="1" t="s">
        <v>8566</v>
      </c>
      <c r="BT918" s="1" t="str">
        <f>HYPERLINK("https%3A%2F%2Fwww.webofscience.com%2Fwos%2Fwoscc%2Ffull-record%2FWOS:000611271000001","View Full Record in Web of Science")</f>
        <v>View Full Record in Web of Science</v>
      </c>
    </row>
    <row r="919" ht="12.75" customHeight="1">
      <c r="A919" s="1" t="s">
        <v>72</v>
      </c>
      <c r="B919" s="1" t="s">
        <v>8567</v>
      </c>
      <c r="C919" s="1" t="s">
        <v>74</v>
      </c>
      <c r="D919" s="1" t="s">
        <v>74</v>
      </c>
      <c r="E919" s="1" t="s">
        <v>74</v>
      </c>
      <c r="F919" s="1" t="s">
        <v>8568</v>
      </c>
      <c r="G919" s="1" t="s">
        <v>74</v>
      </c>
      <c r="H919" s="1" t="s">
        <v>74</v>
      </c>
      <c r="I919" s="1" t="s">
        <v>8569</v>
      </c>
      <c r="J919" s="1" t="s">
        <v>8570</v>
      </c>
      <c r="K919" s="1" t="s">
        <v>74</v>
      </c>
      <c r="L919" s="1" t="s">
        <v>74</v>
      </c>
      <c r="M919" s="1" t="s">
        <v>74</v>
      </c>
      <c r="N919" s="1" t="s">
        <v>74</v>
      </c>
      <c r="O919" s="1" t="s">
        <v>74</v>
      </c>
      <c r="P919" s="1" t="s">
        <v>74</v>
      </c>
      <c r="Q919" s="1" t="s">
        <v>74</v>
      </c>
      <c r="R919" s="1" t="s">
        <v>74</v>
      </c>
      <c r="S919" s="1" t="s">
        <v>74</v>
      </c>
      <c r="T919" s="1" t="s">
        <v>74</v>
      </c>
      <c r="U919" s="1" t="s">
        <v>74</v>
      </c>
      <c r="V919" s="1" t="s">
        <v>8571</v>
      </c>
      <c r="W919" s="1" t="s">
        <v>74</v>
      </c>
      <c r="X919" s="1" t="s">
        <v>74</v>
      </c>
      <c r="Y919" s="1" t="s">
        <v>74</v>
      </c>
      <c r="Z919" s="1" t="s">
        <v>74</v>
      </c>
      <c r="AA919" s="1" t="s">
        <v>74</v>
      </c>
      <c r="AB919" s="1" t="s">
        <v>8572</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8573</v>
      </c>
      <c r="AP919" s="1" t="s">
        <v>8574</v>
      </c>
      <c r="AQ919" s="1" t="s">
        <v>74</v>
      </c>
      <c r="AR919" s="1" t="s">
        <v>74</v>
      </c>
      <c r="AS919" s="1" t="s">
        <v>74</v>
      </c>
      <c r="AT919" s="1" t="s">
        <v>596</v>
      </c>
      <c r="AU919" s="1">
        <v>2020.0</v>
      </c>
      <c r="AV919" s="1">
        <v>15.0</v>
      </c>
      <c r="AW919" s="1">
        <v>4.0</v>
      </c>
      <c r="AX919" s="1" t="s">
        <v>74</v>
      </c>
      <c r="AY919" s="1" t="s">
        <v>74</v>
      </c>
      <c r="AZ919" s="1" t="s">
        <v>74</v>
      </c>
      <c r="BA919" s="1" t="s">
        <v>74</v>
      </c>
      <c r="BB919" s="1">
        <v>1471.0</v>
      </c>
      <c r="BC919" s="1">
        <v>1508.0</v>
      </c>
      <c r="BD919" s="1" t="s">
        <v>74</v>
      </c>
      <c r="BE919" s="1" t="s">
        <v>8575</v>
      </c>
      <c r="BF919" s="2" t="str">
        <f>HYPERLINK("http://dx.doi.org/10.3982/TE3435","http://dx.doi.org/10.3982/TE3435")</f>
        <v>http://dx.doi.org/10.3982/TE3435</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8576</v>
      </c>
      <c r="BT919" s="1" t="str">
        <f>HYPERLINK("https%3A%2F%2Fwww.webofscience.com%2Fwos%2Fwoscc%2Ffull-record%2FWOS:000609459200007","View Full Record in Web of Science")</f>
        <v>View Full Record in Web of Science</v>
      </c>
    </row>
    <row r="920" ht="12.75" customHeight="1">
      <c r="A920" s="1" t="s">
        <v>346</v>
      </c>
      <c r="B920" s="1" t="s">
        <v>8577</v>
      </c>
      <c r="C920" s="1" t="s">
        <v>74</v>
      </c>
      <c r="D920" s="1" t="s">
        <v>74</v>
      </c>
      <c r="E920" s="1" t="s">
        <v>348</v>
      </c>
      <c r="F920" s="1" t="s">
        <v>8578</v>
      </c>
      <c r="G920" s="1" t="s">
        <v>74</v>
      </c>
      <c r="H920" s="1" t="s">
        <v>74</v>
      </c>
      <c r="I920" s="1" t="s">
        <v>8579</v>
      </c>
      <c r="J920" s="1" t="s">
        <v>8580</v>
      </c>
      <c r="K920" s="1" t="s">
        <v>8581</v>
      </c>
      <c r="L920" s="1" t="s">
        <v>74</v>
      </c>
      <c r="M920" s="1" t="s">
        <v>74</v>
      </c>
      <c r="N920" s="1" t="s">
        <v>74</v>
      </c>
      <c r="O920" s="1" t="s">
        <v>8582</v>
      </c>
      <c r="P920" s="1" t="s">
        <v>8583</v>
      </c>
      <c r="Q920" s="1" t="s">
        <v>8584</v>
      </c>
      <c r="R920" s="1" t="s">
        <v>8585</v>
      </c>
      <c r="S920" s="1" t="s">
        <v>74</v>
      </c>
      <c r="T920" s="1" t="s">
        <v>74</v>
      </c>
      <c r="U920" s="1" t="s">
        <v>74</v>
      </c>
      <c r="V920" s="1" t="s">
        <v>8586</v>
      </c>
      <c r="W920" s="1" t="s">
        <v>74</v>
      </c>
      <c r="X920" s="1" t="s">
        <v>74</v>
      </c>
      <c r="Y920" s="1" t="s">
        <v>74</v>
      </c>
      <c r="Z920" s="1" t="s">
        <v>74</v>
      </c>
      <c r="AA920" s="1" t="s">
        <v>8587</v>
      </c>
      <c r="AB920" s="1" t="s">
        <v>8588</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8589</v>
      </c>
      <c r="AP920" s="1" t="s">
        <v>74</v>
      </c>
      <c r="AQ920" s="1" t="s">
        <v>8590</v>
      </c>
      <c r="AR920" s="1" t="s">
        <v>74</v>
      </c>
      <c r="AS920" s="1" t="s">
        <v>74</v>
      </c>
      <c r="AT920" s="1" t="s">
        <v>74</v>
      </c>
      <c r="AU920" s="1">
        <v>2020.0</v>
      </c>
      <c r="AV920" s="1" t="s">
        <v>74</v>
      </c>
      <c r="AW920" s="1" t="s">
        <v>74</v>
      </c>
      <c r="AX920" s="1" t="s">
        <v>74</v>
      </c>
      <c r="AY920" s="1" t="s">
        <v>74</v>
      </c>
      <c r="AZ920" s="1" t="s">
        <v>74</v>
      </c>
      <c r="BA920" s="1" t="s">
        <v>74</v>
      </c>
      <c r="BB920" s="1" t="s">
        <v>74</v>
      </c>
      <c r="BC920" s="1" t="s">
        <v>74</v>
      </c>
      <c r="BD920" s="1" t="s">
        <v>74</v>
      </c>
      <c r="BE920" s="1" t="s">
        <v>8591</v>
      </c>
      <c r="BF920" s="2" t="str">
        <f>HYPERLINK("http://dx.doi.org/10.1109/TDLA47668.2020.9326215","http://dx.doi.org/10.1109/TDLA47668.2020.9326215")</f>
        <v>http://dx.doi.org/10.1109/TDLA47668.2020.9326215</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8592</v>
      </c>
      <c r="BT920" s="1" t="str">
        <f>HYPERLINK("https%3A%2F%2Fwww.webofscience.com%2Fwos%2Fwoscc%2Ffull-record%2FWOS:000666965600053","View Full Record in Web of Science")</f>
        <v>View Full Record in Web of Science</v>
      </c>
    </row>
    <row r="921" ht="12.75" customHeight="1">
      <c r="A921" s="1" t="s">
        <v>72</v>
      </c>
      <c r="B921" s="1" t="s">
        <v>8593</v>
      </c>
      <c r="C921" s="1" t="s">
        <v>74</v>
      </c>
      <c r="D921" s="1" t="s">
        <v>74</v>
      </c>
      <c r="E921" s="1" t="s">
        <v>74</v>
      </c>
      <c r="F921" s="1" t="s">
        <v>8594</v>
      </c>
      <c r="G921" s="1" t="s">
        <v>74</v>
      </c>
      <c r="H921" s="1" t="s">
        <v>74</v>
      </c>
      <c r="I921" s="1" t="s">
        <v>8595</v>
      </c>
      <c r="J921" s="1" t="s">
        <v>1440</v>
      </c>
      <c r="K921" s="1" t="s">
        <v>74</v>
      </c>
      <c r="L921" s="1" t="s">
        <v>74</v>
      </c>
      <c r="M921" s="1" t="s">
        <v>74</v>
      </c>
      <c r="N921" s="1" t="s">
        <v>74</v>
      </c>
      <c r="O921" s="1" t="s">
        <v>74</v>
      </c>
      <c r="P921" s="1" t="s">
        <v>74</v>
      </c>
      <c r="Q921" s="1" t="s">
        <v>74</v>
      </c>
      <c r="R921" s="1" t="s">
        <v>74</v>
      </c>
      <c r="S921" s="1" t="s">
        <v>74</v>
      </c>
      <c r="T921" s="1" t="s">
        <v>74</v>
      </c>
      <c r="U921" s="1" t="s">
        <v>74</v>
      </c>
      <c r="V921" s="1" t="s">
        <v>74</v>
      </c>
      <c r="W921" s="1" t="s">
        <v>74</v>
      </c>
      <c r="X921" s="1" t="s">
        <v>74</v>
      </c>
      <c r="Y921" s="1" t="s">
        <v>74</v>
      </c>
      <c r="Z921" s="1" t="s">
        <v>74</v>
      </c>
      <c r="AA921" s="1" t="s">
        <v>8596</v>
      </c>
      <c r="AB921" s="1" t="s">
        <v>8597</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1443</v>
      </c>
      <c r="AP921" s="1" t="s">
        <v>1444</v>
      </c>
      <c r="AQ921" s="1" t="s">
        <v>74</v>
      </c>
      <c r="AR921" s="1" t="s">
        <v>74</v>
      </c>
      <c r="AS921" s="1" t="s">
        <v>74</v>
      </c>
      <c r="AT921" s="1" t="s">
        <v>107</v>
      </c>
      <c r="AU921" s="1">
        <v>2019.0</v>
      </c>
      <c r="AV921" s="1">
        <v>147.0</v>
      </c>
      <c r="AW921" s="1">
        <v>5.0</v>
      </c>
      <c r="AX921" s="1" t="s">
        <v>74</v>
      </c>
      <c r="AY921" s="1" t="s">
        <v>74</v>
      </c>
      <c r="AZ921" s="1" t="s">
        <v>74</v>
      </c>
      <c r="BA921" s="1" t="s">
        <v>74</v>
      </c>
      <c r="BB921" s="1">
        <v>674.0</v>
      </c>
      <c r="BC921" s="1">
        <v>676.0</v>
      </c>
      <c r="BD921" s="1" t="s">
        <v>74</v>
      </c>
      <c r="BE921" s="1" t="s">
        <v>8598</v>
      </c>
      <c r="BF921" s="2" t="str">
        <f>HYPERLINK("http://dx.doi.org/10.4067/S0034-98872019000500674","http://dx.doi.org/10.4067/S0034-98872019000500674")</f>
        <v>http://dx.doi.org/10.4067/S0034-98872019000500674</v>
      </c>
      <c r="BG921" s="1" t="s">
        <v>74</v>
      </c>
      <c r="BH921" s="1" t="s">
        <v>74</v>
      </c>
      <c r="BI921" s="1" t="s">
        <v>74</v>
      </c>
      <c r="BJ921" s="1" t="s">
        <v>74</v>
      </c>
      <c r="BK921" s="1" t="s">
        <v>74</v>
      </c>
      <c r="BL921" s="1" t="s">
        <v>74</v>
      </c>
      <c r="BM921" s="1" t="s">
        <v>74</v>
      </c>
      <c r="BN921" s="1">
        <v>3.1859903E7</v>
      </c>
      <c r="BO921" s="1" t="s">
        <v>74</v>
      </c>
      <c r="BP921" s="1" t="s">
        <v>74</v>
      </c>
      <c r="BQ921" s="1" t="s">
        <v>74</v>
      </c>
      <c r="BR921" s="1" t="s">
        <v>74</v>
      </c>
      <c r="BS921" s="1" t="s">
        <v>8599</v>
      </c>
      <c r="BT921" s="1" t="str">
        <f>HYPERLINK("https%3A%2F%2Fwww.webofscience.com%2Fwos%2Fwoscc%2Ffull-record%2FWOS:000478968700019","View Full Record in Web of Science")</f>
        <v>View Full Record in Web of Science</v>
      </c>
    </row>
    <row r="922" ht="12.75" customHeight="1">
      <c r="A922" s="1" t="s">
        <v>72</v>
      </c>
      <c r="B922" s="1" t="s">
        <v>8600</v>
      </c>
      <c r="C922" s="1" t="s">
        <v>74</v>
      </c>
      <c r="D922" s="1" t="s">
        <v>74</v>
      </c>
      <c r="E922" s="1" t="s">
        <v>74</v>
      </c>
      <c r="F922" s="1" t="s">
        <v>8601</v>
      </c>
      <c r="G922" s="1" t="s">
        <v>74</v>
      </c>
      <c r="H922" s="1" t="s">
        <v>74</v>
      </c>
      <c r="I922" s="1" t="s">
        <v>8602</v>
      </c>
      <c r="J922" s="1" t="s">
        <v>148</v>
      </c>
      <c r="K922" s="1" t="s">
        <v>74</v>
      </c>
      <c r="L922" s="1" t="s">
        <v>74</v>
      </c>
      <c r="M922" s="1" t="s">
        <v>74</v>
      </c>
      <c r="N922" s="1" t="s">
        <v>74</v>
      </c>
      <c r="O922" s="1" t="s">
        <v>74</v>
      </c>
      <c r="P922" s="1" t="s">
        <v>74</v>
      </c>
      <c r="Q922" s="1" t="s">
        <v>74</v>
      </c>
      <c r="R922" s="1" t="s">
        <v>74</v>
      </c>
      <c r="S922" s="1" t="s">
        <v>74</v>
      </c>
      <c r="T922" s="1" t="s">
        <v>74</v>
      </c>
      <c r="U922" s="1" t="s">
        <v>74</v>
      </c>
      <c r="V922" s="1" t="s">
        <v>8603</v>
      </c>
      <c r="W922" s="1" t="s">
        <v>74</v>
      </c>
      <c r="X922" s="1" t="s">
        <v>74</v>
      </c>
      <c r="Y922" s="1" t="s">
        <v>74</v>
      </c>
      <c r="Z922" s="1" t="s">
        <v>74</v>
      </c>
      <c r="AA922" s="1" t="s">
        <v>8604</v>
      </c>
      <c r="AB922" s="1" t="s">
        <v>8605</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151</v>
      </c>
      <c r="AP922" s="1" t="s">
        <v>74</v>
      </c>
      <c r="AQ922" s="1" t="s">
        <v>74</v>
      </c>
      <c r="AR922" s="1" t="s">
        <v>74</v>
      </c>
      <c r="AS922" s="1" t="s">
        <v>74</v>
      </c>
      <c r="AT922" s="1" t="s">
        <v>8606</v>
      </c>
      <c r="AU922" s="1">
        <v>2019.0</v>
      </c>
      <c r="AV922" s="1">
        <v>7.0</v>
      </c>
      <c r="AW922" s="1" t="s">
        <v>74</v>
      </c>
      <c r="AX922" s="1" t="s">
        <v>74</v>
      </c>
      <c r="AY922" s="1" t="s">
        <v>74</v>
      </c>
      <c r="AZ922" s="1" t="s">
        <v>74</v>
      </c>
      <c r="BA922" s="1" t="s">
        <v>74</v>
      </c>
      <c r="BB922" s="1" t="s">
        <v>74</v>
      </c>
      <c r="BC922" s="1" t="s">
        <v>74</v>
      </c>
      <c r="BD922" s="1">
        <v>181.0</v>
      </c>
      <c r="BE922" s="1" t="s">
        <v>8607</v>
      </c>
      <c r="BF922" s="2" t="str">
        <f>HYPERLINK("http://dx.doi.org/10.3389/fchem.2019.00181","http://dx.doi.org/10.3389/fchem.2019.00181")</f>
        <v>http://dx.doi.org/10.3389/fchem.2019.00181</v>
      </c>
      <c r="BG922" s="1" t="s">
        <v>74</v>
      </c>
      <c r="BH922" s="1" t="s">
        <v>74</v>
      </c>
      <c r="BI922" s="1" t="s">
        <v>74</v>
      </c>
      <c r="BJ922" s="1" t="s">
        <v>74</v>
      </c>
      <c r="BK922" s="1" t="s">
        <v>74</v>
      </c>
      <c r="BL922" s="1" t="s">
        <v>74</v>
      </c>
      <c r="BM922" s="1" t="s">
        <v>74</v>
      </c>
      <c r="BN922" s="1">
        <v>3.0984747E7</v>
      </c>
      <c r="BO922" s="1" t="s">
        <v>74</v>
      </c>
      <c r="BP922" s="1" t="s">
        <v>74</v>
      </c>
      <c r="BQ922" s="1" t="s">
        <v>74</v>
      </c>
      <c r="BR922" s="1" t="s">
        <v>74</v>
      </c>
      <c r="BS922" s="1" t="s">
        <v>8608</v>
      </c>
      <c r="BT922" s="1" t="str">
        <f>HYPERLINK("https%3A%2F%2Fwww.webofscience.com%2Fwos%2Fwoscc%2Ffull-record%2FWOS:000462702000001","View Full Record in Web of Science")</f>
        <v>View Full Record in Web of Science</v>
      </c>
    </row>
    <row r="923" ht="12.75" customHeight="1">
      <c r="A923" s="1" t="s">
        <v>72</v>
      </c>
      <c r="B923" s="1" t="s">
        <v>8609</v>
      </c>
      <c r="C923" s="1" t="s">
        <v>74</v>
      </c>
      <c r="D923" s="1" t="s">
        <v>74</v>
      </c>
      <c r="E923" s="1" t="s">
        <v>74</v>
      </c>
      <c r="F923" s="1" t="s">
        <v>8610</v>
      </c>
      <c r="G923" s="1" t="s">
        <v>74</v>
      </c>
      <c r="H923" s="1" t="s">
        <v>74</v>
      </c>
      <c r="I923" s="1" t="s">
        <v>8611</v>
      </c>
      <c r="J923" s="1" t="s">
        <v>8612</v>
      </c>
      <c r="K923" s="1" t="s">
        <v>74</v>
      </c>
      <c r="L923" s="1" t="s">
        <v>74</v>
      </c>
      <c r="M923" s="1" t="s">
        <v>74</v>
      </c>
      <c r="N923" s="1" t="s">
        <v>74</v>
      </c>
      <c r="O923" s="1" t="s">
        <v>74</v>
      </c>
      <c r="P923" s="1" t="s">
        <v>74</v>
      </c>
      <c r="Q923" s="1" t="s">
        <v>74</v>
      </c>
      <c r="R923" s="1" t="s">
        <v>74</v>
      </c>
      <c r="S923" s="1" t="s">
        <v>74</v>
      </c>
      <c r="T923" s="1" t="s">
        <v>74</v>
      </c>
      <c r="U923" s="1" t="s">
        <v>74</v>
      </c>
      <c r="V923" s="1" t="s">
        <v>8613</v>
      </c>
      <c r="W923" s="1" t="s">
        <v>74</v>
      </c>
      <c r="X923" s="1" t="s">
        <v>74</v>
      </c>
      <c r="Y923" s="1" t="s">
        <v>74</v>
      </c>
      <c r="Z923" s="1" t="s">
        <v>74</v>
      </c>
      <c r="AA923" s="1" t="s">
        <v>8614</v>
      </c>
      <c r="AB923" s="1" t="s">
        <v>8615</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8616</v>
      </c>
      <c r="AP923" s="1" t="s">
        <v>8617</v>
      </c>
      <c r="AQ923" s="1" t="s">
        <v>74</v>
      </c>
      <c r="AR923" s="1" t="s">
        <v>74</v>
      </c>
      <c r="AS923" s="1" t="s">
        <v>74</v>
      </c>
      <c r="AT923" s="1" t="s">
        <v>164</v>
      </c>
      <c r="AU923" s="1">
        <v>2018.0</v>
      </c>
      <c r="AV923" s="1">
        <v>133.0</v>
      </c>
      <c r="AW923" s="1" t="s">
        <v>74</v>
      </c>
      <c r="AX923" s="1" t="s">
        <v>74</v>
      </c>
      <c r="AY923" s="1" t="s">
        <v>74</v>
      </c>
      <c r="AZ923" s="1" t="s">
        <v>74</v>
      </c>
      <c r="BA923" s="1" t="s">
        <v>74</v>
      </c>
      <c r="BB923" s="1">
        <v>1.0</v>
      </c>
      <c r="BC923" s="1">
        <v>14.0</v>
      </c>
      <c r="BD923" s="1" t="s">
        <v>74</v>
      </c>
      <c r="BE923" s="1" t="s">
        <v>8618</v>
      </c>
      <c r="BF923" s="2" t="str">
        <f>HYPERLINK("http://dx.doi.org/10.1016/j.jdeveco.2018.01.001","http://dx.doi.org/10.1016/j.jdeveco.2018.01.001")</f>
        <v>http://dx.doi.org/10.1016/j.jdeveco.2018.01.001</v>
      </c>
      <c r="BG923" s="1" t="s">
        <v>74</v>
      </c>
      <c r="BH923" s="1" t="s">
        <v>74</v>
      </c>
      <c r="BI923" s="1" t="s">
        <v>74</v>
      </c>
      <c r="BJ923" s="1" t="s">
        <v>74</v>
      </c>
      <c r="BK923" s="1" t="s">
        <v>74</v>
      </c>
      <c r="BL923" s="1" t="s">
        <v>74</v>
      </c>
      <c r="BM923" s="1" t="s">
        <v>74</v>
      </c>
      <c r="BN923" s="1" t="s">
        <v>74</v>
      </c>
      <c r="BO923" s="1" t="s">
        <v>74</v>
      </c>
      <c r="BP923" s="1" t="s">
        <v>74</v>
      </c>
      <c r="BQ923" s="1" t="s">
        <v>74</v>
      </c>
      <c r="BR923" s="1" t="s">
        <v>74</v>
      </c>
      <c r="BS923" s="1" t="s">
        <v>8619</v>
      </c>
      <c r="BT923" s="1" t="str">
        <f>HYPERLINK("https%3A%2F%2Fwww.webofscience.com%2Fwos%2Fwoscc%2Ffull-record%2FWOS:000437068000001","View Full Record in Web of Science")</f>
        <v>View Full Record in Web of Science</v>
      </c>
    </row>
    <row r="924" ht="12.75" customHeight="1">
      <c r="A924" s="1" t="s">
        <v>72</v>
      </c>
      <c r="B924" s="1" t="s">
        <v>8620</v>
      </c>
      <c r="C924" s="1" t="s">
        <v>74</v>
      </c>
      <c r="D924" s="1" t="s">
        <v>74</v>
      </c>
      <c r="E924" s="1" t="s">
        <v>74</v>
      </c>
      <c r="F924" s="1" t="s">
        <v>8621</v>
      </c>
      <c r="G924" s="1" t="s">
        <v>74</v>
      </c>
      <c r="H924" s="1" t="s">
        <v>74</v>
      </c>
      <c r="I924" s="1" t="s">
        <v>8622</v>
      </c>
      <c r="J924" s="1" t="s">
        <v>8623</v>
      </c>
      <c r="K924" s="1" t="s">
        <v>74</v>
      </c>
      <c r="L924" s="1" t="s">
        <v>74</v>
      </c>
      <c r="M924" s="1" t="s">
        <v>74</v>
      </c>
      <c r="N924" s="1" t="s">
        <v>74</v>
      </c>
      <c r="O924" s="1" t="s">
        <v>74</v>
      </c>
      <c r="P924" s="1" t="s">
        <v>74</v>
      </c>
      <c r="Q924" s="1" t="s">
        <v>74</v>
      </c>
      <c r="R924" s="1" t="s">
        <v>74</v>
      </c>
      <c r="S924" s="1" t="s">
        <v>74</v>
      </c>
      <c r="T924" s="1" t="s">
        <v>74</v>
      </c>
      <c r="U924" s="1" t="s">
        <v>74</v>
      </c>
      <c r="V924" s="1" t="s">
        <v>8624</v>
      </c>
      <c r="W924" s="1" t="s">
        <v>74</v>
      </c>
      <c r="X924" s="1" t="s">
        <v>74</v>
      </c>
      <c r="Y924" s="1" t="s">
        <v>74</v>
      </c>
      <c r="Z924" s="1" t="s">
        <v>74</v>
      </c>
      <c r="AA924" s="1" t="s">
        <v>8625</v>
      </c>
      <c r="AB924" s="1" t="s">
        <v>8626</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8627</v>
      </c>
      <c r="AP924" s="1" t="s">
        <v>74</v>
      </c>
      <c r="AQ924" s="1" t="s">
        <v>74</v>
      </c>
      <c r="AR924" s="1" t="s">
        <v>74</v>
      </c>
      <c r="AS924" s="1" t="s">
        <v>74</v>
      </c>
      <c r="AT924" s="1" t="s">
        <v>554</v>
      </c>
      <c r="AU924" s="1">
        <v>2018.0</v>
      </c>
      <c r="AV924" s="1">
        <v>9.0</v>
      </c>
      <c r="AW924" s="1" t="s">
        <v>74</v>
      </c>
      <c r="AX924" s="1" t="s">
        <v>74</v>
      </c>
      <c r="AY924" s="1" t="s">
        <v>74</v>
      </c>
      <c r="AZ924" s="1" t="s">
        <v>74</v>
      </c>
      <c r="BA924" s="1" t="s">
        <v>74</v>
      </c>
      <c r="BB924" s="1">
        <v>207.0</v>
      </c>
      <c r="BC924" s="1">
        <v>213.0</v>
      </c>
      <c r="BD924" s="1" t="s">
        <v>74</v>
      </c>
      <c r="BE924" s="1" t="s">
        <v>8628</v>
      </c>
      <c r="BF924" s="2" t="str">
        <f>HYPERLINK("http://dx.doi.org/10.1016/j.coelec.2018.04.001","http://dx.doi.org/10.1016/j.coelec.2018.04.001")</f>
        <v>http://dx.doi.org/10.1016/j.coelec.2018.04.001</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8629</v>
      </c>
      <c r="BT924" s="1" t="str">
        <f>HYPERLINK("https%3A%2F%2Fwww.webofscience.com%2Fwos%2Fwoscc%2Ffull-record%2FWOS:000442798800029","View Full Record in Web of Science")</f>
        <v>View Full Record in Web of Science</v>
      </c>
    </row>
    <row r="925" ht="12.75" customHeight="1">
      <c r="A925" s="1" t="s">
        <v>72</v>
      </c>
      <c r="B925" s="1" t="s">
        <v>8630</v>
      </c>
      <c r="C925" s="1" t="s">
        <v>74</v>
      </c>
      <c r="D925" s="1" t="s">
        <v>74</v>
      </c>
      <c r="E925" s="1" t="s">
        <v>74</v>
      </c>
      <c r="F925" s="1" t="s">
        <v>8631</v>
      </c>
      <c r="G925" s="1" t="s">
        <v>74</v>
      </c>
      <c r="H925" s="1" t="s">
        <v>74</v>
      </c>
      <c r="I925" s="1" t="s">
        <v>8632</v>
      </c>
      <c r="J925" s="1" t="s">
        <v>8633</v>
      </c>
      <c r="K925" s="1" t="s">
        <v>74</v>
      </c>
      <c r="L925" s="1" t="s">
        <v>74</v>
      </c>
      <c r="M925" s="1" t="s">
        <v>74</v>
      </c>
      <c r="N925" s="1" t="s">
        <v>74</v>
      </c>
      <c r="O925" s="1" t="s">
        <v>74</v>
      </c>
      <c r="P925" s="1" t="s">
        <v>74</v>
      </c>
      <c r="Q925" s="1" t="s">
        <v>74</v>
      </c>
      <c r="R925" s="1" t="s">
        <v>74</v>
      </c>
      <c r="S925" s="1" t="s">
        <v>74</v>
      </c>
      <c r="T925" s="1" t="s">
        <v>74</v>
      </c>
      <c r="U925" s="1" t="s">
        <v>74</v>
      </c>
      <c r="V925" s="1" t="s">
        <v>8634</v>
      </c>
      <c r="W925" s="1" t="s">
        <v>74</v>
      </c>
      <c r="X925" s="1" t="s">
        <v>74</v>
      </c>
      <c r="Y925" s="1" t="s">
        <v>74</v>
      </c>
      <c r="Z925" s="1" t="s">
        <v>74</v>
      </c>
      <c r="AA925" s="1" t="s">
        <v>8635</v>
      </c>
      <c r="AB925" s="1" t="s">
        <v>8636</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74</v>
      </c>
      <c r="AP925" s="1" t="s">
        <v>8637</v>
      </c>
      <c r="AQ925" s="1" t="s">
        <v>74</v>
      </c>
      <c r="AR925" s="1" t="s">
        <v>74</v>
      </c>
      <c r="AS925" s="1" t="s">
        <v>74</v>
      </c>
      <c r="AT925" s="1" t="s">
        <v>554</v>
      </c>
      <c r="AU925" s="1">
        <v>2018.0</v>
      </c>
      <c r="AV925" s="1">
        <v>10.0</v>
      </c>
      <c r="AW925" s="1">
        <v>6.0</v>
      </c>
      <c r="AX925" s="1" t="s">
        <v>74</v>
      </c>
      <c r="AY925" s="1" t="s">
        <v>74</v>
      </c>
      <c r="AZ925" s="1" t="s">
        <v>74</v>
      </c>
      <c r="BA925" s="1" t="s">
        <v>74</v>
      </c>
      <c r="BB925" s="1" t="s">
        <v>74</v>
      </c>
      <c r="BC925" s="1" t="s">
        <v>74</v>
      </c>
      <c r="BD925" s="1">
        <v>817.0</v>
      </c>
      <c r="BE925" s="1" t="s">
        <v>8638</v>
      </c>
      <c r="BF925" s="2" t="str">
        <f>HYPERLINK("http://dx.doi.org/10.3390/w10060817","http://dx.doi.org/10.3390/w10060817")</f>
        <v>http://dx.doi.org/10.3390/w10060817</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8639</v>
      </c>
      <c r="BT925" s="1" t="str">
        <f>HYPERLINK("https%3A%2F%2Fwww.webofscience.com%2Fwos%2Fwoscc%2Ffull-record%2FWOS:000436515100148","View Full Record in Web of Science")</f>
        <v>View Full Record in Web of Science</v>
      </c>
    </row>
    <row r="926" ht="12.75" customHeight="1">
      <c r="A926" s="1" t="s">
        <v>72</v>
      </c>
      <c r="B926" s="1" t="s">
        <v>8640</v>
      </c>
      <c r="C926" s="1" t="s">
        <v>74</v>
      </c>
      <c r="D926" s="1" t="s">
        <v>74</v>
      </c>
      <c r="E926" s="1" t="s">
        <v>74</v>
      </c>
      <c r="F926" s="1" t="s">
        <v>8641</v>
      </c>
      <c r="G926" s="1" t="s">
        <v>74</v>
      </c>
      <c r="H926" s="1" t="s">
        <v>74</v>
      </c>
      <c r="I926" s="1" t="s">
        <v>8642</v>
      </c>
      <c r="J926" s="1" t="s">
        <v>8643</v>
      </c>
      <c r="K926" s="1" t="s">
        <v>74</v>
      </c>
      <c r="L926" s="1" t="s">
        <v>74</v>
      </c>
      <c r="M926" s="1" t="s">
        <v>74</v>
      </c>
      <c r="N926" s="1" t="s">
        <v>74</v>
      </c>
      <c r="O926" s="1" t="s">
        <v>74</v>
      </c>
      <c r="P926" s="1" t="s">
        <v>74</v>
      </c>
      <c r="Q926" s="1" t="s">
        <v>74</v>
      </c>
      <c r="R926" s="1" t="s">
        <v>74</v>
      </c>
      <c r="S926" s="1" t="s">
        <v>74</v>
      </c>
      <c r="T926" s="1" t="s">
        <v>74</v>
      </c>
      <c r="U926" s="1" t="s">
        <v>74</v>
      </c>
      <c r="V926" s="1" t="s">
        <v>8644</v>
      </c>
      <c r="W926" s="1" t="s">
        <v>74</v>
      </c>
      <c r="X926" s="1" t="s">
        <v>74</v>
      </c>
      <c r="Y926" s="1" t="s">
        <v>74</v>
      </c>
      <c r="Z926" s="1" t="s">
        <v>74</v>
      </c>
      <c r="AA926" s="1" t="s">
        <v>8645</v>
      </c>
      <c r="AB926" s="1" t="s">
        <v>8646</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8647</v>
      </c>
      <c r="AP926" s="1" t="s">
        <v>8648</v>
      </c>
      <c r="AQ926" s="1" t="s">
        <v>74</v>
      </c>
      <c r="AR926" s="1" t="s">
        <v>74</v>
      </c>
      <c r="AS926" s="1" t="s">
        <v>74</v>
      </c>
      <c r="AT926" s="1" t="s">
        <v>2625</v>
      </c>
      <c r="AU926" s="1">
        <v>2018.0</v>
      </c>
      <c r="AV926" s="1">
        <v>150.0</v>
      </c>
      <c r="AW926" s="1" t="s">
        <v>74</v>
      </c>
      <c r="AX926" s="1" t="s">
        <v>74</v>
      </c>
      <c r="AY926" s="1" t="s">
        <v>74</v>
      </c>
      <c r="AZ926" s="1" t="s">
        <v>74</v>
      </c>
      <c r="BA926" s="1" t="s">
        <v>74</v>
      </c>
      <c r="BB926" s="1">
        <v>320.0</v>
      </c>
      <c r="BC926" s="1">
        <v>326.0</v>
      </c>
      <c r="BD926" s="1" t="s">
        <v>74</v>
      </c>
      <c r="BE926" s="1" t="s">
        <v>8649</v>
      </c>
      <c r="BF926" s="2" t="str">
        <f>HYPERLINK("http://dx.doi.org/10.1016/j.ecoenv.2017.12.050","http://dx.doi.org/10.1016/j.ecoenv.2017.12.050")</f>
        <v>http://dx.doi.org/10.1016/j.ecoenv.2017.12.050</v>
      </c>
      <c r="BG926" s="1" t="s">
        <v>74</v>
      </c>
      <c r="BH926" s="1" t="s">
        <v>74</v>
      </c>
      <c r="BI926" s="1" t="s">
        <v>74</v>
      </c>
      <c r="BJ926" s="1" t="s">
        <v>74</v>
      </c>
      <c r="BK926" s="1" t="s">
        <v>74</v>
      </c>
      <c r="BL926" s="1" t="s">
        <v>74</v>
      </c>
      <c r="BM926" s="1" t="s">
        <v>74</v>
      </c>
      <c r="BN926" s="1">
        <v>2.9294441E7</v>
      </c>
      <c r="BO926" s="1" t="s">
        <v>74</v>
      </c>
      <c r="BP926" s="1" t="s">
        <v>74</v>
      </c>
      <c r="BQ926" s="1" t="s">
        <v>74</v>
      </c>
      <c r="BR926" s="1" t="s">
        <v>74</v>
      </c>
      <c r="BS926" s="1" t="s">
        <v>8650</v>
      </c>
      <c r="BT926" s="1" t="str">
        <f>HYPERLINK("https%3A%2F%2Fwww.webofscience.com%2Fwos%2Fwoscc%2Ffull-record%2FWOS:000423651600038","View Full Record in Web of Science")</f>
        <v>View Full Record in Web of Science</v>
      </c>
    </row>
    <row r="927" ht="12.75" customHeight="1">
      <c r="A927" s="1" t="s">
        <v>72</v>
      </c>
      <c r="B927" s="1" t="s">
        <v>8651</v>
      </c>
      <c r="C927" s="1" t="s">
        <v>74</v>
      </c>
      <c r="D927" s="1" t="s">
        <v>74</v>
      </c>
      <c r="E927" s="1" t="s">
        <v>74</v>
      </c>
      <c r="F927" s="1" t="s">
        <v>8652</v>
      </c>
      <c r="G927" s="1" t="s">
        <v>74</v>
      </c>
      <c r="H927" s="1" t="s">
        <v>74</v>
      </c>
      <c r="I927" s="1" t="s">
        <v>8653</v>
      </c>
      <c r="J927" s="1" t="s">
        <v>8654</v>
      </c>
      <c r="K927" s="1" t="s">
        <v>74</v>
      </c>
      <c r="L927" s="1" t="s">
        <v>74</v>
      </c>
      <c r="M927" s="1" t="s">
        <v>74</v>
      </c>
      <c r="N927" s="1" t="s">
        <v>74</v>
      </c>
      <c r="O927" s="1" t="s">
        <v>74</v>
      </c>
      <c r="P927" s="1" t="s">
        <v>74</v>
      </c>
      <c r="Q927" s="1" t="s">
        <v>74</v>
      </c>
      <c r="R927" s="1" t="s">
        <v>74</v>
      </c>
      <c r="S927" s="1" t="s">
        <v>74</v>
      </c>
      <c r="T927" s="1" t="s">
        <v>74</v>
      </c>
      <c r="U927" s="1" t="s">
        <v>74</v>
      </c>
      <c r="V927" s="1" t="s">
        <v>8655</v>
      </c>
      <c r="W927" s="1" t="s">
        <v>74</v>
      </c>
      <c r="X927" s="1" t="s">
        <v>74</v>
      </c>
      <c r="Y927" s="1" t="s">
        <v>74</v>
      </c>
      <c r="Z927" s="1" t="s">
        <v>74</v>
      </c>
      <c r="AA927" s="1" t="s">
        <v>8656</v>
      </c>
      <c r="AB927" s="1" t="s">
        <v>8657</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8658</v>
      </c>
      <c r="AP927" s="1" t="s">
        <v>8659</v>
      </c>
      <c r="AQ927" s="1" t="s">
        <v>74</v>
      </c>
      <c r="AR927" s="1" t="s">
        <v>74</v>
      </c>
      <c r="AS927" s="1" t="s">
        <v>74</v>
      </c>
      <c r="AT927" s="1" t="s">
        <v>1729</v>
      </c>
      <c r="AU927" s="1">
        <v>2018.0</v>
      </c>
      <c r="AV927" s="1">
        <v>332.0</v>
      </c>
      <c r="AW927" s="1" t="s">
        <v>74</v>
      </c>
      <c r="AX927" s="1" t="s">
        <v>74</v>
      </c>
      <c r="AY927" s="1" t="s">
        <v>74</v>
      </c>
      <c r="AZ927" s="1" t="s">
        <v>74</v>
      </c>
      <c r="BA927" s="1" t="s">
        <v>74</v>
      </c>
      <c r="BB927" s="1">
        <v>702.0</v>
      </c>
      <c r="BC927" s="1">
        <v>710.0</v>
      </c>
      <c r="BD927" s="1" t="s">
        <v>74</v>
      </c>
      <c r="BE927" s="1" t="s">
        <v>8660</v>
      </c>
      <c r="BF927" s="2" t="str">
        <f>HYPERLINK("http://dx.doi.org/10.1016/j.cej.2017.09.095","http://dx.doi.org/10.1016/j.cej.2017.09.095")</f>
        <v>http://dx.doi.org/10.1016/j.cej.2017.09.095</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8661</v>
      </c>
      <c r="BT927" s="1" t="str">
        <f>HYPERLINK("https%3A%2F%2Fwww.webofscience.com%2Fwos%2Fwoscc%2Ffull-record%2FWOS:000414913700075","View Full Record in Web of Science")</f>
        <v>View Full Record in Web of Science</v>
      </c>
    </row>
    <row r="928" ht="12.75" customHeight="1">
      <c r="A928" s="1" t="s">
        <v>72</v>
      </c>
      <c r="B928" s="1" t="s">
        <v>8662</v>
      </c>
      <c r="C928" s="1" t="s">
        <v>74</v>
      </c>
      <c r="D928" s="1" t="s">
        <v>74</v>
      </c>
      <c r="E928" s="1" t="s">
        <v>74</v>
      </c>
      <c r="F928" s="1" t="s">
        <v>8663</v>
      </c>
      <c r="G928" s="1" t="s">
        <v>74</v>
      </c>
      <c r="H928" s="1" t="s">
        <v>74</v>
      </c>
      <c r="I928" s="1" t="s">
        <v>8664</v>
      </c>
      <c r="J928" s="1" t="s">
        <v>8665</v>
      </c>
      <c r="K928" s="1" t="s">
        <v>74</v>
      </c>
      <c r="L928" s="1" t="s">
        <v>74</v>
      </c>
      <c r="M928" s="1" t="s">
        <v>74</v>
      </c>
      <c r="N928" s="1" t="s">
        <v>74</v>
      </c>
      <c r="O928" s="1" t="s">
        <v>74</v>
      </c>
      <c r="P928" s="1" t="s">
        <v>74</v>
      </c>
      <c r="Q928" s="1" t="s">
        <v>74</v>
      </c>
      <c r="R928" s="1" t="s">
        <v>74</v>
      </c>
      <c r="S928" s="1" t="s">
        <v>74</v>
      </c>
      <c r="T928" s="1" t="s">
        <v>74</v>
      </c>
      <c r="U928" s="1" t="s">
        <v>74</v>
      </c>
      <c r="V928" s="1" t="s">
        <v>8666</v>
      </c>
      <c r="W928" s="1" t="s">
        <v>74</v>
      </c>
      <c r="X928" s="1" t="s">
        <v>74</v>
      </c>
      <c r="Y928" s="1" t="s">
        <v>74</v>
      </c>
      <c r="Z928" s="1" t="s">
        <v>74</v>
      </c>
      <c r="AA928" s="1" t="s">
        <v>8667</v>
      </c>
      <c r="AB928" s="1" t="s">
        <v>8668</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8669</v>
      </c>
      <c r="AP928" s="1" t="s">
        <v>8670</v>
      </c>
      <c r="AQ928" s="1" t="s">
        <v>74</v>
      </c>
      <c r="AR928" s="1" t="s">
        <v>74</v>
      </c>
      <c r="AS928" s="1" t="s">
        <v>74</v>
      </c>
      <c r="AT928" s="1" t="s">
        <v>496</v>
      </c>
      <c r="AU928" s="1">
        <v>2018.0</v>
      </c>
      <c r="AV928" s="1">
        <v>22.0</v>
      </c>
      <c r="AW928" s="1" t="s">
        <v>74</v>
      </c>
      <c r="AX928" s="1" t="s">
        <v>74</v>
      </c>
      <c r="AY928" s="1" t="s">
        <v>74</v>
      </c>
      <c r="AZ928" s="1" t="s">
        <v>74</v>
      </c>
      <c r="BA928" s="1" t="s">
        <v>74</v>
      </c>
      <c r="BB928" s="1">
        <v>16.0</v>
      </c>
      <c r="BC928" s="1">
        <v>27.0</v>
      </c>
      <c r="BD928" s="1" t="s">
        <v>74</v>
      </c>
      <c r="BE928" s="1" t="s">
        <v>8671</v>
      </c>
      <c r="BF928" s="2" t="str">
        <f>HYPERLINK("http://dx.doi.org/10.1016/j.ascom.2017.11.003","http://dx.doi.org/10.1016/j.ascom.2017.11.003")</f>
        <v>http://dx.doi.org/10.1016/j.ascom.2017.11.003</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8672</v>
      </c>
      <c r="BT928" s="1" t="str">
        <f>HYPERLINK("https%3A%2F%2Fwww.webofscience.com%2Fwos%2Fwoscc%2Ffull-record%2FWOS:000427755500003","View Full Record in Web of Science")</f>
        <v>View Full Record in Web of Science</v>
      </c>
    </row>
    <row r="929" ht="12.75" customHeight="1">
      <c r="A929" s="1" t="s">
        <v>346</v>
      </c>
      <c r="B929" s="1" t="s">
        <v>8673</v>
      </c>
      <c r="C929" s="1" t="s">
        <v>74</v>
      </c>
      <c r="D929" s="1" t="s">
        <v>8674</v>
      </c>
      <c r="E929" s="1" t="s">
        <v>74</v>
      </c>
      <c r="F929" s="1" t="s">
        <v>8675</v>
      </c>
      <c r="G929" s="1" t="s">
        <v>74</v>
      </c>
      <c r="H929" s="1" t="s">
        <v>74</v>
      </c>
      <c r="I929" s="1" t="s">
        <v>8676</v>
      </c>
      <c r="J929" s="1" t="s">
        <v>8677</v>
      </c>
      <c r="K929" s="1" t="s">
        <v>4269</v>
      </c>
      <c r="L929" s="1" t="s">
        <v>74</v>
      </c>
      <c r="M929" s="1" t="s">
        <v>74</v>
      </c>
      <c r="N929" s="1" t="s">
        <v>74</v>
      </c>
      <c r="O929" s="1" t="s">
        <v>8678</v>
      </c>
      <c r="P929" s="1" t="s">
        <v>8679</v>
      </c>
      <c r="Q929" s="1" t="s">
        <v>8680</v>
      </c>
      <c r="R929" s="1" t="s">
        <v>8681</v>
      </c>
      <c r="S929" s="1" t="s">
        <v>74</v>
      </c>
      <c r="T929" s="1" t="s">
        <v>74</v>
      </c>
      <c r="U929" s="1" t="s">
        <v>74</v>
      </c>
      <c r="V929" s="1" t="s">
        <v>8682</v>
      </c>
      <c r="W929" s="1" t="s">
        <v>74</v>
      </c>
      <c r="X929" s="1" t="s">
        <v>74</v>
      </c>
      <c r="Y929" s="1" t="s">
        <v>74</v>
      </c>
      <c r="Z929" s="1" t="s">
        <v>74</v>
      </c>
      <c r="AA929" s="1" t="s">
        <v>8683</v>
      </c>
      <c r="AB929" s="1" t="s">
        <v>8684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4277</v>
      </c>
      <c r="AP929" s="1" t="s">
        <v>74</v>
      </c>
      <c r="AQ929" s="1" t="s">
        <v>74</v>
      </c>
      <c r="AR929" s="1" t="s">
        <v>74</v>
      </c>
      <c r="AS929" s="1" t="s">
        <v>74</v>
      </c>
      <c r="AT929" s="1" t="s">
        <v>74</v>
      </c>
      <c r="AU929" s="1">
        <v>2018.0</v>
      </c>
      <c r="AV929" s="1">
        <v>139.0</v>
      </c>
      <c r="AW929" s="1" t="s">
        <v>74</v>
      </c>
      <c r="AX929" s="1" t="s">
        <v>74</v>
      </c>
      <c r="AY929" s="1" t="s">
        <v>74</v>
      </c>
      <c r="AZ929" s="1" t="s">
        <v>74</v>
      </c>
      <c r="BA929" s="1" t="s">
        <v>74</v>
      </c>
      <c r="BB929" s="1">
        <v>570.0</v>
      </c>
      <c r="BC929" s="1">
        <v>577.0</v>
      </c>
      <c r="BD929" s="1" t="s">
        <v>74</v>
      </c>
      <c r="BE929" s="1" t="s">
        <v>8685</v>
      </c>
      <c r="BF929" s="2" t="str">
        <f>HYPERLINK("http://dx.doi.org/10.1016/j.procs.2018.10.208","http://dx.doi.org/10.1016/j.procs.2018.10.208")</f>
        <v>http://dx.doi.org/10.1016/j.procs.2018.10.208</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8686</v>
      </c>
      <c r="BT929" s="1" t="str">
        <f>HYPERLINK("https%3A%2F%2Fwww.webofscience.com%2Fwos%2Fwoscc%2Ffull-record%2FWOS:000471259200075","View Full Record in Web of Science")</f>
        <v>View Full Record in Web of Science</v>
      </c>
    </row>
    <row r="930" ht="12.75" customHeight="1">
      <c r="A930" s="1" t="s">
        <v>72</v>
      </c>
      <c r="B930" s="1" t="s">
        <v>8687</v>
      </c>
      <c r="C930" s="1" t="s">
        <v>74</v>
      </c>
      <c r="D930" s="1" t="s">
        <v>74</v>
      </c>
      <c r="E930" s="1" t="s">
        <v>74</v>
      </c>
      <c r="F930" s="1" t="s">
        <v>8688</v>
      </c>
      <c r="G930" s="1" t="s">
        <v>74</v>
      </c>
      <c r="H930" s="1" t="s">
        <v>74</v>
      </c>
      <c r="I930" s="1" t="s">
        <v>8689</v>
      </c>
      <c r="J930" s="1" t="s">
        <v>1216</v>
      </c>
      <c r="K930" s="1" t="s">
        <v>74</v>
      </c>
      <c r="L930" s="1" t="s">
        <v>74</v>
      </c>
      <c r="M930" s="1" t="s">
        <v>74</v>
      </c>
      <c r="N930" s="1" t="s">
        <v>74</v>
      </c>
      <c r="O930" s="1" t="s">
        <v>74</v>
      </c>
      <c r="P930" s="1" t="s">
        <v>74</v>
      </c>
      <c r="Q930" s="1" t="s">
        <v>74</v>
      </c>
      <c r="R930" s="1" t="s">
        <v>74</v>
      </c>
      <c r="S930" s="1" t="s">
        <v>74</v>
      </c>
      <c r="T930" s="1" t="s">
        <v>74</v>
      </c>
      <c r="U930" s="1" t="s">
        <v>74</v>
      </c>
      <c r="V930" s="1" t="s">
        <v>8690</v>
      </c>
      <c r="W930" s="1" t="s">
        <v>74</v>
      </c>
      <c r="X930" s="1" t="s">
        <v>74</v>
      </c>
      <c r="Y930" s="1" t="s">
        <v>74</v>
      </c>
      <c r="Z930" s="1" t="s">
        <v>74</v>
      </c>
      <c r="AA930" s="1" t="s">
        <v>74</v>
      </c>
      <c r="AB930" s="1" t="s">
        <v>74</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1220</v>
      </c>
      <c r="AP930" s="1" t="s">
        <v>4081</v>
      </c>
      <c r="AQ930" s="1" t="s">
        <v>74</v>
      </c>
      <c r="AR930" s="1" t="s">
        <v>74</v>
      </c>
      <c r="AS930" s="1" t="s">
        <v>74</v>
      </c>
      <c r="AT930" s="1" t="s">
        <v>8691</v>
      </c>
      <c r="AU930" s="1">
        <v>2017.0</v>
      </c>
      <c r="AV930" s="1">
        <v>769.0</v>
      </c>
      <c r="AW930" s="1" t="s">
        <v>74</v>
      </c>
      <c r="AX930" s="1" t="s">
        <v>74</v>
      </c>
      <c r="AY930" s="1" t="s">
        <v>74</v>
      </c>
      <c r="AZ930" s="1" t="s">
        <v>74</v>
      </c>
      <c r="BA930" s="1" t="s">
        <v>74</v>
      </c>
      <c r="BB930" s="1">
        <v>159.0</v>
      </c>
      <c r="BC930" s="1">
        <v>165.0</v>
      </c>
      <c r="BD930" s="1" t="s">
        <v>74</v>
      </c>
      <c r="BE930" s="1" t="s">
        <v>8692</v>
      </c>
      <c r="BF930" s="2" t="str">
        <f>HYPERLINK("http://dx.doi.org/10.1016/j.physletb.2017.03.065","http://dx.doi.org/10.1016/j.physletb.2017.03.065")</f>
        <v>http://dx.doi.org/10.1016/j.physletb.2017.03.065</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8693</v>
      </c>
      <c r="BT930" s="1" t="str">
        <f>HYPERLINK("https%3A%2F%2Fwww.webofscience.com%2Fwos%2Fwoscc%2Ffull-record%2FWOS:000402342500026","View Full Record in Web of Science")</f>
        <v>View Full Record in Web of Science</v>
      </c>
    </row>
    <row r="931" ht="12.75" customHeight="1">
      <c r="A931" s="1" t="s">
        <v>72</v>
      </c>
      <c r="B931" s="1" t="s">
        <v>8694</v>
      </c>
      <c r="C931" s="1" t="s">
        <v>74</v>
      </c>
      <c r="D931" s="1" t="s">
        <v>74</v>
      </c>
      <c r="E931" s="1" t="s">
        <v>74</v>
      </c>
      <c r="F931" s="1" t="s">
        <v>8695</v>
      </c>
      <c r="G931" s="1" t="s">
        <v>74</v>
      </c>
      <c r="H931" s="1" t="s">
        <v>74</v>
      </c>
      <c r="I931" s="1" t="s">
        <v>8696</v>
      </c>
      <c r="J931" s="1" t="s">
        <v>3051</v>
      </c>
      <c r="K931" s="1" t="s">
        <v>74</v>
      </c>
      <c r="L931" s="1" t="s">
        <v>74</v>
      </c>
      <c r="M931" s="1" t="s">
        <v>74</v>
      </c>
      <c r="N931" s="1" t="s">
        <v>74</v>
      </c>
      <c r="O931" s="1" t="s">
        <v>8697</v>
      </c>
      <c r="P931" s="1" t="s">
        <v>8698</v>
      </c>
      <c r="Q931" s="1" t="s">
        <v>8699</v>
      </c>
      <c r="R931" s="1" t="s">
        <v>8700</v>
      </c>
      <c r="S931" s="1" t="s">
        <v>74</v>
      </c>
      <c r="T931" s="1" t="s">
        <v>74</v>
      </c>
      <c r="U931" s="1" t="s">
        <v>74</v>
      </c>
      <c r="V931" s="1" t="s">
        <v>74</v>
      </c>
      <c r="W931" s="1" t="s">
        <v>74</v>
      </c>
      <c r="X931" s="1" t="s">
        <v>74</v>
      </c>
      <c r="Y931" s="1" t="s">
        <v>74</v>
      </c>
      <c r="Z931" s="1" t="s">
        <v>74</v>
      </c>
      <c r="AA931" s="1" t="s">
        <v>2830</v>
      </c>
      <c r="AB931" s="1" t="s">
        <v>74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3055</v>
      </c>
      <c r="AP931" s="1" t="s">
        <v>3056</v>
      </c>
      <c r="AQ931" s="1" t="s">
        <v>74</v>
      </c>
      <c r="AR931" s="1" t="s">
        <v>74</v>
      </c>
      <c r="AS931" s="1" t="s">
        <v>74</v>
      </c>
      <c r="AT931" s="1" t="s">
        <v>647</v>
      </c>
      <c r="AU931" s="1">
        <v>2016.0</v>
      </c>
      <c r="AV931" s="1">
        <v>71.0</v>
      </c>
      <c r="AW931" s="1" t="s">
        <v>74</v>
      </c>
      <c r="AX931" s="1" t="s">
        <v>74</v>
      </c>
      <c r="AY931" s="1">
        <v>102.0</v>
      </c>
      <c r="AZ931" s="1" t="s">
        <v>297</v>
      </c>
      <c r="BA931" s="1">
        <v>546.0</v>
      </c>
      <c r="BB931" s="1">
        <v>255.0</v>
      </c>
      <c r="BC931" s="1">
        <v>255.0</v>
      </c>
      <c r="BD931" s="1" t="s">
        <v>74</v>
      </c>
      <c r="BE931" s="1" t="s">
        <v>74</v>
      </c>
      <c r="BF931" s="1" t="s">
        <v>74</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8701</v>
      </c>
      <c r="BT931" s="1" t="str">
        <f>HYPERLINK("https%3A%2F%2Fwww.webofscience.com%2Fwos%2Fwoscc%2Ffull-record%2FWOS:000383679801354","View Full Record in Web of Science")</f>
        <v>View Full Record in Web of Science</v>
      </c>
    </row>
    <row r="932" ht="12.75" customHeight="1">
      <c r="A932" s="1" t="s">
        <v>72</v>
      </c>
      <c r="B932" s="1" t="s">
        <v>8702</v>
      </c>
      <c r="C932" s="1" t="s">
        <v>74</v>
      </c>
      <c r="D932" s="1" t="s">
        <v>74</v>
      </c>
      <c r="E932" s="1" t="s">
        <v>74</v>
      </c>
      <c r="F932" s="1" t="s">
        <v>8703</v>
      </c>
      <c r="G932" s="1" t="s">
        <v>74</v>
      </c>
      <c r="H932" s="1" t="s">
        <v>74</v>
      </c>
      <c r="I932" s="1" t="s">
        <v>8704</v>
      </c>
      <c r="J932" s="1" t="s">
        <v>771</v>
      </c>
      <c r="K932" s="1" t="s">
        <v>74</v>
      </c>
      <c r="L932" s="1" t="s">
        <v>74</v>
      </c>
      <c r="M932" s="1" t="s">
        <v>74</v>
      </c>
      <c r="N932" s="1" t="s">
        <v>74</v>
      </c>
      <c r="O932" s="1" t="s">
        <v>74</v>
      </c>
      <c r="P932" s="1" t="s">
        <v>74</v>
      </c>
      <c r="Q932" s="1" t="s">
        <v>74</v>
      </c>
      <c r="R932" s="1" t="s">
        <v>74</v>
      </c>
      <c r="S932" s="1" t="s">
        <v>74</v>
      </c>
      <c r="T932" s="1" t="s">
        <v>74</v>
      </c>
      <c r="U932" s="1" t="s">
        <v>74</v>
      </c>
      <c r="V932" s="1" t="s">
        <v>8705</v>
      </c>
      <c r="W932" s="1" t="s">
        <v>74</v>
      </c>
      <c r="X932" s="1" t="s">
        <v>74</v>
      </c>
      <c r="Y932" s="1" t="s">
        <v>74</v>
      </c>
      <c r="Z932" s="1" t="s">
        <v>74</v>
      </c>
      <c r="AA932" s="1" t="s">
        <v>8706</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775</v>
      </c>
      <c r="AP932" s="1" t="s">
        <v>776</v>
      </c>
      <c r="AQ932" s="1" t="s">
        <v>74</v>
      </c>
      <c r="AR932" s="1" t="s">
        <v>74</v>
      </c>
      <c r="AS932" s="1" t="s">
        <v>74</v>
      </c>
      <c r="AT932" s="1" t="s">
        <v>83</v>
      </c>
      <c r="AU932" s="1">
        <v>2014.0</v>
      </c>
      <c r="AV932" s="1">
        <v>41.0</v>
      </c>
      <c r="AW932" s="1">
        <v>4.0</v>
      </c>
      <c r="AX932" s="1">
        <v>2.0</v>
      </c>
      <c r="AY932" s="1" t="s">
        <v>74</v>
      </c>
      <c r="AZ932" s="1" t="s">
        <v>74</v>
      </c>
      <c r="BA932" s="1" t="s">
        <v>74</v>
      </c>
      <c r="BB932" s="1">
        <v>1593.0</v>
      </c>
      <c r="BC932" s="1">
        <v>1600.0</v>
      </c>
      <c r="BD932" s="1" t="s">
        <v>74</v>
      </c>
      <c r="BE932" s="1" t="s">
        <v>8707</v>
      </c>
      <c r="BF932" s="2" t="str">
        <f>HYPERLINK("http://dx.doi.org/10.1016/j.eswa.2013.08.056","http://dx.doi.org/10.1016/j.eswa.2013.08.056")</f>
        <v>http://dx.doi.org/10.1016/j.eswa.2013.08.056</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8708</v>
      </c>
      <c r="BT932" s="1" t="str">
        <f>HYPERLINK("https%3A%2F%2Fwww.webofscience.com%2Fwos%2Fwoscc%2Ffull-record%2FWOS:000329955900007","View Full Record in Web of Science")</f>
        <v>View Full Record in Web of Science</v>
      </c>
    </row>
    <row r="933" ht="12.75" customHeight="1">
      <c r="A933" s="1" t="s">
        <v>72</v>
      </c>
      <c r="B933" s="1" t="s">
        <v>8709</v>
      </c>
      <c r="C933" s="1" t="s">
        <v>74</v>
      </c>
      <c r="D933" s="1" t="s">
        <v>74</v>
      </c>
      <c r="E933" s="1" t="s">
        <v>74</v>
      </c>
      <c r="F933" s="1" t="s">
        <v>8710</v>
      </c>
      <c r="G933" s="1" t="s">
        <v>74</v>
      </c>
      <c r="H933" s="1" t="s">
        <v>74</v>
      </c>
      <c r="I933" s="1" t="s">
        <v>8711</v>
      </c>
      <c r="J933" s="1" t="s">
        <v>2920</v>
      </c>
      <c r="K933" s="1" t="s">
        <v>74</v>
      </c>
      <c r="L933" s="1" t="s">
        <v>74</v>
      </c>
      <c r="M933" s="1" t="s">
        <v>74</v>
      </c>
      <c r="N933" s="1" t="s">
        <v>74</v>
      </c>
      <c r="O933" s="1" t="s">
        <v>74</v>
      </c>
      <c r="P933" s="1" t="s">
        <v>74</v>
      </c>
      <c r="Q933" s="1" t="s">
        <v>74</v>
      </c>
      <c r="R933" s="1" t="s">
        <v>74</v>
      </c>
      <c r="S933" s="1" t="s">
        <v>74</v>
      </c>
      <c r="T933" s="1" t="s">
        <v>74</v>
      </c>
      <c r="U933" s="1" t="s">
        <v>74</v>
      </c>
      <c r="V933" s="1" t="s">
        <v>8712</v>
      </c>
      <c r="W933" s="1" t="s">
        <v>74</v>
      </c>
      <c r="X933" s="1" t="s">
        <v>74</v>
      </c>
      <c r="Y933" s="1" t="s">
        <v>74</v>
      </c>
      <c r="Z933" s="1" t="s">
        <v>74</v>
      </c>
      <c r="AA933" s="1" t="s">
        <v>4025</v>
      </c>
      <c r="AB933" s="1" t="s">
        <v>8713</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2923</v>
      </c>
      <c r="AP933" s="1" t="s">
        <v>2924</v>
      </c>
      <c r="AQ933" s="1" t="s">
        <v>74</v>
      </c>
      <c r="AR933" s="1" t="s">
        <v>74</v>
      </c>
      <c r="AS933" s="1" t="s">
        <v>74</v>
      </c>
      <c r="AT933" s="1" t="s">
        <v>74</v>
      </c>
      <c r="AU933" s="1">
        <v>2014.0</v>
      </c>
      <c r="AV933" s="1">
        <v>67.0</v>
      </c>
      <c r="AW933" s="1" t="s">
        <v>8714</v>
      </c>
      <c r="AX933" s="1" t="s">
        <v>74</v>
      </c>
      <c r="AY933" s="1" t="s">
        <v>74</v>
      </c>
      <c r="AZ933" s="1" t="s">
        <v>297</v>
      </c>
      <c r="BA933" s="1" t="s">
        <v>74</v>
      </c>
      <c r="BB933" s="1">
        <v>4114.0</v>
      </c>
      <c r="BC933" s="1">
        <v>4124.0</v>
      </c>
      <c r="BD933" s="1" t="s">
        <v>74</v>
      </c>
      <c r="BE933" s="1" t="s">
        <v>8715</v>
      </c>
      <c r="BF933" s="2" t="str">
        <f>HYPERLINK("http://dx.doi.org/10.1080/00958972.2014.977271","http://dx.doi.org/10.1080/00958972.2014.977271")</f>
        <v>http://dx.doi.org/10.1080/00958972.2014.977271</v>
      </c>
      <c r="BG933" s="1" t="s">
        <v>74</v>
      </c>
      <c r="BH933" s="1" t="s">
        <v>74</v>
      </c>
      <c r="BI933" s="1" t="s">
        <v>74</v>
      </c>
      <c r="BJ933" s="1" t="s">
        <v>74</v>
      </c>
      <c r="BK933" s="1" t="s">
        <v>74</v>
      </c>
      <c r="BL933" s="1" t="s">
        <v>74</v>
      </c>
      <c r="BM933" s="1" t="s">
        <v>74</v>
      </c>
      <c r="BN933" s="1" t="s">
        <v>74</v>
      </c>
      <c r="BO933" s="1" t="s">
        <v>74</v>
      </c>
      <c r="BP933" s="1" t="s">
        <v>74</v>
      </c>
      <c r="BQ933" s="1" t="s">
        <v>74</v>
      </c>
      <c r="BR933" s="1" t="s">
        <v>74</v>
      </c>
      <c r="BS933" s="1" t="s">
        <v>8716</v>
      </c>
      <c r="BT933" s="1" t="str">
        <f>HYPERLINK("https%3A%2F%2Fwww.webofscience.com%2Fwos%2Fwoscc%2Ffull-record%2FWOS:000345454600028","View Full Record in Web of Science")</f>
        <v>View Full Record in Web of Science</v>
      </c>
    </row>
    <row r="934" ht="12.75" customHeight="1">
      <c r="A934" s="1" t="s">
        <v>72</v>
      </c>
      <c r="B934" s="1" t="s">
        <v>8717</v>
      </c>
      <c r="C934" s="1" t="s">
        <v>74</v>
      </c>
      <c r="D934" s="1" t="s">
        <v>74</v>
      </c>
      <c r="E934" s="1" t="s">
        <v>74</v>
      </c>
      <c r="F934" s="1" t="s">
        <v>8718</v>
      </c>
      <c r="G934" s="1" t="s">
        <v>74</v>
      </c>
      <c r="H934" s="1" t="s">
        <v>74</v>
      </c>
      <c r="I934" s="1" t="s">
        <v>8719</v>
      </c>
      <c r="J934" s="1" t="s">
        <v>8720</v>
      </c>
      <c r="K934" s="1" t="s">
        <v>74</v>
      </c>
      <c r="L934" s="1" t="s">
        <v>74</v>
      </c>
      <c r="M934" s="1" t="s">
        <v>74</v>
      </c>
      <c r="N934" s="1" t="s">
        <v>74</v>
      </c>
      <c r="O934" s="1" t="s">
        <v>74</v>
      </c>
      <c r="P934" s="1" t="s">
        <v>74</v>
      </c>
      <c r="Q934" s="1" t="s">
        <v>74</v>
      </c>
      <c r="R934" s="1" t="s">
        <v>74</v>
      </c>
      <c r="S934" s="1" t="s">
        <v>74</v>
      </c>
      <c r="T934" s="1" t="s">
        <v>74</v>
      </c>
      <c r="U934" s="1" t="s">
        <v>74</v>
      </c>
      <c r="V934" s="1" t="s">
        <v>8721</v>
      </c>
      <c r="W934" s="1" t="s">
        <v>74</v>
      </c>
      <c r="X934" s="1" t="s">
        <v>74</v>
      </c>
      <c r="Y934" s="1" t="s">
        <v>74</v>
      </c>
      <c r="Z934" s="1" t="s">
        <v>74</v>
      </c>
      <c r="AA934" s="1" t="s">
        <v>8722</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8723</v>
      </c>
      <c r="AP934" s="1" t="s">
        <v>74</v>
      </c>
      <c r="AQ934" s="1" t="s">
        <v>74</v>
      </c>
      <c r="AR934" s="1" t="s">
        <v>74</v>
      </c>
      <c r="AS934" s="1" t="s">
        <v>74</v>
      </c>
      <c r="AT934" s="1" t="s">
        <v>461</v>
      </c>
      <c r="AU934" s="1">
        <v>2013.0</v>
      </c>
      <c r="AV934" s="1">
        <v>42.0</v>
      </c>
      <c r="AW934" s="1">
        <v>3.0</v>
      </c>
      <c r="AX934" s="1" t="s">
        <v>74</v>
      </c>
      <c r="AY934" s="1" t="s">
        <v>74</v>
      </c>
      <c r="AZ934" s="1" t="s">
        <v>74</v>
      </c>
      <c r="BA934" s="1" t="s">
        <v>74</v>
      </c>
      <c r="BB934" s="1">
        <v>437.0</v>
      </c>
      <c r="BC934" s="1">
        <v>450.0</v>
      </c>
      <c r="BD934" s="1" t="s">
        <v>74</v>
      </c>
      <c r="BE934" s="1" t="s">
        <v>8724</v>
      </c>
      <c r="BF934" s="2" t="str">
        <f>HYPERLINK("http://dx.doi.org/10.1556/AAlim.42.2013.3.17","http://dx.doi.org/10.1556/AAlim.42.2013.3.17")</f>
        <v>http://dx.doi.org/10.1556/AAlim.42.2013.3.17</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8725</v>
      </c>
      <c r="BT934" s="1" t="str">
        <f>HYPERLINK("https%3A%2F%2Fwww.webofscience.com%2Fwos%2Fwoscc%2Ffull-record%2FWOS:000324490700017","View Full Record in Web of Science")</f>
        <v>View Full Record in Web of Science</v>
      </c>
    </row>
    <row r="935" ht="12.75" customHeight="1">
      <c r="A935" s="1" t="s">
        <v>72</v>
      </c>
      <c r="B935" s="1" t="s">
        <v>8726</v>
      </c>
      <c r="C935" s="1" t="s">
        <v>74</v>
      </c>
      <c r="D935" s="1" t="s">
        <v>74</v>
      </c>
      <c r="E935" s="1" t="s">
        <v>74</v>
      </c>
      <c r="F935" s="1" t="s">
        <v>8727</v>
      </c>
      <c r="G935" s="1" t="s">
        <v>74</v>
      </c>
      <c r="H935" s="1" t="s">
        <v>74</v>
      </c>
      <c r="I935" s="1" t="s">
        <v>8728</v>
      </c>
      <c r="J935" s="1" t="s">
        <v>8729</v>
      </c>
      <c r="K935" s="1" t="s">
        <v>74</v>
      </c>
      <c r="L935" s="1" t="s">
        <v>74</v>
      </c>
      <c r="M935" s="1" t="s">
        <v>74</v>
      </c>
      <c r="N935" s="1" t="s">
        <v>74</v>
      </c>
      <c r="O935" s="1" t="s">
        <v>74</v>
      </c>
      <c r="P935" s="1" t="s">
        <v>74</v>
      </c>
      <c r="Q935" s="1" t="s">
        <v>74</v>
      </c>
      <c r="R935" s="1" t="s">
        <v>74</v>
      </c>
      <c r="S935" s="1" t="s">
        <v>74</v>
      </c>
      <c r="T935" s="1" t="s">
        <v>74</v>
      </c>
      <c r="U935" s="1" t="s">
        <v>74</v>
      </c>
      <c r="V935" s="1" t="s">
        <v>8730</v>
      </c>
      <c r="W935" s="1" t="s">
        <v>74</v>
      </c>
      <c r="X935" s="1" t="s">
        <v>74</v>
      </c>
      <c r="Y935" s="1" t="s">
        <v>74</v>
      </c>
      <c r="Z935" s="1" t="s">
        <v>74</v>
      </c>
      <c r="AA935" s="1" t="s">
        <v>8731</v>
      </c>
      <c r="AB935" s="1" t="s">
        <v>8732</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8733</v>
      </c>
      <c r="AP935" s="1" t="s">
        <v>8734</v>
      </c>
      <c r="AQ935" s="1" t="s">
        <v>74</v>
      </c>
      <c r="AR935" s="1" t="s">
        <v>74</v>
      </c>
      <c r="AS935" s="1" t="s">
        <v>74</v>
      </c>
      <c r="AT935" s="1" t="s">
        <v>647</v>
      </c>
      <c r="AU935" s="1">
        <v>2012.0</v>
      </c>
      <c r="AV935" s="1">
        <v>22.0</v>
      </c>
      <c r="AW935" s="1">
        <v>8.0</v>
      </c>
      <c r="AX935" s="1" t="s">
        <v>74</v>
      </c>
      <c r="AY935" s="1" t="s">
        <v>74</v>
      </c>
      <c r="AZ935" s="1" t="s">
        <v>74</v>
      </c>
      <c r="BA935" s="1" t="s">
        <v>74</v>
      </c>
      <c r="BB935" s="1">
        <v>584.0</v>
      </c>
      <c r="BC935" s="1">
        <v>595.0</v>
      </c>
      <c r="BD935" s="1" t="s">
        <v>74</v>
      </c>
      <c r="BE935" s="1" t="s">
        <v>8735</v>
      </c>
      <c r="BF935" s="2" t="str">
        <f>HYPERLINK("http://dx.doi.org/10.1016/j.euroneuro.2011.11.010","http://dx.doi.org/10.1016/j.euroneuro.2011.11.010")</f>
        <v>http://dx.doi.org/10.1016/j.euroneuro.2011.11.010</v>
      </c>
      <c r="BG935" s="1" t="s">
        <v>74</v>
      </c>
      <c r="BH935" s="1" t="s">
        <v>74</v>
      </c>
      <c r="BI935" s="1" t="s">
        <v>74</v>
      </c>
      <c r="BJ935" s="1" t="s">
        <v>74</v>
      </c>
      <c r="BK935" s="1" t="s">
        <v>74</v>
      </c>
      <c r="BL935" s="1" t="s">
        <v>74</v>
      </c>
      <c r="BM935" s="1" t="s">
        <v>74</v>
      </c>
      <c r="BN935" s="1">
        <v>2.2209363E7</v>
      </c>
      <c r="BO935" s="1" t="s">
        <v>74</v>
      </c>
      <c r="BP935" s="1" t="s">
        <v>74</v>
      </c>
      <c r="BQ935" s="1" t="s">
        <v>74</v>
      </c>
      <c r="BR935" s="1" t="s">
        <v>74</v>
      </c>
      <c r="BS935" s="1" t="s">
        <v>8736</v>
      </c>
      <c r="BT935" s="1" t="str">
        <f>HYPERLINK("https%3A%2F%2Fwww.webofscience.com%2Fwos%2Fwoscc%2Ffull-record%2FWOS:000308056800007","View Full Record in Web of Science")</f>
        <v>View Full Record in Web of Science</v>
      </c>
    </row>
    <row r="936" ht="12.75" customHeight="1">
      <c r="A936" s="1" t="s">
        <v>72</v>
      </c>
      <c r="B936" s="1" t="s">
        <v>8737</v>
      </c>
      <c r="C936" s="1" t="s">
        <v>74</v>
      </c>
      <c r="D936" s="1" t="s">
        <v>74</v>
      </c>
      <c r="E936" s="1" t="s">
        <v>74</v>
      </c>
      <c r="F936" s="1" t="s">
        <v>8738</v>
      </c>
      <c r="G936" s="1" t="s">
        <v>74</v>
      </c>
      <c r="H936" s="1" t="s">
        <v>74</v>
      </c>
      <c r="I936" s="1" t="s">
        <v>8739</v>
      </c>
      <c r="J936" s="1" t="s">
        <v>8740</v>
      </c>
      <c r="K936" s="1" t="s">
        <v>74</v>
      </c>
      <c r="L936" s="1" t="s">
        <v>74</v>
      </c>
      <c r="M936" s="1" t="s">
        <v>74</v>
      </c>
      <c r="N936" s="1" t="s">
        <v>74</v>
      </c>
      <c r="O936" s="1" t="s">
        <v>74</v>
      </c>
      <c r="P936" s="1" t="s">
        <v>74</v>
      </c>
      <c r="Q936" s="1" t="s">
        <v>74</v>
      </c>
      <c r="R936" s="1" t="s">
        <v>74</v>
      </c>
      <c r="S936" s="1" t="s">
        <v>74</v>
      </c>
      <c r="T936" s="1" t="s">
        <v>74</v>
      </c>
      <c r="U936" s="1" t="s">
        <v>74</v>
      </c>
      <c r="V936" s="1" t="s">
        <v>8741</v>
      </c>
      <c r="W936" s="1" t="s">
        <v>74</v>
      </c>
      <c r="X936" s="1" t="s">
        <v>74</v>
      </c>
      <c r="Y936" s="1" t="s">
        <v>74</v>
      </c>
      <c r="Z936" s="1" t="s">
        <v>74</v>
      </c>
      <c r="AA936" s="1" t="s">
        <v>8742</v>
      </c>
      <c r="AB936" s="1" t="s">
        <v>8743</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8744</v>
      </c>
      <c r="AP936" s="1" t="s">
        <v>74</v>
      </c>
      <c r="AQ936" s="1" t="s">
        <v>74</v>
      </c>
      <c r="AR936" s="1" t="s">
        <v>74</v>
      </c>
      <c r="AS936" s="1" t="s">
        <v>74</v>
      </c>
      <c r="AT936" s="1" t="s">
        <v>2054</v>
      </c>
      <c r="AU936" s="1">
        <v>2011.0</v>
      </c>
      <c r="AV936" s="1">
        <v>11.0</v>
      </c>
      <c r="AW936" s="1" t="s">
        <v>74</v>
      </c>
      <c r="AX936" s="1" t="s">
        <v>74</v>
      </c>
      <c r="AY936" s="1" t="s">
        <v>74</v>
      </c>
      <c r="AZ936" s="1" t="s">
        <v>74</v>
      </c>
      <c r="BA936" s="1" t="s">
        <v>74</v>
      </c>
      <c r="BB936" s="1" t="s">
        <v>74</v>
      </c>
      <c r="BC936" s="1" t="s">
        <v>74</v>
      </c>
      <c r="BD936" s="1">
        <v>349.0</v>
      </c>
      <c r="BE936" s="1" t="s">
        <v>8745</v>
      </c>
      <c r="BF936" s="2" t="str">
        <f>HYPERLINK("http://dx.doi.org/10.1186/1471-2148-11-349","http://dx.doi.org/10.1186/1471-2148-11-349")</f>
        <v>http://dx.doi.org/10.1186/1471-2148-11-349</v>
      </c>
      <c r="BG936" s="1" t="s">
        <v>74</v>
      </c>
      <c r="BH936" s="1" t="s">
        <v>74</v>
      </c>
      <c r="BI936" s="1" t="s">
        <v>74</v>
      </c>
      <c r="BJ936" s="1" t="s">
        <v>74</v>
      </c>
      <c r="BK936" s="1" t="s">
        <v>74</v>
      </c>
      <c r="BL936" s="1" t="s">
        <v>74</v>
      </c>
      <c r="BM936" s="1" t="s">
        <v>74</v>
      </c>
      <c r="BN936" s="1">
        <v>2.2132866E7</v>
      </c>
      <c r="BO936" s="1" t="s">
        <v>74</v>
      </c>
      <c r="BP936" s="1" t="s">
        <v>74</v>
      </c>
      <c r="BQ936" s="1" t="s">
        <v>74</v>
      </c>
      <c r="BR936" s="1" t="s">
        <v>74</v>
      </c>
      <c r="BS936" s="1" t="s">
        <v>8746</v>
      </c>
      <c r="BT936" s="1" t="str">
        <f>HYPERLINK("https%3A%2F%2Fwww.webofscience.com%2Fwos%2Fwoscc%2Ffull-record%2FWOS:000299846900001","View Full Record in Web of Science")</f>
        <v>View Full Record in Web of Science</v>
      </c>
    </row>
    <row r="937" ht="12.75" customHeight="1">
      <c r="A937" s="1" t="s">
        <v>72</v>
      </c>
      <c r="B937" s="1" t="s">
        <v>8747</v>
      </c>
      <c r="C937" s="1" t="s">
        <v>74</v>
      </c>
      <c r="D937" s="1" t="s">
        <v>74</v>
      </c>
      <c r="E937" s="1" t="s">
        <v>74</v>
      </c>
      <c r="F937" s="1" t="s">
        <v>8748</v>
      </c>
      <c r="G937" s="1" t="s">
        <v>74</v>
      </c>
      <c r="H937" s="1" t="s">
        <v>74</v>
      </c>
      <c r="I937" s="1" t="s">
        <v>8749</v>
      </c>
      <c r="J937" s="1" t="s">
        <v>2169</v>
      </c>
      <c r="K937" s="1" t="s">
        <v>74</v>
      </c>
      <c r="L937" s="1" t="s">
        <v>74</v>
      </c>
      <c r="M937" s="1" t="s">
        <v>74</v>
      </c>
      <c r="N937" s="1" t="s">
        <v>74</v>
      </c>
      <c r="O937" s="1" t="s">
        <v>74</v>
      </c>
      <c r="P937" s="1" t="s">
        <v>74</v>
      </c>
      <c r="Q937" s="1" t="s">
        <v>74</v>
      </c>
      <c r="R937" s="1" t="s">
        <v>74</v>
      </c>
      <c r="S937" s="1" t="s">
        <v>74</v>
      </c>
      <c r="T937" s="1" t="s">
        <v>74</v>
      </c>
      <c r="U937" s="1" t="s">
        <v>74</v>
      </c>
      <c r="V937" s="1" t="s">
        <v>8750</v>
      </c>
      <c r="W937" s="1" t="s">
        <v>74</v>
      </c>
      <c r="X937" s="1" t="s">
        <v>74</v>
      </c>
      <c r="Y937" s="1" t="s">
        <v>74</v>
      </c>
      <c r="Z937" s="1" t="s">
        <v>74</v>
      </c>
      <c r="AA937" s="1" t="s">
        <v>8751</v>
      </c>
      <c r="AB937" s="1" t="s">
        <v>8752</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2173</v>
      </c>
      <c r="AP937" s="1" t="s">
        <v>74</v>
      </c>
      <c r="AQ937" s="1" t="s">
        <v>74</v>
      </c>
      <c r="AR937" s="1" t="s">
        <v>74</v>
      </c>
      <c r="AS937" s="1" t="s">
        <v>74</v>
      </c>
      <c r="AT937" s="1" t="s">
        <v>95</v>
      </c>
      <c r="AU937" s="1">
        <v>2011.0</v>
      </c>
      <c r="AV937" s="1">
        <v>29.0</v>
      </c>
      <c r="AW937" s="1">
        <v>2.0</v>
      </c>
      <c r="AX937" s="1" t="s">
        <v>74</v>
      </c>
      <c r="AY937" s="1" t="s">
        <v>74</v>
      </c>
      <c r="AZ937" s="1" t="s">
        <v>74</v>
      </c>
      <c r="BA937" s="1" t="s">
        <v>74</v>
      </c>
      <c r="BB937" s="1">
        <v>159.0</v>
      </c>
      <c r="BC937" s="1">
        <v>165.0</v>
      </c>
      <c r="BD937" s="1" t="s">
        <v>74</v>
      </c>
      <c r="BE937" s="1" t="s">
        <v>8753</v>
      </c>
      <c r="BF937" s="2" t="str">
        <f>HYPERLINK("http://dx.doi.org/10.4067/S0718-48082011000200002","http://dx.doi.org/10.4067/S0718-48082011000200002")</f>
        <v>http://dx.doi.org/10.4067/S0718-48082011000200002</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8754</v>
      </c>
      <c r="BT937" s="1" t="str">
        <f>HYPERLINK("https%3A%2F%2Fwww.webofscience.com%2Fwos%2Fwoscc%2Ffull-record%2FWOS:000296316000002","View Full Record in Web of Science")</f>
        <v>View Full Record in Web of Science</v>
      </c>
    </row>
    <row r="938" ht="12.75" customHeight="1">
      <c r="A938" s="1" t="s">
        <v>72</v>
      </c>
      <c r="B938" s="1" t="s">
        <v>8755</v>
      </c>
      <c r="C938" s="1" t="s">
        <v>74</v>
      </c>
      <c r="D938" s="1" t="s">
        <v>74</v>
      </c>
      <c r="E938" s="1" t="s">
        <v>74</v>
      </c>
      <c r="F938" s="1" t="s">
        <v>8756</v>
      </c>
      <c r="G938" s="1" t="s">
        <v>74</v>
      </c>
      <c r="H938" s="1" t="s">
        <v>74</v>
      </c>
      <c r="I938" s="1" t="s">
        <v>8757</v>
      </c>
      <c r="J938" s="1" t="s">
        <v>8758</v>
      </c>
      <c r="K938" s="1" t="s">
        <v>74</v>
      </c>
      <c r="L938" s="1" t="s">
        <v>74</v>
      </c>
      <c r="M938" s="1" t="s">
        <v>74</v>
      </c>
      <c r="N938" s="1" t="s">
        <v>74</v>
      </c>
      <c r="O938" s="1" t="s">
        <v>74</v>
      </c>
      <c r="P938" s="1" t="s">
        <v>74</v>
      </c>
      <c r="Q938" s="1" t="s">
        <v>74</v>
      </c>
      <c r="R938" s="1" t="s">
        <v>74</v>
      </c>
      <c r="S938" s="1" t="s">
        <v>74</v>
      </c>
      <c r="T938" s="1" t="s">
        <v>74</v>
      </c>
      <c r="U938" s="1" t="s">
        <v>74</v>
      </c>
      <c r="V938" s="1" t="s">
        <v>8759</v>
      </c>
      <c r="W938" s="1" t="s">
        <v>74</v>
      </c>
      <c r="X938" s="1" t="s">
        <v>74</v>
      </c>
      <c r="Y938" s="1" t="s">
        <v>74</v>
      </c>
      <c r="Z938" s="1" t="s">
        <v>74</v>
      </c>
      <c r="AA938" s="1" t="s">
        <v>8760</v>
      </c>
      <c r="AB938" s="1" t="s">
        <v>8761</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8762</v>
      </c>
      <c r="AP938" s="1" t="s">
        <v>8763</v>
      </c>
      <c r="AQ938" s="1" t="s">
        <v>74</v>
      </c>
      <c r="AR938" s="1" t="s">
        <v>74</v>
      </c>
      <c r="AS938" s="1" t="s">
        <v>74</v>
      </c>
      <c r="AT938" s="1" t="s">
        <v>596</v>
      </c>
      <c r="AU938" s="1">
        <v>2011.0</v>
      </c>
      <c r="AV938" s="1">
        <v>14.0</v>
      </c>
      <c r="AW938" s="1">
        <v>2.0</v>
      </c>
      <c r="AX938" s="1" t="s">
        <v>74</v>
      </c>
      <c r="AY938" s="1" t="s">
        <v>74</v>
      </c>
      <c r="AZ938" s="1" t="s">
        <v>74</v>
      </c>
      <c r="BA938" s="1" t="s">
        <v>74</v>
      </c>
      <c r="BB938" s="1">
        <v>977.0</v>
      </c>
      <c r="BC938" s="1">
        <v>989.0</v>
      </c>
      <c r="BD938" s="1" t="s">
        <v>74</v>
      </c>
      <c r="BE938" s="1" t="s">
        <v>8764</v>
      </c>
      <c r="BF938" s="2" t="str">
        <f>HYPERLINK("http://dx.doi.org/10.5209/rev_SJOP.2011.v14.n2.43","http://dx.doi.org/10.5209/rev_SJOP.2011.v14.n2.43")</f>
        <v>http://dx.doi.org/10.5209/rev_SJOP.2011.v14.n2.43</v>
      </c>
      <c r="BG938" s="1" t="s">
        <v>74</v>
      </c>
      <c r="BH938" s="1" t="s">
        <v>74</v>
      </c>
      <c r="BI938" s="1" t="s">
        <v>74</v>
      </c>
      <c r="BJ938" s="1" t="s">
        <v>74</v>
      </c>
      <c r="BK938" s="1" t="s">
        <v>74</v>
      </c>
      <c r="BL938" s="1" t="s">
        <v>74</v>
      </c>
      <c r="BM938" s="1" t="s">
        <v>74</v>
      </c>
      <c r="BN938" s="1">
        <v>2.2059341E7</v>
      </c>
      <c r="BO938" s="1" t="s">
        <v>74</v>
      </c>
      <c r="BP938" s="1" t="s">
        <v>74</v>
      </c>
      <c r="BQ938" s="1" t="s">
        <v>74</v>
      </c>
      <c r="BR938" s="1" t="s">
        <v>74</v>
      </c>
      <c r="BS938" s="1" t="s">
        <v>8765</v>
      </c>
      <c r="BT938" s="1" t="str">
        <f>HYPERLINK("https%3A%2F%2Fwww.webofscience.com%2Fwos%2Fwoscc%2Ffull-record%2FWOS:000296623800043","View Full Record in Web of Science")</f>
        <v>View Full Record in Web of Science</v>
      </c>
    </row>
    <row r="939" ht="12.75" customHeight="1">
      <c r="A939" s="1" t="s">
        <v>72</v>
      </c>
      <c r="B939" s="1" t="s">
        <v>8766</v>
      </c>
      <c r="C939" s="1" t="s">
        <v>74</v>
      </c>
      <c r="D939" s="1" t="s">
        <v>74</v>
      </c>
      <c r="E939" s="1" t="s">
        <v>74</v>
      </c>
      <c r="F939" s="1" t="s">
        <v>8767</v>
      </c>
      <c r="G939" s="1" t="s">
        <v>74</v>
      </c>
      <c r="H939" s="1" t="s">
        <v>74</v>
      </c>
      <c r="I939" s="1" t="s">
        <v>8768</v>
      </c>
      <c r="J939" s="1" t="s">
        <v>8769</v>
      </c>
      <c r="K939" s="1" t="s">
        <v>74</v>
      </c>
      <c r="L939" s="1" t="s">
        <v>74</v>
      </c>
      <c r="M939" s="1" t="s">
        <v>74</v>
      </c>
      <c r="N939" s="1" t="s">
        <v>74</v>
      </c>
      <c r="O939" s="1" t="s">
        <v>74</v>
      </c>
      <c r="P939" s="1" t="s">
        <v>74</v>
      </c>
      <c r="Q939" s="1" t="s">
        <v>74</v>
      </c>
      <c r="R939" s="1" t="s">
        <v>74</v>
      </c>
      <c r="S939" s="1" t="s">
        <v>74</v>
      </c>
      <c r="T939" s="1" t="s">
        <v>74</v>
      </c>
      <c r="U939" s="1" t="s">
        <v>74</v>
      </c>
      <c r="V939" s="1" t="s">
        <v>8770</v>
      </c>
      <c r="W939" s="1" t="s">
        <v>74</v>
      </c>
      <c r="X939" s="1" t="s">
        <v>74</v>
      </c>
      <c r="Y939" s="1" t="s">
        <v>74</v>
      </c>
      <c r="Z939" s="1" t="s">
        <v>74</v>
      </c>
      <c r="AA939" s="1" t="s">
        <v>799</v>
      </c>
      <c r="AB939" s="1" t="s">
        <v>4865</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8771</v>
      </c>
      <c r="AP939" s="1" t="s">
        <v>74</v>
      </c>
      <c r="AQ939" s="1" t="s">
        <v>74</v>
      </c>
      <c r="AR939" s="1" t="s">
        <v>74</v>
      </c>
      <c r="AS939" s="1" t="s">
        <v>74</v>
      </c>
      <c r="AT939" s="1" t="s">
        <v>8772</v>
      </c>
      <c r="AU939" s="1">
        <v>2011.0</v>
      </c>
      <c r="AV939" s="1">
        <v>9.0</v>
      </c>
      <c r="AW939" s="1" t="s">
        <v>74</v>
      </c>
      <c r="AX939" s="1" t="s">
        <v>74</v>
      </c>
      <c r="AY939" s="1" t="s">
        <v>74</v>
      </c>
      <c r="AZ939" s="1" t="s">
        <v>74</v>
      </c>
      <c r="BA939" s="1" t="s">
        <v>74</v>
      </c>
      <c r="BB939" s="1" t="s">
        <v>74</v>
      </c>
      <c r="BC939" s="1" t="s">
        <v>74</v>
      </c>
      <c r="BD939" s="1">
        <v>69.0</v>
      </c>
      <c r="BE939" s="1" t="s">
        <v>8773</v>
      </c>
      <c r="BF939" s="2" t="str">
        <f>HYPERLINK("http://dx.doi.org/10.1186/1477-7827-9-69","http://dx.doi.org/10.1186/1477-7827-9-69")</f>
        <v>http://dx.doi.org/10.1186/1477-7827-9-69</v>
      </c>
      <c r="BG939" s="1" t="s">
        <v>74</v>
      </c>
      <c r="BH939" s="1" t="s">
        <v>74</v>
      </c>
      <c r="BI939" s="1" t="s">
        <v>74</v>
      </c>
      <c r="BJ939" s="1" t="s">
        <v>74</v>
      </c>
      <c r="BK939" s="1" t="s">
        <v>74</v>
      </c>
      <c r="BL939" s="1" t="s">
        <v>74</v>
      </c>
      <c r="BM939" s="1" t="s">
        <v>74</v>
      </c>
      <c r="BN939" s="1">
        <v>2.1605449E7</v>
      </c>
      <c r="BO939" s="1" t="s">
        <v>74</v>
      </c>
      <c r="BP939" s="1" t="s">
        <v>74</v>
      </c>
      <c r="BQ939" s="1" t="s">
        <v>74</v>
      </c>
      <c r="BR939" s="1" t="s">
        <v>74</v>
      </c>
      <c r="BS939" s="1" t="s">
        <v>8774</v>
      </c>
      <c r="BT939" s="1" t="str">
        <f>HYPERLINK("https%3A%2F%2Fwww.webofscience.com%2Fwos%2Fwoscc%2Ffull-record%2FWOS:000291874300001","View Full Record in Web of Science")</f>
        <v>View Full Record in Web of Science</v>
      </c>
    </row>
    <row r="940" ht="12.75" customHeight="1">
      <c r="A940" s="1" t="s">
        <v>72</v>
      </c>
      <c r="B940" s="1" t="s">
        <v>8775</v>
      </c>
      <c r="C940" s="1" t="s">
        <v>74</v>
      </c>
      <c r="D940" s="1" t="s">
        <v>74</v>
      </c>
      <c r="E940" s="1" t="s">
        <v>74</v>
      </c>
      <c r="F940" s="1" t="s">
        <v>8776</v>
      </c>
      <c r="G940" s="1" t="s">
        <v>74</v>
      </c>
      <c r="H940" s="1" t="s">
        <v>74</v>
      </c>
      <c r="I940" s="1" t="s">
        <v>8777</v>
      </c>
      <c r="J940" s="1" t="s">
        <v>1145</v>
      </c>
      <c r="K940" s="1" t="s">
        <v>74</v>
      </c>
      <c r="L940" s="1" t="s">
        <v>74</v>
      </c>
      <c r="M940" s="1" t="s">
        <v>74</v>
      </c>
      <c r="N940" s="1" t="s">
        <v>74</v>
      </c>
      <c r="O940" s="1" t="s">
        <v>74</v>
      </c>
      <c r="P940" s="1" t="s">
        <v>74</v>
      </c>
      <c r="Q940" s="1" t="s">
        <v>74</v>
      </c>
      <c r="R940" s="1" t="s">
        <v>74</v>
      </c>
      <c r="S940" s="1" t="s">
        <v>74</v>
      </c>
      <c r="T940" s="1" t="s">
        <v>74</v>
      </c>
      <c r="U940" s="1" t="s">
        <v>74</v>
      </c>
      <c r="V940" s="1" t="s">
        <v>8778</v>
      </c>
      <c r="W940" s="1" t="s">
        <v>74</v>
      </c>
      <c r="X940" s="1" t="s">
        <v>74</v>
      </c>
      <c r="Y940" s="1" t="s">
        <v>74</v>
      </c>
      <c r="Z940" s="1" t="s">
        <v>74</v>
      </c>
      <c r="AA940" s="1" t="s">
        <v>8779</v>
      </c>
      <c r="AB940" s="1" t="s">
        <v>8780</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1148</v>
      </c>
      <c r="AP940" s="1" t="s">
        <v>74</v>
      </c>
      <c r="AQ940" s="1" t="s">
        <v>74</v>
      </c>
      <c r="AR940" s="1" t="s">
        <v>74</v>
      </c>
      <c r="AS940" s="1" t="s">
        <v>74</v>
      </c>
      <c r="AT940" s="1" t="s">
        <v>83</v>
      </c>
      <c r="AU940" s="1">
        <v>2011.0</v>
      </c>
      <c r="AV940" s="1">
        <v>56.0</v>
      </c>
      <c r="AW940" s="1">
        <v>1.0</v>
      </c>
      <c r="AX940" s="1" t="s">
        <v>74</v>
      </c>
      <c r="AY940" s="1" t="s">
        <v>74</v>
      </c>
      <c r="AZ940" s="1" t="s">
        <v>74</v>
      </c>
      <c r="BA940" s="1" t="s">
        <v>74</v>
      </c>
      <c r="BB940" s="1">
        <v>595.0</v>
      </c>
      <c r="BC940" s="1">
        <v>597.0</v>
      </c>
      <c r="BD940" s="1" t="s">
        <v>74</v>
      </c>
      <c r="BE940" s="1" t="s">
        <v>8781</v>
      </c>
      <c r="BF940" s="2" t="str">
        <f>HYPERLINK("http://dx.doi.org/10.4067/S0717-97072011000100016","http://dx.doi.org/10.4067/S0717-97072011000100016")</f>
        <v>http://dx.doi.org/10.4067/S0717-97072011000100016</v>
      </c>
      <c r="BG940" s="1" t="s">
        <v>74</v>
      </c>
      <c r="BH940" s="1" t="s">
        <v>74</v>
      </c>
      <c r="BI940" s="1" t="s">
        <v>74</v>
      </c>
      <c r="BJ940" s="1" t="s">
        <v>74</v>
      </c>
      <c r="BK940" s="1" t="s">
        <v>74</v>
      </c>
      <c r="BL940" s="1" t="s">
        <v>74</v>
      </c>
      <c r="BM940" s="1" t="s">
        <v>74</v>
      </c>
      <c r="BN940" s="1" t="s">
        <v>74</v>
      </c>
      <c r="BO940" s="1" t="s">
        <v>74</v>
      </c>
      <c r="BP940" s="1" t="s">
        <v>74</v>
      </c>
      <c r="BQ940" s="1" t="s">
        <v>74</v>
      </c>
      <c r="BR940" s="1" t="s">
        <v>74</v>
      </c>
      <c r="BS940" s="1" t="s">
        <v>8782</v>
      </c>
      <c r="BT940" s="1" t="str">
        <f>HYPERLINK("https%3A%2F%2Fwww.webofscience.com%2Fwos%2Fwoscc%2Ffull-record%2FWOS:000290700500016","View Full Record in Web of Science")</f>
        <v>View Full Record in Web of Science</v>
      </c>
    </row>
    <row r="941" ht="12.75" customHeight="1">
      <c r="A941" s="1" t="s">
        <v>72</v>
      </c>
      <c r="B941" s="1" t="s">
        <v>8783</v>
      </c>
      <c r="C941" s="1" t="s">
        <v>74</v>
      </c>
      <c r="D941" s="1" t="s">
        <v>74</v>
      </c>
      <c r="E941" s="1" t="s">
        <v>74</v>
      </c>
      <c r="F941" s="1" t="s">
        <v>8784</v>
      </c>
      <c r="G941" s="1" t="s">
        <v>74</v>
      </c>
      <c r="H941" s="1" t="s">
        <v>74</v>
      </c>
      <c r="I941" s="1" t="s">
        <v>8785</v>
      </c>
      <c r="J941" s="1" t="s">
        <v>8786</v>
      </c>
      <c r="K941" s="1" t="s">
        <v>74</v>
      </c>
      <c r="L941" s="1" t="s">
        <v>74</v>
      </c>
      <c r="M941" s="1" t="s">
        <v>74</v>
      </c>
      <c r="N941" s="1" t="s">
        <v>74</v>
      </c>
      <c r="O941" s="1" t="s">
        <v>74</v>
      </c>
      <c r="P941" s="1" t="s">
        <v>74</v>
      </c>
      <c r="Q941" s="1" t="s">
        <v>74</v>
      </c>
      <c r="R941" s="1" t="s">
        <v>74</v>
      </c>
      <c r="S941" s="1" t="s">
        <v>74</v>
      </c>
      <c r="T941" s="1" t="s">
        <v>74</v>
      </c>
      <c r="U941" s="1" t="s">
        <v>74</v>
      </c>
      <c r="V941" s="1" t="s">
        <v>8787</v>
      </c>
      <c r="W941" s="1" t="s">
        <v>74</v>
      </c>
      <c r="X941" s="1" t="s">
        <v>74</v>
      </c>
      <c r="Y941" s="1" t="s">
        <v>74</v>
      </c>
      <c r="Z941" s="1" t="s">
        <v>74</v>
      </c>
      <c r="AA941" s="1" t="s">
        <v>8788</v>
      </c>
      <c r="AB941" s="1" t="s">
        <v>74</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8789</v>
      </c>
      <c r="AP941" s="1" t="s">
        <v>74</v>
      </c>
      <c r="AQ941" s="1" t="s">
        <v>74</v>
      </c>
      <c r="AR941" s="1" t="s">
        <v>74</v>
      </c>
      <c r="AS941" s="1" t="s">
        <v>74</v>
      </c>
      <c r="AT941" s="1" t="s">
        <v>647</v>
      </c>
      <c r="AU941" s="1">
        <v>2010.0</v>
      </c>
      <c r="AV941" s="1">
        <v>10.0</v>
      </c>
      <c r="AW941" s="1">
        <v>3.0</v>
      </c>
      <c r="AX941" s="1" t="s">
        <v>74</v>
      </c>
      <c r="AY941" s="1" t="s">
        <v>74</v>
      </c>
      <c r="AZ941" s="1" t="s">
        <v>74</v>
      </c>
      <c r="BA941" s="1" t="s">
        <v>74</v>
      </c>
      <c r="BB941" s="1">
        <v>707.0</v>
      </c>
      <c r="BC941" s="1">
        <v>728.0</v>
      </c>
      <c r="BD941" s="1" t="s">
        <v>74</v>
      </c>
      <c r="BE941" s="1" t="s">
        <v>74</v>
      </c>
      <c r="BF941" s="1" t="s">
        <v>74</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8790</v>
      </c>
      <c r="BT941" s="1" t="str">
        <f>HYPERLINK("https%3A%2F%2Fwww.webofscience.com%2Fwos%2Fwoscc%2Ffull-record%2FWOS:000280268000010","View Full Record in Web of Science")</f>
        <v>View Full Record in Web of Science</v>
      </c>
    </row>
    <row r="942" ht="12.75" customHeight="1">
      <c r="A942" s="1" t="s">
        <v>72</v>
      </c>
      <c r="B942" s="1" t="s">
        <v>8791</v>
      </c>
      <c r="C942" s="1" t="s">
        <v>74</v>
      </c>
      <c r="D942" s="1" t="s">
        <v>74</v>
      </c>
      <c r="E942" s="1" t="s">
        <v>74</v>
      </c>
      <c r="F942" s="1" t="s">
        <v>8792</v>
      </c>
      <c r="G942" s="1" t="s">
        <v>74</v>
      </c>
      <c r="H942" s="1" t="s">
        <v>74</v>
      </c>
      <c r="I942" s="1" t="s">
        <v>8793</v>
      </c>
      <c r="J942" s="1" t="s">
        <v>7068</v>
      </c>
      <c r="K942" s="1" t="s">
        <v>74</v>
      </c>
      <c r="L942" s="1" t="s">
        <v>74</v>
      </c>
      <c r="M942" s="1" t="s">
        <v>74</v>
      </c>
      <c r="N942" s="1" t="s">
        <v>74</v>
      </c>
      <c r="O942" s="1" t="s">
        <v>74</v>
      </c>
      <c r="P942" s="1" t="s">
        <v>74</v>
      </c>
      <c r="Q942" s="1" t="s">
        <v>74</v>
      </c>
      <c r="R942" s="1" t="s">
        <v>74</v>
      </c>
      <c r="S942" s="1" t="s">
        <v>74</v>
      </c>
      <c r="T942" s="1" t="s">
        <v>74</v>
      </c>
      <c r="U942" s="1" t="s">
        <v>74</v>
      </c>
      <c r="V942" s="1" t="s">
        <v>8794</v>
      </c>
      <c r="W942" s="1" t="s">
        <v>74</v>
      </c>
      <c r="X942" s="1" t="s">
        <v>74</v>
      </c>
      <c r="Y942" s="1" t="s">
        <v>74</v>
      </c>
      <c r="Z942" s="1" t="s">
        <v>74</v>
      </c>
      <c r="AA942" s="1" t="s">
        <v>7070</v>
      </c>
      <c r="AB942" s="1" t="s">
        <v>8795</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7072</v>
      </c>
      <c r="AP942" s="1" t="s">
        <v>7073</v>
      </c>
      <c r="AQ942" s="1" t="s">
        <v>74</v>
      </c>
      <c r="AR942" s="1" t="s">
        <v>74</v>
      </c>
      <c r="AS942" s="1" t="s">
        <v>74</v>
      </c>
      <c r="AT942" s="1" t="s">
        <v>95</v>
      </c>
      <c r="AU942" s="1">
        <v>2009.0</v>
      </c>
      <c r="AV942" s="1">
        <v>45.0</v>
      </c>
      <c r="AW942" s="1">
        <v>12.0</v>
      </c>
      <c r="AX942" s="1" t="s">
        <v>74</v>
      </c>
      <c r="AY942" s="1" t="s">
        <v>74</v>
      </c>
      <c r="AZ942" s="1" t="s">
        <v>74</v>
      </c>
      <c r="BA942" s="1" t="s">
        <v>74</v>
      </c>
      <c r="BB942" s="1">
        <v>2946.0</v>
      </c>
      <c r="BC942" s="1">
        <v>2954.0</v>
      </c>
      <c r="BD942" s="1" t="s">
        <v>74</v>
      </c>
      <c r="BE942" s="1" t="s">
        <v>8796</v>
      </c>
      <c r="BF942" s="2" t="str">
        <f>HYPERLINK("http://dx.doi.org/10.1016/j.automatica.2009.09.034","http://dx.doi.org/10.1016/j.automatica.2009.09.034")</f>
        <v>http://dx.doi.org/10.1016/j.automatica.2009.09.034</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8797</v>
      </c>
      <c r="BT942" s="1" t="str">
        <f>HYPERLINK("https%3A%2F%2Fwww.webofscience.com%2Fwos%2Fwoscc%2Ffull-record%2FWOS:000273087500027","View Full Record in Web of Science")</f>
        <v>View Full Record in Web of Science</v>
      </c>
    </row>
    <row r="943" ht="12.75" customHeight="1">
      <c r="A943" s="1" t="s">
        <v>72</v>
      </c>
      <c r="B943" s="1" t="s">
        <v>8798</v>
      </c>
      <c r="C943" s="1" t="s">
        <v>74</v>
      </c>
      <c r="D943" s="1" t="s">
        <v>74</v>
      </c>
      <c r="E943" s="1" t="s">
        <v>74</v>
      </c>
      <c r="F943" s="1" t="s">
        <v>8799</v>
      </c>
      <c r="G943" s="1" t="s">
        <v>74</v>
      </c>
      <c r="H943" s="1" t="s">
        <v>74</v>
      </c>
      <c r="I943" s="1" t="s">
        <v>8800</v>
      </c>
      <c r="J943" s="1" t="s">
        <v>1179</v>
      </c>
      <c r="K943" s="1" t="s">
        <v>74</v>
      </c>
      <c r="L943" s="1" t="s">
        <v>74</v>
      </c>
      <c r="M943" s="1" t="s">
        <v>74</v>
      </c>
      <c r="N943" s="1" t="s">
        <v>74</v>
      </c>
      <c r="O943" s="1" t="s">
        <v>74</v>
      </c>
      <c r="P943" s="1" t="s">
        <v>74</v>
      </c>
      <c r="Q943" s="1" t="s">
        <v>74</v>
      </c>
      <c r="R943" s="1" t="s">
        <v>74</v>
      </c>
      <c r="S943" s="1" t="s">
        <v>74</v>
      </c>
      <c r="T943" s="1" t="s">
        <v>74</v>
      </c>
      <c r="U943" s="1" t="s">
        <v>74</v>
      </c>
      <c r="V943" s="1" t="s">
        <v>8801</v>
      </c>
      <c r="W943" s="1" t="s">
        <v>74</v>
      </c>
      <c r="X943" s="1" t="s">
        <v>74</v>
      </c>
      <c r="Y943" s="1" t="s">
        <v>74</v>
      </c>
      <c r="Z943" s="1" t="s">
        <v>74</v>
      </c>
      <c r="AA943" s="1" t="s">
        <v>74</v>
      </c>
      <c r="AB943" s="1" t="s">
        <v>8802</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1180</v>
      </c>
      <c r="AP943" s="1" t="s">
        <v>1181</v>
      </c>
      <c r="AQ943" s="1" t="s">
        <v>74</v>
      </c>
      <c r="AR943" s="1" t="s">
        <v>74</v>
      </c>
      <c r="AS943" s="1" t="s">
        <v>74</v>
      </c>
      <c r="AT943" s="1" t="s">
        <v>95</v>
      </c>
      <c r="AU943" s="1">
        <v>2008.0</v>
      </c>
      <c r="AV943" s="1">
        <v>32.0</v>
      </c>
      <c r="AW943" s="1">
        <v>7.0</v>
      </c>
      <c r="AX943" s="1" t="s">
        <v>74</v>
      </c>
      <c r="AY943" s="1" t="s">
        <v>74</v>
      </c>
      <c r="AZ943" s="1" t="s">
        <v>74</v>
      </c>
      <c r="BA943" s="1" t="s">
        <v>74</v>
      </c>
      <c r="BB943" s="1">
        <v>860.0</v>
      </c>
      <c r="BC943" s="1">
        <v>864.0</v>
      </c>
      <c r="BD943" s="1" t="s">
        <v>74</v>
      </c>
      <c r="BE943" s="1" t="s">
        <v>8803</v>
      </c>
      <c r="BF943" s="2" t="str">
        <f>HYPERLINK("http://dx.doi.org/10.1002/uog.6142","http://dx.doi.org/10.1002/uog.6142")</f>
        <v>http://dx.doi.org/10.1002/uog.6142</v>
      </c>
      <c r="BG943" s="1" t="s">
        <v>74</v>
      </c>
      <c r="BH943" s="1" t="s">
        <v>74</v>
      </c>
      <c r="BI943" s="1" t="s">
        <v>74</v>
      </c>
      <c r="BJ943" s="1" t="s">
        <v>74</v>
      </c>
      <c r="BK943" s="1" t="s">
        <v>74</v>
      </c>
      <c r="BL943" s="1" t="s">
        <v>74</v>
      </c>
      <c r="BM943" s="1" t="s">
        <v>74</v>
      </c>
      <c r="BN943" s="1">
        <v>1.8839398E7</v>
      </c>
      <c r="BO943" s="1" t="s">
        <v>74</v>
      </c>
      <c r="BP943" s="1" t="s">
        <v>74</v>
      </c>
      <c r="BQ943" s="1" t="s">
        <v>74</v>
      </c>
      <c r="BR943" s="1" t="s">
        <v>74</v>
      </c>
      <c r="BS943" s="1" t="s">
        <v>8804</v>
      </c>
      <c r="BT943" s="1" t="str">
        <f>HYPERLINK("https%3A%2F%2Fwww.webofscience.com%2Fwos%2Fwoscc%2Ffull-record%2FWOS:000261822500005","View Full Record in Web of Science")</f>
        <v>View Full Record in Web of Science</v>
      </c>
    </row>
    <row r="944" ht="12.75" customHeight="1">
      <c r="A944" s="1" t="s">
        <v>72</v>
      </c>
      <c r="B944" s="1" t="s">
        <v>8805</v>
      </c>
      <c r="C944" s="1" t="s">
        <v>74</v>
      </c>
      <c r="D944" s="1" t="s">
        <v>74</v>
      </c>
      <c r="E944" s="1" t="s">
        <v>74</v>
      </c>
      <c r="F944" s="1" t="s">
        <v>8806</v>
      </c>
      <c r="G944" s="1" t="s">
        <v>74</v>
      </c>
      <c r="H944" s="1" t="s">
        <v>74</v>
      </c>
      <c r="I944" s="1" t="s">
        <v>8807</v>
      </c>
      <c r="J944" s="1" t="s">
        <v>8808</v>
      </c>
      <c r="K944" s="1" t="s">
        <v>74</v>
      </c>
      <c r="L944" s="1" t="s">
        <v>74</v>
      </c>
      <c r="M944" s="1" t="s">
        <v>74</v>
      </c>
      <c r="N944" s="1" t="s">
        <v>74</v>
      </c>
      <c r="O944" s="1" t="s">
        <v>74</v>
      </c>
      <c r="P944" s="1" t="s">
        <v>74</v>
      </c>
      <c r="Q944" s="1" t="s">
        <v>74</v>
      </c>
      <c r="R944" s="1" t="s">
        <v>74</v>
      </c>
      <c r="S944" s="1" t="s">
        <v>74</v>
      </c>
      <c r="T944" s="1" t="s">
        <v>74</v>
      </c>
      <c r="U944" s="1" t="s">
        <v>74</v>
      </c>
      <c r="V944" s="1" t="s">
        <v>8809</v>
      </c>
      <c r="W944" s="1" t="s">
        <v>74</v>
      </c>
      <c r="X944" s="1" t="s">
        <v>74</v>
      </c>
      <c r="Y944" s="1" t="s">
        <v>74</v>
      </c>
      <c r="Z944" s="1" t="s">
        <v>74</v>
      </c>
      <c r="AA944" s="1" t="s">
        <v>5723</v>
      </c>
      <c r="AB944" s="1" t="s">
        <v>8810</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8811</v>
      </c>
      <c r="AP944" s="1" t="s">
        <v>8812</v>
      </c>
      <c r="AQ944" s="1" t="s">
        <v>74</v>
      </c>
      <c r="AR944" s="1" t="s">
        <v>74</v>
      </c>
      <c r="AS944" s="1" t="s">
        <v>74</v>
      </c>
      <c r="AT944" s="1" t="s">
        <v>120</v>
      </c>
      <c r="AU944" s="1">
        <v>2008.0</v>
      </c>
      <c r="AV944" s="1">
        <v>46.0</v>
      </c>
      <c r="AW944" s="1">
        <v>2.0</v>
      </c>
      <c r="AX944" s="1" t="s">
        <v>74</v>
      </c>
      <c r="AY944" s="1" t="s">
        <v>74</v>
      </c>
      <c r="AZ944" s="1" t="s">
        <v>74</v>
      </c>
      <c r="BA944" s="1" t="s">
        <v>74</v>
      </c>
      <c r="BB944" s="1">
        <v>192.0</v>
      </c>
      <c r="BC944" s="1">
        <v>197.0</v>
      </c>
      <c r="BD944" s="1" t="s">
        <v>74</v>
      </c>
      <c r="BE944" s="1" t="s">
        <v>8813</v>
      </c>
      <c r="BF944" s="2" t="str">
        <f>HYPERLINK("http://dx.doi.org/10.1111/j.1472-765X.2007.02291.x","http://dx.doi.org/10.1111/j.1472-765X.2007.02291.x")</f>
        <v>http://dx.doi.org/10.1111/j.1472-765X.2007.02291.x</v>
      </c>
      <c r="BG944" s="1" t="s">
        <v>74</v>
      </c>
      <c r="BH944" s="1" t="s">
        <v>74</v>
      </c>
      <c r="BI944" s="1" t="s">
        <v>74</v>
      </c>
      <c r="BJ944" s="1" t="s">
        <v>74</v>
      </c>
      <c r="BK944" s="1" t="s">
        <v>74</v>
      </c>
      <c r="BL944" s="1" t="s">
        <v>74</v>
      </c>
      <c r="BM944" s="1" t="s">
        <v>74</v>
      </c>
      <c r="BN944" s="1">
        <v>1.8069982E7</v>
      </c>
      <c r="BO944" s="1" t="s">
        <v>74</v>
      </c>
      <c r="BP944" s="1" t="s">
        <v>74</v>
      </c>
      <c r="BQ944" s="1" t="s">
        <v>74</v>
      </c>
      <c r="BR944" s="1" t="s">
        <v>74</v>
      </c>
      <c r="BS944" s="1" t="s">
        <v>8814</v>
      </c>
      <c r="BT944" s="1" t="str">
        <f>HYPERLINK("https%3A%2F%2Fwww.webofscience.com%2Fwos%2Fwoscc%2Ffull-record%2FWOS:000252496600010","View Full Record in Web of Science")</f>
        <v>View Full Record in Web of Science</v>
      </c>
    </row>
    <row r="945" ht="12.75" customHeight="1">
      <c r="A945" s="1" t="s">
        <v>72</v>
      </c>
      <c r="B945" s="1" t="s">
        <v>8815</v>
      </c>
      <c r="C945" s="1" t="s">
        <v>74</v>
      </c>
      <c r="D945" s="1" t="s">
        <v>74</v>
      </c>
      <c r="E945" s="1" t="s">
        <v>74</v>
      </c>
      <c r="F945" s="1" t="s">
        <v>8816</v>
      </c>
      <c r="G945" s="1" t="s">
        <v>74</v>
      </c>
      <c r="H945" s="1" t="s">
        <v>74</v>
      </c>
      <c r="I945" s="1" t="s">
        <v>8817</v>
      </c>
      <c r="J945" s="1" t="s">
        <v>836</v>
      </c>
      <c r="K945" s="1" t="s">
        <v>74</v>
      </c>
      <c r="L945" s="1" t="s">
        <v>74</v>
      </c>
      <c r="M945" s="1" t="s">
        <v>74</v>
      </c>
      <c r="N945" s="1" t="s">
        <v>74</v>
      </c>
      <c r="O945" s="1" t="s">
        <v>74</v>
      </c>
      <c r="P945" s="1" t="s">
        <v>74</v>
      </c>
      <c r="Q945" s="1" t="s">
        <v>74</v>
      </c>
      <c r="R945" s="1" t="s">
        <v>74</v>
      </c>
      <c r="S945" s="1" t="s">
        <v>74</v>
      </c>
      <c r="T945" s="1" t="s">
        <v>74</v>
      </c>
      <c r="U945" s="1" t="s">
        <v>74</v>
      </c>
      <c r="V945" s="1" t="s">
        <v>8818</v>
      </c>
      <c r="W945" s="1" t="s">
        <v>74</v>
      </c>
      <c r="X945" s="1" t="s">
        <v>74</v>
      </c>
      <c r="Y945" s="1" t="s">
        <v>74</v>
      </c>
      <c r="Z945" s="1" t="s">
        <v>74</v>
      </c>
      <c r="AA945" s="1" t="s">
        <v>8819</v>
      </c>
      <c r="AB945" s="1" t="s">
        <v>8820</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838</v>
      </c>
      <c r="AP945" s="1" t="s">
        <v>74</v>
      </c>
      <c r="AQ945" s="1" t="s">
        <v>74</v>
      </c>
      <c r="AR945" s="1" t="s">
        <v>74</v>
      </c>
      <c r="AS945" s="1" t="s">
        <v>74</v>
      </c>
      <c r="AT945" s="1" t="s">
        <v>74</v>
      </c>
      <c r="AU945" s="1">
        <v>2008.0</v>
      </c>
      <c r="AV945" s="1">
        <v>41.0</v>
      </c>
      <c r="AW945" s="1">
        <v>1.0</v>
      </c>
      <c r="AX945" s="1" t="s">
        <v>74</v>
      </c>
      <c r="AY945" s="1" t="s">
        <v>74</v>
      </c>
      <c r="AZ945" s="1" t="s">
        <v>74</v>
      </c>
      <c r="BA945" s="1" t="s">
        <v>74</v>
      </c>
      <c r="BB945" s="1">
        <v>93.0</v>
      </c>
      <c r="BC945" s="1">
        <v>108.0</v>
      </c>
      <c r="BD945" s="1" t="s">
        <v>74</v>
      </c>
      <c r="BE945" s="1" t="s">
        <v>74</v>
      </c>
      <c r="BF945" s="1" t="s">
        <v>74</v>
      </c>
      <c r="BG945" s="1" t="s">
        <v>74</v>
      </c>
      <c r="BH945" s="1" t="s">
        <v>74</v>
      </c>
      <c r="BI945" s="1" t="s">
        <v>74</v>
      </c>
      <c r="BJ945" s="1" t="s">
        <v>74</v>
      </c>
      <c r="BK945" s="1" t="s">
        <v>74</v>
      </c>
      <c r="BL945" s="1" t="s">
        <v>74</v>
      </c>
      <c r="BM945" s="1" t="s">
        <v>74</v>
      </c>
      <c r="BN945" s="1">
        <v>1.8769767E7</v>
      </c>
      <c r="BO945" s="1" t="s">
        <v>74</v>
      </c>
      <c r="BP945" s="1" t="s">
        <v>74</v>
      </c>
      <c r="BQ945" s="1" t="s">
        <v>74</v>
      </c>
      <c r="BR945" s="1" t="s">
        <v>74</v>
      </c>
      <c r="BS945" s="1" t="s">
        <v>8821</v>
      </c>
      <c r="BT945" s="1" t="str">
        <f>HYPERLINK("https%3A%2F%2Fwww.webofscience.com%2Fwos%2Fwoscc%2Ffull-record%2FWOS:000258425500009","View Full Record in Web of Science")</f>
        <v>View Full Record in Web of Science</v>
      </c>
    </row>
    <row r="946" ht="12.75" customHeight="1">
      <c r="A946" s="1" t="s">
        <v>72</v>
      </c>
      <c r="B946" s="1" t="s">
        <v>8822</v>
      </c>
      <c r="C946" s="1" t="s">
        <v>74</v>
      </c>
      <c r="D946" s="1" t="s">
        <v>74</v>
      </c>
      <c r="E946" s="1" t="s">
        <v>74</v>
      </c>
      <c r="F946" s="1" t="s">
        <v>8823</v>
      </c>
      <c r="G946" s="1" t="s">
        <v>74</v>
      </c>
      <c r="H946" s="1" t="s">
        <v>74</v>
      </c>
      <c r="I946" s="1" t="s">
        <v>8824</v>
      </c>
      <c r="J946" s="1" t="s">
        <v>8825</v>
      </c>
      <c r="K946" s="1" t="s">
        <v>74</v>
      </c>
      <c r="L946" s="1" t="s">
        <v>74</v>
      </c>
      <c r="M946" s="1" t="s">
        <v>74</v>
      </c>
      <c r="N946" s="1" t="s">
        <v>74</v>
      </c>
      <c r="O946" s="1" t="s">
        <v>74</v>
      </c>
      <c r="P946" s="1" t="s">
        <v>74</v>
      </c>
      <c r="Q946" s="1" t="s">
        <v>74</v>
      </c>
      <c r="R946" s="1" t="s">
        <v>74</v>
      </c>
      <c r="S946" s="1" t="s">
        <v>74</v>
      </c>
      <c r="T946" s="1" t="s">
        <v>74</v>
      </c>
      <c r="U946" s="1" t="s">
        <v>74</v>
      </c>
      <c r="V946" s="1" t="s">
        <v>8826</v>
      </c>
      <c r="W946" s="1" t="s">
        <v>74</v>
      </c>
      <c r="X946" s="1" t="s">
        <v>74</v>
      </c>
      <c r="Y946" s="1" t="s">
        <v>74</v>
      </c>
      <c r="Z946" s="1" t="s">
        <v>74</v>
      </c>
      <c r="AA946" s="1" t="s">
        <v>74</v>
      </c>
      <c r="AB946" s="1" t="s">
        <v>8827</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8828</v>
      </c>
      <c r="AP946" s="1" t="s">
        <v>8829</v>
      </c>
      <c r="AQ946" s="1" t="s">
        <v>74</v>
      </c>
      <c r="AR946" s="1" t="s">
        <v>74</v>
      </c>
      <c r="AS946" s="1" t="s">
        <v>74</v>
      </c>
      <c r="AT946" s="1" t="s">
        <v>1307</v>
      </c>
      <c r="AU946" s="1">
        <v>2007.0</v>
      </c>
      <c r="AV946" s="1">
        <v>24.0</v>
      </c>
      <c r="AW946" s="1">
        <v>3.0</v>
      </c>
      <c r="AX946" s="1" t="s">
        <v>74</v>
      </c>
      <c r="AY946" s="1" t="s">
        <v>74</v>
      </c>
      <c r="AZ946" s="1" t="s">
        <v>74</v>
      </c>
      <c r="BA946" s="1" t="s">
        <v>74</v>
      </c>
      <c r="BB946" s="1">
        <v>433.0</v>
      </c>
      <c r="BC946" s="1">
        <v>443.0</v>
      </c>
      <c r="BD946" s="1" t="s">
        <v>74</v>
      </c>
      <c r="BE946" s="1" t="s">
        <v>8830</v>
      </c>
      <c r="BF946" s="2" t="str">
        <f>HYPERLINK("http://dx.doi.org/10.1590/S0104-66322007000300012","http://dx.doi.org/10.1590/S0104-66322007000300012")</f>
        <v>http://dx.doi.org/10.1590/S0104-66322007000300012</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8831</v>
      </c>
      <c r="BT946" s="1" t="str">
        <f>HYPERLINK("https%3A%2F%2Fwww.webofscience.com%2Fwos%2Fwoscc%2Ffull-record%2FWOS:000248910600012","View Full Record in Web of Science")</f>
        <v>View Full Record in Web of Science</v>
      </c>
    </row>
    <row r="947" ht="12.75" customHeight="1">
      <c r="A947" s="1" t="s">
        <v>346</v>
      </c>
      <c r="B947" s="1" t="s">
        <v>8832</v>
      </c>
      <c r="C947" s="1" t="s">
        <v>74</v>
      </c>
      <c r="D947" s="1" t="s">
        <v>8833</v>
      </c>
      <c r="E947" s="1" t="s">
        <v>74</v>
      </c>
      <c r="F947" s="1" t="s">
        <v>8834</v>
      </c>
      <c r="G947" s="1" t="s">
        <v>74</v>
      </c>
      <c r="H947" s="1" t="s">
        <v>74</v>
      </c>
      <c r="I947" s="1" t="s">
        <v>8835</v>
      </c>
      <c r="J947" s="1" t="s">
        <v>8836</v>
      </c>
      <c r="K947" s="1" t="s">
        <v>74</v>
      </c>
      <c r="L947" s="1" t="s">
        <v>74</v>
      </c>
      <c r="M947" s="1" t="s">
        <v>74</v>
      </c>
      <c r="N947" s="1" t="s">
        <v>74</v>
      </c>
      <c r="O947" s="1" t="s">
        <v>8837</v>
      </c>
      <c r="P947" s="1" t="s">
        <v>3750</v>
      </c>
      <c r="Q947" s="1" t="s">
        <v>8838</v>
      </c>
      <c r="R947" s="1" t="s">
        <v>8839</v>
      </c>
      <c r="S947" s="1" t="s">
        <v>74</v>
      </c>
      <c r="T947" s="1" t="s">
        <v>74</v>
      </c>
      <c r="U947" s="1" t="s">
        <v>74</v>
      </c>
      <c r="V947" s="1" t="s">
        <v>8840</v>
      </c>
      <c r="W947" s="1" t="s">
        <v>74</v>
      </c>
      <c r="X947" s="1" t="s">
        <v>74</v>
      </c>
      <c r="Y947" s="1" t="s">
        <v>74</v>
      </c>
      <c r="Z947" s="1" t="s">
        <v>74</v>
      </c>
      <c r="AA947" s="1" t="s">
        <v>8400</v>
      </c>
      <c r="AB947" s="1" t="s">
        <v>8841</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74</v>
      </c>
      <c r="AP947" s="1" t="s">
        <v>74</v>
      </c>
      <c r="AQ947" s="1" t="s">
        <v>74</v>
      </c>
      <c r="AR947" s="1" t="s">
        <v>74</v>
      </c>
      <c r="AS947" s="1" t="s">
        <v>74</v>
      </c>
      <c r="AT947" s="1" t="s">
        <v>74</v>
      </c>
      <c r="AU947" s="1">
        <v>2007.0</v>
      </c>
      <c r="AV947" s="1" t="s">
        <v>74</v>
      </c>
      <c r="AW947" s="1" t="s">
        <v>74</v>
      </c>
      <c r="AX947" s="1" t="s">
        <v>74</v>
      </c>
      <c r="AY947" s="1" t="s">
        <v>74</v>
      </c>
      <c r="AZ947" s="1" t="s">
        <v>74</v>
      </c>
      <c r="BA947" s="1" t="s">
        <v>74</v>
      </c>
      <c r="BB947" s="1">
        <v>263.0</v>
      </c>
      <c r="BC947" s="1" t="s">
        <v>1164</v>
      </c>
      <c r="BD947" s="1" t="s">
        <v>74</v>
      </c>
      <c r="BE947" s="1" t="s">
        <v>8842</v>
      </c>
      <c r="BF947" s="2" t="str">
        <f>HYPERLINK("http://dx.doi.org/10.1109/ICTON.2007.4296395","http://dx.doi.org/10.1109/ICTON.2007.4296395")</f>
        <v>http://dx.doi.org/10.1109/ICTON.2007.4296395</v>
      </c>
      <c r="BG947" s="1" t="s">
        <v>74</v>
      </c>
      <c r="BH947" s="1" t="s">
        <v>74</v>
      </c>
      <c r="BI947" s="1" t="s">
        <v>74</v>
      </c>
      <c r="BJ947" s="1" t="s">
        <v>74</v>
      </c>
      <c r="BK947" s="1" t="s">
        <v>74</v>
      </c>
      <c r="BL947" s="1" t="s">
        <v>74</v>
      </c>
      <c r="BM947" s="1" t="s">
        <v>74</v>
      </c>
      <c r="BN947" s="1" t="s">
        <v>74</v>
      </c>
      <c r="BO947" s="1" t="s">
        <v>74</v>
      </c>
      <c r="BP947" s="1" t="s">
        <v>74</v>
      </c>
      <c r="BQ947" s="1" t="s">
        <v>74</v>
      </c>
      <c r="BR947" s="1" t="s">
        <v>74</v>
      </c>
      <c r="BS947" s="1" t="s">
        <v>8843</v>
      </c>
      <c r="BT947" s="1" t="str">
        <f>HYPERLINK("https%3A%2F%2Fwww.webofscience.com%2Fwos%2Fwoscc%2Ffull-record%2FWOS:000250535300070","View Full Record in Web of Science")</f>
        <v>View Full Record in Web of Science</v>
      </c>
    </row>
    <row r="948" ht="12.75" customHeight="1">
      <c r="A948" s="1" t="s">
        <v>72</v>
      </c>
      <c r="B948" s="1" t="s">
        <v>8844</v>
      </c>
      <c r="C948" s="1" t="s">
        <v>74</v>
      </c>
      <c r="D948" s="1" t="s">
        <v>74</v>
      </c>
      <c r="E948" s="1" t="s">
        <v>74</v>
      </c>
      <c r="F948" s="1" t="s">
        <v>8845</v>
      </c>
      <c r="G948" s="1" t="s">
        <v>74</v>
      </c>
      <c r="H948" s="1" t="s">
        <v>74</v>
      </c>
      <c r="I948" s="1" t="s">
        <v>8846</v>
      </c>
      <c r="J948" s="1" t="s">
        <v>8847</v>
      </c>
      <c r="K948" s="1" t="s">
        <v>74</v>
      </c>
      <c r="L948" s="1" t="s">
        <v>74</v>
      </c>
      <c r="M948" s="1" t="s">
        <v>74</v>
      </c>
      <c r="N948" s="1" t="s">
        <v>74</v>
      </c>
      <c r="O948" s="1" t="s">
        <v>74</v>
      </c>
      <c r="P948" s="1" t="s">
        <v>74</v>
      </c>
      <c r="Q948" s="1" t="s">
        <v>74</v>
      </c>
      <c r="R948" s="1" t="s">
        <v>74</v>
      </c>
      <c r="S948" s="1" t="s">
        <v>74</v>
      </c>
      <c r="T948" s="1" t="s">
        <v>74</v>
      </c>
      <c r="U948" s="1" t="s">
        <v>74</v>
      </c>
      <c r="V948" s="1" t="s">
        <v>8848</v>
      </c>
      <c r="W948" s="1" t="s">
        <v>74</v>
      </c>
      <c r="X948" s="1" t="s">
        <v>74</v>
      </c>
      <c r="Y948" s="1" t="s">
        <v>74</v>
      </c>
      <c r="Z948" s="1" t="s">
        <v>74</v>
      </c>
      <c r="AA948" s="1" t="s">
        <v>8849</v>
      </c>
      <c r="AB948" s="1" t="s">
        <v>8850</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8851</v>
      </c>
      <c r="AP948" s="1" t="s">
        <v>74</v>
      </c>
      <c r="AQ948" s="1" t="s">
        <v>74</v>
      </c>
      <c r="AR948" s="1" t="s">
        <v>74</v>
      </c>
      <c r="AS948" s="1" t="s">
        <v>74</v>
      </c>
      <c r="AT948" s="1" t="s">
        <v>862</v>
      </c>
      <c r="AU948" s="1">
        <v>2006.0</v>
      </c>
      <c r="AV948" s="1">
        <v>100.0</v>
      </c>
      <c r="AW948" s="1">
        <v>4.0</v>
      </c>
      <c r="AX948" s="1" t="s">
        <v>74</v>
      </c>
      <c r="AY948" s="1" t="s">
        <v>74</v>
      </c>
      <c r="AZ948" s="1" t="s">
        <v>74</v>
      </c>
      <c r="BA948" s="1" t="s">
        <v>74</v>
      </c>
      <c r="BB948" s="1" t="s">
        <v>74</v>
      </c>
      <c r="BC948" s="1" t="s">
        <v>74</v>
      </c>
      <c r="BD948" s="1">
        <v>44311.0</v>
      </c>
      <c r="BE948" s="1" t="s">
        <v>8852</v>
      </c>
      <c r="BF948" s="2" t="str">
        <f>HYPERLINK("http://dx.doi.org/10.1063/1.2218997","http://dx.doi.org/10.1063/1.2218997")</f>
        <v>http://dx.doi.org/10.1063/1.2218997</v>
      </c>
      <c r="BG948" s="1" t="s">
        <v>74</v>
      </c>
      <c r="BH948" s="1" t="s">
        <v>74</v>
      </c>
      <c r="BI948" s="1" t="s">
        <v>74</v>
      </c>
      <c r="BJ948" s="1" t="s">
        <v>74</v>
      </c>
      <c r="BK948" s="1" t="s">
        <v>74</v>
      </c>
      <c r="BL948" s="1" t="s">
        <v>74</v>
      </c>
      <c r="BM948" s="1" t="s">
        <v>74</v>
      </c>
      <c r="BN948" s="1" t="s">
        <v>74</v>
      </c>
      <c r="BO948" s="1" t="s">
        <v>74</v>
      </c>
      <c r="BP948" s="1" t="s">
        <v>74</v>
      </c>
      <c r="BQ948" s="1" t="s">
        <v>74</v>
      </c>
      <c r="BR948" s="1" t="s">
        <v>74</v>
      </c>
      <c r="BS948" s="1" t="s">
        <v>8853</v>
      </c>
      <c r="BT948" s="1" t="str">
        <f>HYPERLINK("https%3A%2F%2Fwww.webofscience.com%2Fwos%2Fwoscc%2Ffull-record%2FWOS:000240236800109","View Full Record in Web of Science")</f>
        <v>View Full Record in Web of Science</v>
      </c>
    </row>
    <row r="949" ht="12.75" customHeight="1">
      <c r="A949" s="1" t="s">
        <v>72</v>
      </c>
      <c r="B949" s="1" t="s">
        <v>8854</v>
      </c>
      <c r="C949" s="1" t="s">
        <v>74</v>
      </c>
      <c r="D949" s="1" t="s">
        <v>74</v>
      </c>
      <c r="E949" s="1" t="s">
        <v>74</v>
      </c>
      <c r="F949" s="1" t="s">
        <v>8854</v>
      </c>
      <c r="G949" s="1" t="s">
        <v>74</v>
      </c>
      <c r="H949" s="1" t="s">
        <v>74</v>
      </c>
      <c r="I949" s="1" t="s">
        <v>8855</v>
      </c>
      <c r="J949" s="1" t="s">
        <v>8856</v>
      </c>
      <c r="K949" s="1" t="s">
        <v>74</v>
      </c>
      <c r="L949" s="1" t="s">
        <v>74</v>
      </c>
      <c r="M949" s="1" t="s">
        <v>74</v>
      </c>
      <c r="N949" s="1" t="s">
        <v>74</v>
      </c>
      <c r="O949" s="1" t="s">
        <v>8857</v>
      </c>
      <c r="P949" s="1" t="s">
        <v>8858</v>
      </c>
      <c r="Q949" s="1" t="s">
        <v>8859</v>
      </c>
      <c r="R949" s="1" t="s">
        <v>8860</v>
      </c>
      <c r="S949" s="1" t="s">
        <v>74</v>
      </c>
      <c r="T949" s="1" t="s">
        <v>74</v>
      </c>
      <c r="U949" s="1" t="s">
        <v>74</v>
      </c>
      <c r="V949" s="1" t="s">
        <v>74</v>
      </c>
      <c r="W949" s="1" t="s">
        <v>74</v>
      </c>
      <c r="X949" s="1" t="s">
        <v>74</v>
      </c>
      <c r="Y949" s="1" t="s">
        <v>74</v>
      </c>
      <c r="Z949" s="1" t="s">
        <v>74</v>
      </c>
      <c r="AA949" s="1" t="s">
        <v>8861</v>
      </c>
      <c r="AB949" s="1" t="s">
        <v>74</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8862</v>
      </c>
      <c r="AP949" s="1" t="s">
        <v>74</v>
      </c>
      <c r="AQ949" s="1" t="s">
        <v>74</v>
      </c>
      <c r="AR949" s="1" t="s">
        <v>74</v>
      </c>
      <c r="AS949" s="1" t="s">
        <v>74</v>
      </c>
      <c r="AT949" s="1" t="s">
        <v>120</v>
      </c>
      <c r="AU949" s="1">
        <v>2006.0</v>
      </c>
      <c r="AV949" s="1">
        <v>117.0</v>
      </c>
      <c r="AW949" s="1">
        <v>2.0</v>
      </c>
      <c r="AX949" s="1" t="s">
        <v>74</v>
      </c>
      <c r="AY949" s="1" t="s">
        <v>475</v>
      </c>
      <c r="AZ949" s="1" t="s">
        <v>74</v>
      </c>
      <c r="BA949" s="1">
        <v>837.0</v>
      </c>
      <c r="BB949" s="1" t="s">
        <v>8863</v>
      </c>
      <c r="BC949" s="1" t="s">
        <v>8863</v>
      </c>
      <c r="BD949" s="1" t="s">
        <v>74</v>
      </c>
      <c r="BE949" s="1" t="s">
        <v>8864</v>
      </c>
      <c r="BF949" s="2" t="str">
        <f>HYPERLINK("http://dx.doi.org/10.1016/j.jaci.2005.12.856","http://dx.doi.org/10.1016/j.jaci.2005.12.856")</f>
        <v>http://dx.doi.org/10.1016/j.jaci.2005.12.856</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8865</v>
      </c>
      <c r="BT949" s="1" t="str">
        <f>HYPERLINK("https%3A%2F%2Fwww.webofscience.com%2Fwos%2Fwoscc%2Ffull-record%2FWOS:000235865301334","View Full Record in Web of Science")</f>
        <v>View Full Record in Web of Science</v>
      </c>
    </row>
    <row r="950" ht="12.75" customHeight="1">
      <c r="A950" s="1" t="s">
        <v>72</v>
      </c>
      <c r="B950" s="1" t="s">
        <v>8866</v>
      </c>
      <c r="C950" s="1" t="s">
        <v>74</v>
      </c>
      <c r="D950" s="1" t="s">
        <v>74</v>
      </c>
      <c r="E950" s="1" t="s">
        <v>74</v>
      </c>
      <c r="F950" s="1" t="s">
        <v>8866</v>
      </c>
      <c r="G950" s="1" t="s">
        <v>74</v>
      </c>
      <c r="H950" s="1" t="s">
        <v>74</v>
      </c>
      <c r="I950" s="1" t="s">
        <v>8867</v>
      </c>
      <c r="J950" s="1" t="s">
        <v>6804</v>
      </c>
      <c r="K950" s="1" t="s">
        <v>74</v>
      </c>
      <c r="L950" s="1" t="s">
        <v>74</v>
      </c>
      <c r="M950" s="1" t="s">
        <v>74</v>
      </c>
      <c r="N950" s="1" t="s">
        <v>74</v>
      </c>
      <c r="O950" s="1" t="s">
        <v>74</v>
      </c>
      <c r="P950" s="1" t="s">
        <v>74</v>
      </c>
      <c r="Q950" s="1" t="s">
        <v>74</v>
      </c>
      <c r="R950" s="1" t="s">
        <v>74</v>
      </c>
      <c r="S950" s="1" t="s">
        <v>74</v>
      </c>
      <c r="T950" s="1" t="s">
        <v>74</v>
      </c>
      <c r="U950" s="1" t="s">
        <v>74</v>
      </c>
      <c r="V950" s="1" t="s">
        <v>8868</v>
      </c>
      <c r="W950" s="1" t="s">
        <v>74</v>
      </c>
      <c r="X950" s="1" t="s">
        <v>74</v>
      </c>
      <c r="Y950" s="1" t="s">
        <v>74</v>
      </c>
      <c r="Z950" s="1" t="s">
        <v>74</v>
      </c>
      <c r="AA950" s="1" t="s">
        <v>8869</v>
      </c>
      <c r="AB950" s="1" t="s">
        <v>8870</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6808</v>
      </c>
      <c r="AP950" s="1" t="s">
        <v>6809</v>
      </c>
      <c r="AQ950" s="1" t="s">
        <v>74</v>
      </c>
      <c r="AR950" s="1" t="s">
        <v>74</v>
      </c>
      <c r="AS950" s="1" t="s">
        <v>74</v>
      </c>
      <c r="AT950" s="1" t="s">
        <v>74</v>
      </c>
      <c r="AU950" s="1">
        <v>2006.0</v>
      </c>
      <c r="AV950" s="1">
        <v>39.0</v>
      </c>
      <c r="AW950" s="1">
        <v>1.0</v>
      </c>
      <c r="AX950" s="1" t="s">
        <v>74</v>
      </c>
      <c r="AY950" s="1" t="s">
        <v>74</v>
      </c>
      <c r="AZ950" s="1" t="s">
        <v>74</v>
      </c>
      <c r="BA950" s="1" t="s">
        <v>74</v>
      </c>
      <c r="BB950" s="1">
        <v>40.0</v>
      </c>
      <c r="BC950" s="1">
        <v>46.0</v>
      </c>
      <c r="BD950" s="1" t="s">
        <v>74</v>
      </c>
      <c r="BE950" s="1" t="s">
        <v>8871</v>
      </c>
      <c r="BF950" s="2" t="str">
        <f>HYPERLINK("http://dx.doi.org/10.1016/j.foodres.2005.06.001","http://dx.doi.org/10.1016/j.foodres.2005.06.001")</f>
        <v>http://dx.doi.org/10.1016/j.foodres.2005.06.001</v>
      </c>
      <c r="BG950" s="1" t="s">
        <v>74</v>
      </c>
      <c r="BH950" s="1" t="s">
        <v>74</v>
      </c>
      <c r="BI950" s="1" t="s">
        <v>74</v>
      </c>
      <c r="BJ950" s="1" t="s">
        <v>74</v>
      </c>
      <c r="BK950" s="1" t="s">
        <v>74</v>
      </c>
      <c r="BL950" s="1" t="s">
        <v>74</v>
      </c>
      <c r="BM950" s="1" t="s">
        <v>74</v>
      </c>
      <c r="BN950" s="1" t="s">
        <v>74</v>
      </c>
      <c r="BO950" s="1" t="s">
        <v>74</v>
      </c>
      <c r="BP950" s="1" t="s">
        <v>74</v>
      </c>
      <c r="BQ950" s="1" t="s">
        <v>74</v>
      </c>
      <c r="BR950" s="1" t="s">
        <v>74</v>
      </c>
      <c r="BS950" s="1" t="s">
        <v>8872</v>
      </c>
      <c r="BT950" s="1" t="str">
        <f>HYPERLINK("https%3A%2F%2Fwww.webofscience.com%2Fwos%2Fwoscc%2Ffull-record%2FWOS:000234581800005","View Full Record in Web of Science")</f>
        <v>View Full Record in Web of Science</v>
      </c>
    </row>
    <row r="951" ht="12.75" customHeight="1">
      <c r="A951" s="1" t="s">
        <v>72</v>
      </c>
      <c r="B951" s="1" t="s">
        <v>8873</v>
      </c>
      <c r="C951" s="1" t="s">
        <v>74</v>
      </c>
      <c r="D951" s="1" t="s">
        <v>74</v>
      </c>
      <c r="E951" s="1" t="s">
        <v>74</v>
      </c>
      <c r="F951" s="1" t="s">
        <v>8873</v>
      </c>
      <c r="G951" s="1" t="s">
        <v>74</v>
      </c>
      <c r="H951" s="1" t="s">
        <v>74</v>
      </c>
      <c r="I951" s="1" t="s">
        <v>8874</v>
      </c>
      <c r="J951" s="1" t="s">
        <v>8875</v>
      </c>
      <c r="K951" s="1" t="s">
        <v>74</v>
      </c>
      <c r="L951" s="1" t="s">
        <v>74</v>
      </c>
      <c r="M951" s="1" t="s">
        <v>74</v>
      </c>
      <c r="N951" s="1" t="s">
        <v>74</v>
      </c>
      <c r="O951" s="1" t="s">
        <v>74</v>
      </c>
      <c r="P951" s="1" t="s">
        <v>74</v>
      </c>
      <c r="Q951" s="1" t="s">
        <v>74</v>
      </c>
      <c r="R951" s="1" t="s">
        <v>74</v>
      </c>
      <c r="S951" s="1" t="s">
        <v>74</v>
      </c>
      <c r="T951" s="1" t="s">
        <v>74</v>
      </c>
      <c r="U951" s="1" t="s">
        <v>74</v>
      </c>
      <c r="V951" s="1" t="s">
        <v>8876</v>
      </c>
      <c r="W951" s="1" t="s">
        <v>74</v>
      </c>
      <c r="X951" s="1" t="s">
        <v>74</v>
      </c>
      <c r="Y951" s="1" t="s">
        <v>74</v>
      </c>
      <c r="Z951" s="1" t="s">
        <v>74</v>
      </c>
      <c r="AA951" s="1" t="s">
        <v>8877</v>
      </c>
      <c r="AB951" s="1" t="s">
        <v>74</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8878</v>
      </c>
      <c r="AP951" s="1" t="s">
        <v>8879</v>
      </c>
      <c r="AQ951" s="1" t="s">
        <v>74</v>
      </c>
      <c r="AR951" s="1" t="s">
        <v>74</v>
      </c>
      <c r="AS951" s="1" t="s">
        <v>74</v>
      </c>
      <c r="AT951" s="1" t="s">
        <v>95</v>
      </c>
      <c r="AU951" s="1">
        <v>2005.0</v>
      </c>
      <c r="AV951" s="1">
        <v>127.0</v>
      </c>
      <c r="AW951" s="1">
        <v>7.0</v>
      </c>
      <c r="AX951" s="1" t="s">
        <v>74</v>
      </c>
      <c r="AY951" s="1" t="s">
        <v>74</v>
      </c>
      <c r="AZ951" s="1" t="s">
        <v>74</v>
      </c>
      <c r="BA951" s="1" t="s">
        <v>74</v>
      </c>
      <c r="BB951" s="1">
        <v>1127.0</v>
      </c>
      <c r="BC951" s="1">
        <v>1140.0</v>
      </c>
      <c r="BD951" s="1" t="s">
        <v>74</v>
      </c>
      <c r="BE951" s="1" t="s">
        <v>8880</v>
      </c>
      <c r="BF951" s="2" t="str">
        <f>HYPERLINK("http://dx.doi.org/10.1115/1.2073669","http://dx.doi.org/10.1115/1.2073669")</f>
        <v>http://dx.doi.org/10.1115/1.2073669</v>
      </c>
      <c r="BG951" s="1" t="s">
        <v>74</v>
      </c>
      <c r="BH951" s="1" t="s">
        <v>74</v>
      </c>
      <c r="BI951" s="1" t="s">
        <v>74</v>
      </c>
      <c r="BJ951" s="1" t="s">
        <v>74</v>
      </c>
      <c r="BK951" s="1" t="s">
        <v>74</v>
      </c>
      <c r="BL951" s="1" t="s">
        <v>74</v>
      </c>
      <c r="BM951" s="1" t="s">
        <v>74</v>
      </c>
      <c r="BN951" s="1">
        <v>1.6502655E7</v>
      </c>
      <c r="BO951" s="1" t="s">
        <v>74</v>
      </c>
      <c r="BP951" s="1" t="s">
        <v>74</v>
      </c>
      <c r="BQ951" s="1" t="s">
        <v>74</v>
      </c>
      <c r="BR951" s="1" t="s">
        <v>74</v>
      </c>
      <c r="BS951" s="1" t="s">
        <v>8881</v>
      </c>
      <c r="BT951" s="1" t="str">
        <f>HYPERLINK("https%3A%2F%2Fwww.webofscience.com%2Fwos%2Fwoscc%2Ffull-record%2FWOS:000234259600010","View Full Record in Web of Science")</f>
        <v>View Full Record in Web of Science</v>
      </c>
    </row>
    <row r="952" ht="12.75" customHeight="1">
      <c r="A952" s="1" t="s">
        <v>72</v>
      </c>
      <c r="B952" s="1" t="s">
        <v>8882</v>
      </c>
      <c r="C952" s="1" t="s">
        <v>74</v>
      </c>
      <c r="D952" s="1" t="s">
        <v>74</v>
      </c>
      <c r="E952" s="1" t="s">
        <v>74</v>
      </c>
      <c r="F952" s="1" t="s">
        <v>8882</v>
      </c>
      <c r="G952" s="1" t="s">
        <v>74</v>
      </c>
      <c r="H952" s="1" t="s">
        <v>74</v>
      </c>
      <c r="I952" s="1" t="s">
        <v>8883</v>
      </c>
      <c r="J952" s="1" t="s">
        <v>1145</v>
      </c>
      <c r="K952" s="1" t="s">
        <v>74</v>
      </c>
      <c r="L952" s="1" t="s">
        <v>74</v>
      </c>
      <c r="M952" s="1" t="s">
        <v>74</v>
      </c>
      <c r="N952" s="1" t="s">
        <v>74</v>
      </c>
      <c r="O952" s="1" t="s">
        <v>74</v>
      </c>
      <c r="P952" s="1" t="s">
        <v>74</v>
      </c>
      <c r="Q952" s="1" t="s">
        <v>74</v>
      </c>
      <c r="R952" s="1" t="s">
        <v>74</v>
      </c>
      <c r="S952" s="1" t="s">
        <v>74</v>
      </c>
      <c r="T952" s="1" t="s">
        <v>74</v>
      </c>
      <c r="U952" s="1" t="s">
        <v>74</v>
      </c>
      <c r="V952" s="1" t="s">
        <v>8884</v>
      </c>
      <c r="W952" s="1" t="s">
        <v>74</v>
      </c>
      <c r="X952" s="1" t="s">
        <v>74</v>
      </c>
      <c r="Y952" s="1" t="s">
        <v>74</v>
      </c>
      <c r="Z952" s="1" t="s">
        <v>74</v>
      </c>
      <c r="AA952" s="1" t="s">
        <v>8040</v>
      </c>
      <c r="AB952" s="1" t="s">
        <v>2318</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1148</v>
      </c>
      <c r="AP952" s="1" t="s">
        <v>74</v>
      </c>
      <c r="AQ952" s="1" t="s">
        <v>74</v>
      </c>
      <c r="AR952" s="1" t="s">
        <v>74</v>
      </c>
      <c r="AS952" s="1" t="s">
        <v>74</v>
      </c>
      <c r="AT952" s="1" t="s">
        <v>83</v>
      </c>
      <c r="AU952" s="1">
        <v>2004.0</v>
      </c>
      <c r="AV952" s="1">
        <v>49.0</v>
      </c>
      <c r="AW952" s="1">
        <v>1.0</v>
      </c>
      <c r="AX952" s="1" t="s">
        <v>74</v>
      </c>
      <c r="AY952" s="1" t="s">
        <v>74</v>
      </c>
      <c r="AZ952" s="1" t="s">
        <v>74</v>
      </c>
      <c r="BA952" s="1" t="s">
        <v>74</v>
      </c>
      <c r="BB952" s="1">
        <v>17.0</v>
      </c>
      <c r="BC952" s="1">
        <v>23.0</v>
      </c>
      <c r="BD952" s="1" t="s">
        <v>74</v>
      </c>
      <c r="BE952" s="1" t="s">
        <v>74</v>
      </c>
      <c r="BF952" s="1" t="s">
        <v>74</v>
      </c>
      <c r="BG952" s="1" t="s">
        <v>74</v>
      </c>
      <c r="BH952" s="1" t="s">
        <v>74</v>
      </c>
      <c r="BI952" s="1" t="s">
        <v>74</v>
      </c>
      <c r="BJ952" s="1" t="s">
        <v>74</v>
      </c>
      <c r="BK952" s="1" t="s">
        <v>74</v>
      </c>
      <c r="BL952" s="1" t="s">
        <v>74</v>
      </c>
      <c r="BM952" s="1" t="s">
        <v>74</v>
      </c>
      <c r="BN952" s="1" t="s">
        <v>74</v>
      </c>
      <c r="BO952" s="1" t="s">
        <v>74</v>
      </c>
      <c r="BP952" s="1" t="s">
        <v>74</v>
      </c>
      <c r="BQ952" s="1" t="s">
        <v>74</v>
      </c>
      <c r="BR952" s="1" t="s">
        <v>74</v>
      </c>
      <c r="BS952" s="1" t="s">
        <v>8885</v>
      </c>
      <c r="BT952" s="1" t="str">
        <f>HYPERLINK("https%3A%2F%2Fwww.webofscience.com%2Fwos%2Fwoscc%2Ffull-record%2FWOS:000189308600004","View Full Record in Web of Science")</f>
        <v>View Full Record in Web of Science</v>
      </c>
    </row>
    <row r="953" ht="12.75" customHeight="1">
      <c r="A953" s="1" t="s">
        <v>72</v>
      </c>
      <c r="B953" s="1" t="s">
        <v>8886</v>
      </c>
      <c r="C953" s="1" t="s">
        <v>74</v>
      </c>
      <c r="D953" s="1" t="s">
        <v>74</v>
      </c>
      <c r="E953" s="1" t="s">
        <v>74</v>
      </c>
      <c r="F953" s="1" t="s">
        <v>8886</v>
      </c>
      <c r="G953" s="1" t="s">
        <v>74</v>
      </c>
      <c r="H953" s="1" t="s">
        <v>74</v>
      </c>
      <c r="I953" s="1" t="s">
        <v>8887</v>
      </c>
      <c r="J953" s="1" t="s">
        <v>8888</v>
      </c>
      <c r="K953" s="1" t="s">
        <v>74</v>
      </c>
      <c r="L953" s="1" t="s">
        <v>74</v>
      </c>
      <c r="M953" s="1" t="s">
        <v>74</v>
      </c>
      <c r="N953" s="1" t="s">
        <v>74</v>
      </c>
      <c r="O953" s="1" t="s">
        <v>74</v>
      </c>
      <c r="P953" s="1" t="s">
        <v>74</v>
      </c>
      <c r="Q953" s="1" t="s">
        <v>74</v>
      </c>
      <c r="R953" s="1" t="s">
        <v>74</v>
      </c>
      <c r="S953" s="1" t="s">
        <v>74</v>
      </c>
      <c r="T953" s="1" t="s">
        <v>74</v>
      </c>
      <c r="U953" s="1" t="s">
        <v>74</v>
      </c>
      <c r="V953" s="1" t="s">
        <v>8889</v>
      </c>
      <c r="W953" s="1" t="s">
        <v>74</v>
      </c>
      <c r="X953" s="1" t="s">
        <v>74</v>
      </c>
      <c r="Y953" s="1" t="s">
        <v>74</v>
      </c>
      <c r="Z953" s="1" t="s">
        <v>74</v>
      </c>
      <c r="AA953" s="1" t="s">
        <v>8890</v>
      </c>
      <c r="AB953" s="1" t="s">
        <v>8891</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8892</v>
      </c>
      <c r="AP953" s="1" t="s">
        <v>8893</v>
      </c>
      <c r="AQ953" s="1" t="s">
        <v>74</v>
      </c>
      <c r="AR953" s="1" t="s">
        <v>74</v>
      </c>
      <c r="AS953" s="1" t="s">
        <v>74</v>
      </c>
      <c r="AT953" s="1" t="s">
        <v>74</v>
      </c>
      <c r="AU953" s="1">
        <v>2002.0</v>
      </c>
      <c r="AV953" s="1">
        <v>5.0</v>
      </c>
      <c r="AW953" s="1">
        <v>3.0</v>
      </c>
      <c r="AX953" s="1" t="s">
        <v>74</v>
      </c>
      <c r="AY953" s="1" t="s">
        <v>74</v>
      </c>
      <c r="AZ953" s="1" t="s">
        <v>74</v>
      </c>
      <c r="BA953" s="1" t="s">
        <v>74</v>
      </c>
      <c r="BB953" s="1">
        <v>523.0</v>
      </c>
      <c r="BC953" s="1">
        <v>535.0</v>
      </c>
      <c r="BD953" s="1" t="s">
        <v>74</v>
      </c>
      <c r="BE953" s="1" t="s">
        <v>8894</v>
      </c>
      <c r="BF953" s="2" t="str">
        <f>HYPERLINK("http://dx.doi.org/10.1081/JFP-120015489","http://dx.doi.org/10.1081/JFP-120015489")</f>
        <v>http://dx.doi.org/10.1081/JFP-120015489</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8895</v>
      </c>
      <c r="BT953" s="1" t="str">
        <f>HYPERLINK("https%3A%2F%2Fwww.webofscience.com%2Fwos%2Fwoscc%2Ffull-record%2FWOS:000178879300004","View Full Record in Web of Science")</f>
        <v>View Full Record in Web of Science</v>
      </c>
    </row>
    <row r="954" ht="12.75" customHeight="1">
      <c r="A954" s="1" t="s">
        <v>72</v>
      </c>
      <c r="B954" s="1" t="s">
        <v>8896</v>
      </c>
      <c r="C954" s="1" t="s">
        <v>74</v>
      </c>
      <c r="D954" s="1" t="s">
        <v>74</v>
      </c>
      <c r="E954" s="1" t="s">
        <v>74</v>
      </c>
      <c r="F954" s="1" t="s">
        <v>8896</v>
      </c>
      <c r="G954" s="1" t="s">
        <v>74</v>
      </c>
      <c r="H954" s="1" t="s">
        <v>74</v>
      </c>
      <c r="I954" s="1" t="s">
        <v>8897</v>
      </c>
      <c r="J954" s="1" t="s">
        <v>3266</v>
      </c>
      <c r="K954" s="1" t="s">
        <v>74</v>
      </c>
      <c r="L954" s="1" t="s">
        <v>74</v>
      </c>
      <c r="M954" s="1" t="s">
        <v>74</v>
      </c>
      <c r="N954" s="1" t="s">
        <v>74</v>
      </c>
      <c r="O954" s="1" t="s">
        <v>74</v>
      </c>
      <c r="P954" s="1" t="s">
        <v>74</v>
      </c>
      <c r="Q954" s="1" t="s">
        <v>74</v>
      </c>
      <c r="R954" s="1" t="s">
        <v>74</v>
      </c>
      <c r="S954" s="1" t="s">
        <v>74</v>
      </c>
      <c r="T954" s="1" t="s">
        <v>74</v>
      </c>
      <c r="U954" s="1" t="s">
        <v>74</v>
      </c>
      <c r="V954" s="1" t="s">
        <v>74</v>
      </c>
      <c r="W954" s="1" t="s">
        <v>74</v>
      </c>
      <c r="X954" s="1" t="s">
        <v>74</v>
      </c>
      <c r="Y954" s="1" t="s">
        <v>74</v>
      </c>
      <c r="Z954" s="1" t="s">
        <v>74</v>
      </c>
      <c r="AA954" s="1" t="s">
        <v>8898</v>
      </c>
      <c r="AB954" s="1" t="s">
        <v>74</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3271</v>
      </c>
      <c r="AP954" s="1" t="s">
        <v>74</v>
      </c>
      <c r="AQ954" s="1" t="s">
        <v>74</v>
      </c>
      <c r="AR954" s="1" t="s">
        <v>74</v>
      </c>
      <c r="AS954" s="1" t="s">
        <v>74</v>
      </c>
      <c r="AT954" s="1" t="s">
        <v>647</v>
      </c>
      <c r="AU954" s="1">
        <v>2001.0</v>
      </c>
      <c r="AV954" s="1">
        <v>222.0</v>
      </c>
      <c r="AW954" s="1" t="s">
        <v>74</v>
      </c>
      <c r="AX954" s="1">
        <v>1.0</v>
      </c>
      <c r="AY954" s="1" t="s">
        <v>74</v>
      </c>
      <c r="AZ954" s="1" t="s">
        <v>74</v>
      </c>
      <c r="BA954" s="1" t="s">
        <v>8899</v>
      </c>
      <c r="BB954" s="1" t="s">
        <v>8900</v>
      </c>
      <c r="BC954" s="1" t="s">
        <v>8901</v>
      </c>
      <c r="BD954" s="1" t="s">
        <v>74</v>
      </c>
      <c r="BE954" s="1" t="s">
        <v>74</v>
      </c>
      <c r="BF954" s="1" t="s">
        <v>74</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8902</v>
      </c>
      <c r="BT954" s="1" t="str">
        <f>HYPERLINK("https%3A%2F%2Fwww.webofscience.com%2Fwos%2Fwoscc%2Ffull-record%2FWOS:000170690003384","View Full Record in Web of Science")</f>
        <v>View Full Record in Web of Science</v>
      </c>
    </row>
    <row r="955" ht="12.75" customHeight="1">
      <c r="A955" s="1" t="s">
        <v>72</v>
      </c>
      <c r="B955" s="1" t="s">
        <v>8903</v>
      </c>
      <c r="C955" s="1" t="s">
        <v>74</v>
      </c>
      <c r="D955" s="1" t="s">
        <v>74</v>
      </c>
      <c r="E955" s="1" t="s">
        <v>74</v>
      </c>
      <c r="F955" s="1" t="s">
        <v>8903</v>
      </c>
      <c r="G955" s="1" t="s">
        <v>74</v>
      </c>
      <c r="H955" s="1" t="s">
        <v>74</v>
      </c>
      <c r="I955" s="1" t="s">
        <v>8904</v>
      </c>
      <c r="J955" s="1" t="s">
        <v>797</v>
      </c>
      <c r="K955" s="1" t="s">
        <v>74</v>
      </c>
      <c r="L955" s="1" t="s">
        <v>74</v>
      </c>
      <c r="M955" s="1" t="s">
        <v>74</v>
      </c>
      <c r="N955" s="1" t="s">
        <v>74</v>
      </c>
      <c r="O955" s="1" t="s">
        <v>74</v>
      </c>
      <c r="P955" s="1" t="s">
        <v>74</v>
      </c>
      <c r="Q955" s="1" t="s">
        <v>74</v>
      </c>
      <c r="R955" s="1" t="s">
        <v>74</v>
      </c>
      <c r="S955" s="1" t="s">
        <v>74</v>
      </c>
      <c r="T955" s="1" t="s">
        <v>74</v>
      </c>
      <c r="U955" s="1" t="s">
        <v>74</v>
      </c>
      <c r="V955" s="1" t="s">
        <v>74</v>
      </c>
      <c r="W955" s="1" t="s">
        <v>74</v>
      </c>
      <c r="X955" s="1" t="s">
        <v>74</v>
      </c>
      <c r="Y955" s="1" t="s">
        <v>74</v>
      </c>
      <c r="Z955" s="1" t="s">
        <v>74</v>
      </c>
      <c r="AA955" s="1" t="s">
        <v>8905</v>
      </c>
      <c r="AB955" s="1" t="s">
        <v>8906</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801</v>
      </c>
      <c r="AP955" s="1" t="s">
        <v>74</v>
      </c>
      <c r="AQ955" s="1" t="s">
        <v>74</v>
      </c>
      <c r="AR955" s="1" t="s">
        <v>74</v>
      </c>
      <c r="AS955" s="1" t="s">
        <v>74</v>
      </c>
      <c r="AT955" s="1" t="s">
        <v>74</v>
      </c>
      <c r="AU955" s="1">
        <v>2001.0</v>
      </c>
      <c r="AV955" s="1">
        <v>64.0</v>
      </c>
      <c r="AW955" s="1" t="s">
        <v>74</v>
      </c>
      <c r="AX955" s="1" t="s">
        <v>74</v>
      </c>
      <c r="AY955" s="1">
        <v>1.0</v>
      </c>
      <c r="AZ955" s="1" t="s">
        <v>74</v>
      </c>
      <c r="BA955" s="1" t="s">
        <v>74</v>
      </c>
      <c r="BB955" s="1">
        <v>317.0</v>
      </c>
      <c r="BC955" s="1">
        <v>317.0</v>
      </c>
      <c r="BD955" s="1" t="s">
        <v>74</v>
      </c>
      <c r="BE955" s="1" t="s">
        <v>74</v>
      </c>
      <c r="BF955" s="1" t="s">
        <v>74</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8907</v>
      </c>
      <c r="BT955" s="1" t="str">
        <f>HYPERLINK("https%3A%2F%2Fwww.webofscience.com%2Fwos%2Fwoscc%2Ffull-record%2FWOS:000169570900588","View Full Record in Web of Science")</f>
        <v>View Full Record in Web of Science</v>
      </c>
    </row>
    <row r="956" ht="12.75" customHeight="1">
      <c r="A956" s="1" t="s">
        <v>72</v>
      </c>
      <c r="B956" s="1" t="s">
        <v>8908</v>
      </c>
      <c r="C956" s="1" t="s">
        <v>74</v>
      </c>
      <c r="D956" s="1" t="s">
        <v>74</v>
      </c>
      <c r="E956" s="1" t="s">
        <v>74</v>
      </c>
      <c r="F956" s="1" t="s">
        <v>8908</v>
      </c>
      <c r="G956" s="1" t="s">
        <v>74</v>
      </c>
      <c r="H956" s="1" t="s">
        <v>74</v>
      </c>
      <c r="I956" s="1" t="s">
        <v>8909</v>
      </c>
      <c r="J956" s="1" t="s">
        <v>3519</v>
      </c>
      <c r="K956" s="1" t="s">
        <v>74</v>
      </c>
      <c r="L956" s="1" t="s">
        <v>74</v>
      </c>
      <c r="M956" s="1" t="s">
        <v>74</v>
      </c>
      <c r="N956" s="1" t="s">
        <v>74</v>
      </c>
      <c r="O956" s="1" t="s">
        <v>74</v>
      </c>
      <c r="P956" s="1" t="s">
        <v>74</v>
      </c>
      <c r="Q956" s="1" t="s">
        <v>74</v>
      </c>
      <c r="R956" s="1" t="s">
        <v>74</v>
      </c>
      <c r="S956" s="1" t="s">
        <v>74</v>
      </c>
      <c r="T956" s="1" t="s">
        <v>74</v>
      </c>
      <c r="U956" s="1" t="s">
        <v>74</v>
      </c>
      <c r="V956" s="1" t="s">
        <v>8910</v>
      </c>
      <c r="W956" s="1" t="s">
        <v>74</v>
      </c>
      <c r="X956" s="1" t="s">
        <v>74</v>
      </c>
      <c r="Y956" s="1" t="s">
        <v>74</v>
      </c>
      <c r="Z956" s="1" t="s">
        <v>74</v>
      </c>
      <c r="AA956" s="1" t="s">
        <v>8911</v>
      </c>
      <c r="AB956" s="1" t="s">
        <v>8912</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3523</v>
      </c>
      <c r="AP956" s="1" t="s">
        <v>3524</v>
      </c>
      <c r="AQ956" s="1" t="s">
        <v>74</v>
      </c>
      <c r="AR956" s="1" t="s">
        <v>74</v>
      </c>
      <c r="AS956" s="1" t="s">
        <v>74</v>
      </c>
      <c r="AT956" s="1" t="s">
        <v>164</v>
      </c>
      <c r="AU956" s="1">
        <v>1998.0</v>
      </c>
      <c r="AV956" s="1">
        <v>10.0</v>
      </c>
      <c r="AW956" s="1">
        <v>8.0</v>
      </c>
      <c r="AX956" s="1" t="s">
        <v>74</v>
      </c>
      <c r="AY956" s="1" t="s">
        <v>74</v>
      </c>
      <c r="AZ956" s="1" t="s">
        <v>74</v>
      </c>
      <c r="BA956" s="1" t="s">
        <v>74</v>
      </c>
      <c r="BB956" s="1">
        <v>571.0</v>
      </c>
      <c r="BC956" s="1">
        <v>575.0</v>
      </c>
      <c r="BD956" s="1" t="s">
        <v>74</v>
      </c>
      <c r="BE956" s="1" t="s">
        <v>74</v>
      </c>
      <c r="BF956" s="1" t="s">
        <v>74</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8913</v>
      </c>
      <c r="BT956" s="1" t="str">
        <f>HYPERLINK("https%3A%2F%2Fwww.webofscience.com%2Fwos%2Fwoscc%2Ffull-record%2FWOS:000075048100011","View Full Record in Web of Science")</f>
        <v>View Full Record in Web of Science</v>
      </c>
    </row>
    <row r="957" ht="12.75" customHeight="1">
      <c r="A957" s="1" t="s">
        <v>72</v>
      </c>
      <c r="B957" s="1" t="s">
        <v>8914</v>
      </c>
      <c r="C957" s="1" t="s">
        <v>74</v>
      </c>
      <c r="D957" s="1" t="s">
        <v>74</v>
      </c>
      <c r="E957" s="1" t="s">
        <v>74</v>
      </c>
      <c r="F957" s="1" t="s">
        <v>8914</v>
      </c>
      <c r="G957" s="1" t="s">
        <v>74</v>
      </c>
      <c r="H957" s="1" t="s">
        <v>74</v>
      </c>
      <c r="I957" s="1" t="s">
        <v>8915</v>
      </c>
      <c r="J957" s="1" t="s">
        <v>8916</v>
      </c>
      <c r="K957" s="1" t="s">
        <v>74</v>
      </c>
      <c r="L957" s="1" t="s">
        <v>74</v>
      </c>
      <c r="M957" s="1" t="s">
        <v>74</v>
      </c>
      <c r="N957" s="1" t="s">
        <v>74</v>
      </c>
      <c r="O957" s="1" t="s">
        <v>74</v>
      </c>
      <c r="P957" s="1" t="s">
        <v>74</v>
      </c>
      <c r="Q957" s="1" t="s">
        <v>74</v>
      </c>
      <c r="R957" s="1" t="s">
        <v>74</v>
      </c>
      <c r="S957" s="1" t="s">
        <v>74</v>
      </c>
      <c r="T957" s="1" t="s">
        <v>74</v>
      </c>
      <c r="U957" s="1" t="s">
        <v>74</v>
      </c>
      <c r="V957" s="1" t="s">
        <v>74</v>
      </c>
      <c r="W957" s="1" t="s">
        <v>74</v>
      </c>
      <c r="X957" s="1" t="s">
        <v>74</v>
      </c>
      <c r="Y957" s="1" t="s">
        <v>74</v>
      </c>
      <c r="Z957" s="1" t="s">
        <v>74</v>
      </c>
      <c r="AA957" s="1" t="s">
        <v>849</v>
      </c>
      <c r="AB957" s="1" t="s">
        <v>850</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8917</v>
      </c>
      <c r="AP957" s="1" t="s">
        <v>74</v>
      </c>
      <c r="AQ957" s="1" t="s">
        <v>74</v>
      </c>
      <c r="AR957" s="1" t="s">
        <v>74</v>
      </c>
      <c r="AS957" s="1" t="s">
        <v>74</v>
      </c>
      <c r="AT957" s="1" t="s">
        <v>74</v>
      </c>
      <c r="AU957" s="1">
        <v>1984.0</v>
      </c>
      <c r="AV957" s="1">
        <v>88.0</v>
      </c>
      <c r="AW957" s="1">
        <v>1.0</v>
      </c>
      <c r="AX957" s="1" t="s">
        <v>74</v>
      </c>
      <c r="AY957" s="1" t="s">
        <v>74</v>
      </c>
      <c r="AZ957" s="1" t="s">
        <v>74</v>
      </c>
      <c r="BA957" s="1" t="s">
        <v>74</v>
      </c>
      <c r="BB957" s="1">
        <v>81.0</v>
      </c>
      <c r="BC957" s="1">
        <v>85.0</v>
      </c>
      <c r="BD957" s="1" t="s">
        <v>74</v>
      </c>
      <c r="BE957" s="1" t="s">
        <v>8918</v>
      </c>
      <c r="BF957" s="2" t="str">
        <f>HYPERLINK("http://dx.doi.org/10.1021/j150645a020","http://dx.doi.org/10.1021/j150645a020")</f>
        <v>http://dx.doi.org/10.1021/j150645a020</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8919</v>
      </c>
      <c r="BT957" s="1" t="str">
        <f>HYPERLINK("https%3A%2F%2Fwww.webofscience.com%2Fwos%2Fwoscc%2Ffull-record%2FWOS:A1984RZ51100020","View Full Record in Web of Science")</f>
        <v>View Full Record in Web of Science</v>
      </c>
    </row>
    <row r="958" ht="12.75" customHeight="1">
      <c r="A958" s="1" t="s">
        <v>72</v>
      </c>
      <c r="B958" s="1" t="s">
        <v>8920</v>
      </c>
      <c r="C958" s="1" t="s">
        <v>74</v>
      </c>
      <c r="D958" s="1" t="s">
        <v>74</v>
      </c>
      <c r="E958" s="1" t="s">
        <v>74</v>
      </c>
      <c r="F958" s="1" t="s">
        <v>8920</v>
      </c>
      <c r="G958" s="1" t="s">
        <v>74</v>
      </c>
      <c r="H958" s="1" t="s">
        <v>74</v>
      </c>
      <c r="I958" s="1" t="s">
        <v>8921</v>
      </c>
      <c r="J958" s="1" t="s">
        <v>5883</v>
      </c>
      <c r="K958" s="1" t="s">
        <v>74</v>
      </c>
      <c r="L958" s="1" t="s">
        <v>74</v>
      </c>
      <c r="M958" s="1" t="s">
        <v>74</v>
      </c>
      <c r="N958" s="1" t="s">
        <v>74</v>
      </c>
      <c r="O958" s="1" t="s">
        <v>74</v>
      </c>
      <c r="P958" s="1" t="s">
        <v>74</v>
      </c>
      <c r="Q958" s="1" t="s">
        <v>74</v>
      </c>
      <c r="R958" s="1" t="s">
        <v>74</v>
      </c>
      <c r="S958" s="1" t="s">
        <v>74</v>
      </c>
      <c r="T958" s="1" t="s">
        <v>74</v>
      </c>
      <c r="U958" s="1" t="s">
        <v>74</v>
      </c>
      <c r="V958" s="1" t="s">
        <v>74</v>
      </c>
      <c r="W958" s="1" t="s">
        <v>74</v>
      </c>
      <c r="X958" s="1" t="s">
        <v>74</v>
      </c>
      <c r="Y958" s="1" t="s">
        <v>74</v>
      </c>
      <c r="Z958" s="1" t="s">
        <v>74</v>
      </c>
      <c r="AA958" s="1" t="s">
        <v>8922</v>
      </c>
      <c r="AB958" s="1" t="s">
        <v>8923</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5884</v>
      </c>
      <c r="AP958" s="1" t="s">
        <v>74</v>
      </c>
      <c r="AQ958" s="1" t="s">
        <v>74</v>
      </c>
      <c r="AR958" s="1" t="s">
        <v>74</v>
      </c>
      <c r="AS958" s="1" t="s">
        <v>74</v>
      </c>
      <c r="AT958" s="1" t="s">
        <v>74</v>
      </c>
      <c r="AU958" s="1">
        <v>1983.0</v>
      </c>
      <c r="AV958" s="1">
        <v>8.0</v>
      </c>
      <c r="AW958" s="1">
        <v>3.0</v>
      </c>
      <c r="AX958" s="1" t="s">
        <v>74</v>
      </c>
      <c r="AY958" s="1" t="s">
        <v>74</v>
      </c>
      <c r="AZ958" s="1" t="s">
        <v>74</v>
      </c>
      <c r="BA958" s="1" t="s">
        <v>74</v>
      </c>
      <c r="BB958" s="1">
        <v>335.0</v>
      </c>
      <c r="BC958" s="1">
        <v>348.0</v>
      </c>
      <c r="BD958" s="1" t="s">
        <v>74</v>
      </c>
      <c r="BE958" s="1" t="s">
        <v>8924</v>
      </c>
      <c r="BF958" s="2" t="str">
        <f>HYPERLINK("http://dx.doi.org/10.1016/0166-9834(83)85004-0","http://dx.doi.org/10.1016/0166-9834(83)85004-0")</f>
        <v>http://dx.doi.org/10.1016/0166-9834(83)85004-0</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8925</v>
      </c>
      <c r="BT958" s="1" t="str">
        <f>HYPERLINK("https%3A%2F%2Fwww.webofscience.com%2Fwos%2Fwoscc%2Ffull-record%2FWOS:A1983RX34600004","View Full Record in Web of Science")</f>
        <v>View Full Record in Web of Science</v>
      </c>
    </row>
    <row r="959" ht="12.75" customHeight="1">
      <c r="A959" s="1" t="s">
        <v>72</v>
      </c>
      <c r="B959" s="1" t="s">
        <v>8926</v>
      </c>
      <c r="C959" s="1" t="s">
        <v>74</v>
      </c>
      <c r="D959" s="1" t="s">
        <v>74</v>
      </c>
      <c r="E959" s="1" t="s">
        <v>74</v>
      </c>
      <c r="F959" s="1" t="s">
        <v>8927</v>
      </c>
      <c r="G959" s="1" t="s">
        <v>74</v>
      </c>
      <c r="H959" s="1" t="s">
        <v>74</v>
      </c>
      <c r="I959" s="1" t="s">
        <v>8928</v>
      </c>
      <c r="J959" s="1" t="s">
        <v>5982</v>
      </c>
      <c r="K959" s="1" t="s">
        <v>74</v>
      </c>
      <c r="L959" s="1" t="s">
        <v>74</v>
      </c>
      <c r="M959" s="1" t="s">
        <v>74</v>
      </c>
      <c r="N959" s="1" t="s">
        <v>74</v>
      </c>
      <c r="O959" s="1" t="s">
        <v>74</v>
      </c>
      <c r="P959" s="1" t="s">
        <v>74</v>
      </c>
      <c r="Q959" s="1" t="s">
        <v>74</v>
      </c>
      <c r="R959" s="1" t="s">
        <v>74</v>
      </c>
      <c r="S959" s="1" t="s">
        <v>74</v>
      </c>
      <c r="T959" s="1" t="s">
        <v>74</v>
      </c>
      <c r="U959" s="1" t="s">
        <v>74</v>
      </c>
      <c r="V959" s="1" t="s">
        <v>8929</v>
      </c>
      <c r="W959" s="1" t="s">
        <v>74</v>
      </c>
      <c r="X959" s="1" t="s">
        <v>74</v>
      </c>
      <c r="Y959" s="1" t="s">
        <v>74</v>
      </c>
      <c r="Z959" s="1" t="s">
        <v>74</v>
      </c>
      <c r="AA959" s="1" t="s">
        <v>8930</v>
      </c>
      <c r="AB959" s="1" t="s">
        <v>74</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74</v>
      </c>
      <c r="AP959" s="1" t="s">
        <v>5986</v>
      </c>
      <c r="AQ959" s="1" t="s">
        <v>74</v>
      </c>
      <c r="AR959" s="1" t="s">
        <v>74</v>
      </c>
      <c r="AS959" s="1" t="s">
        <v>74</v>
      </c>
      <c r="AT959" s="1" t="s">
        <v>3340</v>
      </c>
      <c r="AU959" s="1">
        <v>2024.0</v>
      </c>
      <c r="AV959" s="1">
        <v>15.0</v>
      </c>
      <c r="AW959" s="1" t="s">
        <v>74</v>
      </c>
      <c r="AX959" s="1" t="s">
        <v>74</v>
      </c>
      <c r="AY959" s="1" t="s">
        <v>74</v>
      </c>
      <c r="AZ959" s="1" t="s">
        <v>74</v>
      </c>
      <c r="BA959" s="1" t="s">
        <v>74</v>
      </c>
      <c r="BB959" s="1" t="s">
        <v>74</v>
      </c>
      <c r="BC959" s="1" t="s">
        <v>74</v>
      </c>
      <c r="BD959" s="1">
        <v>1467788.0</v>
      </c>
      <c r="BE959" s="1" t="s">
        <v>8931</v>
      </c>
      <c r="BF959" s="2" t="str">
        <f>HYPERLINK("http://dx.doi.org/10.3389/fphar.2024.1467788","http://dx.doi.org/10.3389/fphar.2024.1467788")</f>
        <v>http://dx.doi.org/10.3389/fphar.2024.1467788</v>
      </c>
      <c r="BG959" s="1" t="s">
        <v>74</v>
      </c>
      <c r="BH959" s="1" t="s">
        <v>74</v>
      </c>
      <c r="BI959" s="1" t="s">
        <v>74</v>
      </c>
      <c r="BJ959" s="1" t="s">
        <v>74</v>
      </c>
      <c r="BK959" s="1" t="s">
        <v>74</v>
      </c>
      <c r="BL959" s="1" t="s">
        <v>74</v>
      </c>
      <c r="BM959" s="1" t="s">
        <v>74</v>
      </c>
      <c r="BN959" s="1">
        <v>3.9654618E7</v>
      </c>
      <c r="BO959" s="1" t="s">
        <v>74</v>
      </c>
      <c r="BP959" s="1" t="s">
        <v>74</v>
      </c>
      <c r="BQ959" s="1" t="s">
        <v>74</v>
      </c>
      <c r="BR959" s="1" t="s">
        <v>74</v>
      </c>
      <c r="BS959" s="1" t="s">
        <v>8932</v>
      </c>
      <c r="BT959" s="1" t="str">
        <f>HYPERLINK("https%3A%2F%2Fwww.webofscience.com%2Fwos%2Fwoscc%2Ffull-record%2FWOS:001372194000001","View Full Record in Web of Science")</f>
        <v>View Full Record in Web of Science</v>
      </c>
    </row>
    <row r="960" ht="12.75" customHeight="1">
      <c r="A960" s="1" t="s">
        <v>72</v>
      </c>
      <c r="B960" s="1" t="s">
        <v>8933</v>
      </c>
      <c r="C960" s="1" t="s">
        <v>74</v>
      </c>
      <c r="D960" s="1" t="s">
        <v>74</v>
      </c>
      <c r="E960" s="1" t="s">
        <v>74</v>
      </c>
      <c r="F960" s="1" t="s">
        <v>8934</v>
      </c>
      <c r="G960" s="1" t="s">
        <v>74</v>
      </c>
      <c r="H960" s="1" t="s">
        <v>74</v>
      </c>
      <c r="I960" s="1" t="s">
        <v>8935</v>
      </c>
      <c r="J960" s="1" t="s">
        <v>7585</v>
      </c>
      <c r="K960" s="1" t="s">
        <v>74</v>
      </c>
      <c r="L960" s="1" t="s">
        <v>74</v>
      </c>
      <c r="M960" s="1" t="s">
        <v>74</v>
      </c>
      <c r="N960" s="1" t="s">
        <v>74</v>
      </c>
      <c r="O960" s="1" t="s">
        <v>8936</v>
      </c>
      <c r="P960" s="1" t="s">
        <v>8937</v>
      </c>
      <c r="Q960" s="1" t="s">
        <v>8938</v>
      </c>
      <c r="R960" s="1" t="s">
        <v>8939</v>
      </c>
      <c r="S960" s="1" t="s">
        <v>74</v>
      </c>
      <c r="T960" s="1" t="s">
        <v>74</v>
      </c>
      <c r="U960" s="1" t="s">
        <v>74</v>
      </c>
      <c r="V960" s="1" t="s">
        <v>74</v>
      </c>
      <c r="W960" s="1" t="s">
        <v>74</v>
      </c>
      <c r="X960" s="1" t="s">
        <v>74</v>
      </c>
      <c r="Y960" s="1" t="s">
        <v>74</v>
      </c>
      <c r="Z960" s="1" t="s">
        <v>74</v>
      </c>
      <c r="AA960" s="1" t="s">
        <v>8940</v>
      </c>
      <c r="AB960" s="1" t="s">
        <v>74</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7586</v>
      </c>
      <c r="AP960" s="1" t="s">
        <v>8941</v>
      </c>
      <c r="AQ960" s="1" t="s">
        <v>74</v>
      </c>
      <c r="AR960" s="1" t="s">
        <v>74</v>
      </c>
      <c r="AS960" s="1" t="s">
        <v>74</v>
      </c>
      <c r="AT960" s="1" t="s">
        <v>8062</v>
      </c>
      <c r="AU960" s="1">
        <v>2024.0</v>
      </c>
      <c r="AV960" s="1">
        <v>123.0</v>
      </c>
      <c r="AW960" s="1">
        <v>3.0</v>
      </c>
      <c r="AX960" s="1" t="s">
        <v>74</v>
      </c>
      <c r="AY960" s="1">
        <v>1.0</v>
      </c>
      <c r="AZ960" s="1" t="s">
        <v>74</v>
      </c>
      <c r="BA960" s="1" t="s">
        <v>8942</v>
      </c>
      <c r="BB960" s="1" t="s">
        <v>8943</v>
      </c>
      <c r="BC960" s="1" t="s">
        <v>8943</v>
      </c>
      <c r="BD960" s="1" t="s">
        <v>74</v>
      </c>
      <c r="BE960" s="1" t="s">
        <v>74</v>
      </c>
      <c r="BF960" s="1" t="s">
        <v>74</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8944</v>
      </c>
      <c r="BT960" s="1" t="str">
        <f>HYPERLINK("https%3A%2F%2Fwww.webofscience.com%2Fwos%2Fwoscc%2Ffull-record%2FWOS:001194120701527","View Full Record in Web of Science")</f>
        <v>View Full Record in Web of Science</v>
      </c>
    </row>
    <row r="961" ht="12.75" customHeight="1">
      <c r="A961" s="1" t="s">
        <v>72</v>
      </c>
      <c r="B961" s="1" t="s">
        <v>8945</v>
      </c>
      <c r="C961" s="1" t="s">
        <v>74</v>
      </c>
      <c r="D961" s="1" t="s">
        <v>74</v>
      </c>
      <c r="E961" s="1" t="s">
        <v>74</v>
      </c>
      <c r="F961" s="1" t="s">
        <v>8946</v>
      </c>
      <c r="G961" s="1" t="s">
        <v>74</v>
      </c>
      <c r="H961" s="1" t="s">
        <v>74</v>
      </c>
      <c r="I961" s="1" t="s">
        <v>8947</v>
      </c>
      <c r="J961" s="1" t="s">
        <v>8948</v>
      </c>
      <c r="K961" s="1" t="s">
        <v>74</v>
      </c>
      <c r="L961" s="1" t="s">
        <v>74</v>
      </c>
      <c r="M961" s="1" t="s">
        <v>74</v>
      </c>
      <c r="N961" s="1" t="s">
        <v>74</v>
      </c>
      <c r="O961" s="1" t="s">
        <v>74</v>
      </c>
      <c r="P961" s="1" t="s">
        <v>74</v>
      </c>
      <c r="Q961" s="1" t="s">
        <v>74</v>
      </c>
      <c r="R961" s="1" t="s">
        <v>74</v>
      </c>
      <c r="S961" s="1" t="s">
        <v>74</v>
      </c>
      <c r="T961" s="1" t="s">
        <v>74</v>
      </c>
      <c r="U961" s="1" t="s">
        <v>74</v>
      </c>
      <c r="V961" s="1" t="s">
        <v>8949</v>
      </c>
      <c r="W961" s="1" t="s">
        <v>74</v>
      </c>
      <c r="X961" s="1" t="s">
        <v>74</v>
      </c>
      <c r="Y961" s="1" t="s">
        <v>74</v>
      </c>
      <c r="Z961" s="1" t="s">
        <v>74</v>
      </c>
      <c r="AA961" s="1" t="s">
        <v>7316</v>
      </c>
      <c r="AB961" s="1" t="s">
        <v>8950</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8951</v>
      </c>
      <c r="AP961" s="1" t="s">
        <v>8952</v>
      </c>
      <c r="AQ961" s="1" t="s">
        <v>74</v>
      </c>
      <c r="AR961" s="1" t="s">
        <v>74</v>
      </c>
      <c r="AS961" s="1" t="s">
        <v>74</v>
      </c>
      <c r="AT961" s="1" t="s">
        <v>496</v>
      </c>
      <c r="AU961" s="1">
        <v>2024.0</v>
      </c>
      <c r="AV961" s="1">
        <v>67.0</v>
      </c>
      <c r="AW961" s="1" t="s">
        <v>74</v>
      </c>
      <c r="AX961" s="1" t="s">
        <v>726</v>
      </c>
      <c r="AY961" s="1" t="s">
        <v>74</v>
      </c>
      <c r="AZ961" s="1" t="s">
        <v>74</v>
      </c>
      <c r="BA961" s="1" t="s">
        <v>74</v>
      </c>
      <c r="BB961" s="1" t="s">
        <v>74</v>
      </c>
      <c r="BC961" s="1" t="s">
        <v>74</v>
      </c>
      <c r="BD961" s="1">
        <v>102136.0</v>
      </c>
      <c r="BE961" s="1" t="s">
        <v>8953</v>
      </c>
      <c r="BF961" s="2" t="str">
        <f>HYPERLINK("http://dx.doi.org/10.1016/j.ribaf.2023.102136","http://dx.doi.org/10.1016/j.ribaf.2023.102136")</f>
        <v>http://dx.doi.org/10.1016/j.ribaf.2023.102136</v>
      </c>
      <c r="BG961" s="1" t="s">
        <v>74</v>
      </c>
      <c r="BH961" s="1" t="s">
        <v>8111</v>
      </c>
      <c r="BI961" s="1" t="s">
        <v>74</v>
      </c>
      <c r="BJ961" s="1" t="s">
        <v>74</v>
      </c>
      <c r="BK961" s="1" t="s">
        <v>74</v>
      </c>
      <c r="BL961" s="1" t="s">
        <v>74</v>
      </c>
      <c r="BM961" s="1" t="s">
        <v>74</v>
      </c>
      <c r="BN961" s="1" t="s">
        <v>74</v>
      </c>
      <c r="BO961" s="1" t="s">
        <v>74</v>
      </c>
      <c r="BP961" s="1" t="s">
        <v>74</v>
      </c>
      <c r="BQ961" s="1" t="s">
        <v>74</v>
      </c>
      <c r="BR961" s="1" t="s">
        <v>74</v>
      </c>
      <c r="BS961" s="1" t="s">
        <v>8954</v>
      </c>
      <c r="BT961" s="1" t="str">
        <f>HYPERLINK("https%3A%2F%2Fwww.webofscience.com%2Fwos%2Fwoscc%2Ffull-record%2FWOS:001102526200001","View Full Record in Web of Science")</f>
        <v>View Full Record in Web of Science</v>
      </c>
    </row>
    <row r="962" ht="12.75" customHeight="1">
      <c r="A962" s="1" t="s">
        <v>72</v>
      </c>
      <c r="B962" s="1" t="s">
        <v>8955</v>
      </c>
      <c r="C962" s="1" t="s">
        <v>74</v>
      </c>
      <c r="D962" s="1" t="s">
        <v>74</v>
      </c>
      <c r="E962" s="1" t="s">
        <v>74</v>
      </c>
      <c r="F962" s="1" t="s">
        <v>8956</v>
      </c>
      <c r="G962" s="1" t="s">
        <v>74</v>
      </c>
      <c r="H962" s="1" t="s">
        <v>74</v>
      </c>
      <c r="I962" s="1" t="s">
        <v>8957</v>
      </c>
      <c r="J962" s="1" t="s">
        <v>5703</v>
      </c>
      <c r="K962" s="1" t="s">
        <v>74</v>
      </c>
      <c r="L962" s="1" t="s">
        <v>74</v>
      </c>
      <c r="M962" s="1" t="s">
        <v>74</v>
      </c>
      <c r="N962" s="1" t="s">
        <v>74</v>
      </c>
      <c r="O962" s="1" t="s">
        <v>74</v>
      </c>
      <c r="P962" s="1" t="s">
        <v>74</v>
      </c>
      <c r="Q962" s="1" t="s">
        <v>74</v>
      </c>
      <c r="R962" s="1" t="s">
        <v>74</v>
      </c>
      <c r="S962" s="1" t="s">
        <v>74</v>
      </c>
      <c r="T962" s="1" t="s">
        <v>74</v>
      </c>
      <c r="U962" s="1" t="s">
        <v>74</v>
      </c>
      <c r="V962" s="1" t="s">
        <v>8958</v>
      </c>
      <c r="W962" s="1" t="s">
        <v>74</v>
      </c>
      <c r="X962" s="1" t="s">
        <v>74</v>
      </c>
      <c r="Y962" s="1" t="s">
        <v>74</v>
      </c>
      <c r="Z962" s="1" t="s">
        <v>74</v>
      </c>
      <c r="AA962" s="1" t="s">
        <v>8959</v>
      </c>
      <c r="AB962" s="1" t="s">
        <v>8960</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74</v>
      </c>
      <c r="AP962" s="1" t="s">
        <v>5707</v>
      </c>
      <c r="AQ962" s="1" t="s">
        <v>74</v>
      </c>
      <c r="AR962" s="1" t="s">
        <v>74</v>
      </c>
      <c r="AS962" s="1" t="s">
        <v>74</v>
      </c>
      <c r="AT962" s="1" t="s">
        <v>461</v>
      </c>
      <c r="AU962" s="1">
        <v>2023.0</v>
      </c>
      <c r="AV962" s="1">
        <v>23.0</v>
      </c>
      <c r="AW962" s="1">
        <v>17.0</v>
      </c>
      <c r="AX962" s="1" t="s">
        <v>74</v>
      </c>
      <c r="AY962" s="1" t="s">
        <v>74</v>
      </c>
      <c r="AZ962" s="1" t="s">
        <v>74</v>
      </c>
      <c r="BA962" s="1" t="s">
        <v>74</v>
      </c>
      <c r="BB962" s="1" t="s">
        <v>74</v>
      </c>
      <c r="BC962" s="1" t="s">
        <v>74</v>
      </c>
      <c r="BD962" s="1">
        <v>7623.0</v>
      </c>
      <c r="BE962" s="1" t="s">
        <v>8961</v>
      </c>
      <c r="BF962" s="2" t="str">
        <f>HYPERLINK("http://dx.doi.org/10.3390/s23177623","http://dx.doi.org/10.3390/s23177623")</f>
        <v>http://dx.doi.org/10.3390/s23177623</v>
      </c>
      <c r="BG962" s="1" t="s">
        <v>74</v>
      </c>
      <c r="BH962" s="1" t="s">
        <v>74</v>
      </c>
      <c r="BI962" s="1" t="s">
        <v>74</v>
      </c>
      <c r="BJ962" s="1" t="s">
        <v>74</v>
      </c>
      <c r="BK962" s="1" t="s">
        <v>74</v>
      </c>
      <c r="BL962" s="1" t="s">
        <v>74</v>
      </c>
      <c r="BM962" s="1" t="s">
        <v>74</v>
      </c>
      <c r="BN962" s="1">
        <v>3.7688078E7</v>
      </c>
      <c r="BO962" s="1" t="s">
        <v>74</v>
      </c>
      <c r="BP962" s="1" t="s">
        <v>74</v>
      </c>
      <c r="BQ962" s="1" t="s">
        <v>74</v>
      </c>
      <c r="BR962" s="1" t="s">
        <v>74</v>
      </c>
      <c r="BS962" s="1" t="s">
        <v>8962</v>
      </c>
      <c r="BT962" s="1" t="str">
        <f>HYPERLINK("https%3A%2F%2Fwww.webofscience.com%2Fwos%2Fwoscc%2Ffull-record%2FWOS:001144816000001","View Full Record in Web of Science")</f>
        <v>View Full Record in Web of Science</v>
      </c>
    </row>
    <row r="963" ht="12.75" customHeight="1">
      <c r="A963" s="1" t="s">
        <v>72</v>
      </c>
      <c r="B963" s="1" t="s">
        <v>8963</v>
      </c>
      <c r="C963" s="1" t="s">
        <v>74</v>
      </c>
      <c r="D963" s="1" t="s">
        <v>74</v>
      </c>
      <c r="E963" s="1" t="s">
        <v>74</v>
      </c>
      <c r="F963" s="1" t="s">
        <v>8964</v>
      </c>
      <c r="G963" s="1" t="s">
        <v>74</v>
      </c>
      <c r="H963" s="1" t="s">
        <v>74</v>
      </c>
      <c r="I963" s="1" t="s">
        <v>8965</v>
      </c>
      <c r="J963" s="1" t="s">
        <v>8966</v>
      </c>
      <c r="K963" s="1" t="s">
        <v>74</v>
      </c>
      <c r="L963" s="1" t="s">
        <v>74</v>
      </c>
      <c r="M963" s="1" t="s">
        <v>74</v>
      </c>
      <c r="N963" s="1" t="s">
        <v>74</v>
      </c>
      <c r="O963" s="1" t="s">
        <v>74</v>
      </c>
      <c r="P963" s="1" t="s">
        <v>74</v>
      </c>
      <c r="Q963" s="1" t="s">
        <v>74</v>
      </c>
      <c r="R963" s="1" t="s">
        <v>74</v>
      </c>
      <c r="S963" s="1" t="s">
        <v>74</v>
      </c>
      <c r="T963" s="1" t="s">
        <v>74</v>
      </c>
      <c r="U963" s="1" t="s">
        <v>74</v>
      </c>
      <c r="V963" s="1" t="s">
        <v>8967</v>
      </c>
      <c r="W963" s="1" t="s">
        <v>74</v>
      </c>
      <c r="X963" s="1" t="s">
        <v>74</v>
      </c>
      <c r="Y963" s="1" t="s">
        <v>74</v>
      </c>
      <c r="Z963" s="1" t="s">
        <v>74</v>
      </c>
      <c r="AA963" s="1" t="s">
        <v>74</v>
      </c>
      <c r="AB963" s="1" t="s">
        <v>8968</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8969</v>
      </c>
      <c r="AP963" s="1" t="s">
        <v>8970</v>
      </c>
      <c r="AQ963" s="1" t="s">
        <v>74</v>
      </c>
      <c r="AR963" s="1" t="s">
        <v>74</v>
      </c>
      <c r="AS963" s="1" t="s">
        <v>74</v>
      </c>
      <c r="AT963" s="1" t="s">
        <v>1474</v>
      </c>
      <c r="AU963" s="1">
        <v>2023.0</v>
      </c>
      <c r="AV963" s="1">
        <v>94.0</v>
      </c>
      <c r="AW963" s="1">
        <v>4.0</v>
      </c>
      <c r="AX963" s="1" t="s">
        <v>74</v>
      </c>
      <c r="AY963" s="1" t="s">
        <v>74</v>
      </c>
      <c r="AZ963" s="1" t="s">
        <v>74</v>
      </c>
      <c r="BA963" s="1" t="s">
        <v>74</v>
      </c>
      <c r="BB963" s="1">
        <v>520.0</v>
      </c>
      <c r="BC963" s="1">
        <v>528.0</v>
      </c>
      <c r="BD963" s="1" t="s">
        <v>74</v>
      </c>
      <c r="BE963" s="1" t="s">
        <v>8971</v>
      </c>
      <c r="BF963" s="2" t="str">
        <f>HYPERLINK("http://dx.doi.org/10.32641/andespediatr.v94i4.4039","http://dx.doi.org/10.32641/andespediatr.v94i4.4039")</f>
        <v>http://dx.doi.org/10.32641/andespediatr.v94i4.4039</v>
      </c>
      <c r="BG963" s="1" t="s">
        <v>74</v>
      </c>
      <c r="BH963" s="1" t="s">
        <v>74</v>
      </c>
      <c r="BI963" s="1" t="s">
        <v>74</v>
      </c>
      <c r="BJ963" s="1" t="s">
        <v>74</v>
      </c>
      <c r="BK963" s="1" t="s">
        <v>74</v>
      </c>
      <c r="BL963" s="1" t="s">
        <v>74</v>
      </c>
      <c r="BM963" s="1" t="s">
        <v>74</v>
      </c>
      <c r="BN963" s="1">
        <v>3.9808562E7</v>
      </c>
      <c r="BO963" s="1" t="s">
        <v>74</v>
      </c>
      <c r="BP963" s="1" t="s">
        <v>74</v>
      </c>
      <c r="BQ963" s="1" t="s">
        <v>74</v>
      </c>
      <c r="BR963" s="1" t="s">
        <v>74</v>
      </c>
      <c r="BS963" s="1" t="s">
        <v>8972</v>
      </c>
      <c r="BT963" s="1" t="str">
        <f>HYPERLINK("https%3A%2F%2Fwww.webofscience.com%2Fwos%2Fwoscc%2Ffull-record%2FWOS:001053878700013","View Full Record in Web of Science")</f>
        <v>View Full Record in Web of Science</v>
      </c>
    </row>
    <row r="964" ht="12.75" customHeight="1">
      <c r="A964" s="1" t="s">
        <v>72</v>
      </c>
      <c r="B964" s="1" t="s">
        <v>8973</v>
      </c>
      <c r="C964" s="1" t="s">
        <v>74</v>
      </c>
      <c r="D964" s="1" t="s">
        <v>74</v>
      </c>
      <c r="E964" s="1" t="s">
        <v>74</v>
      </c>
      <c r="F964" s="1" t="s">
        <v>8974</v>
      </c>
      <c r="G964" s="1" t="s">
        <v>74</v>
      </c>
      <c r="H964" s="1" t="s">
        <v>74</v>
      </c>
      <c r="I964" s="1" t="s">
        <v>8975</v>
      </c>
      <c r="J964" s="1" t="s">
        <v>8976</v>
      </c>
      <c r="K964" s="1" t="s">
        <v>74</v>
      </c>
      <c r="L964" s="1" t="s">
        <v>74</v>
      </c>
      <c r="M964" s="1" t="s">
        <v>74</v>
      </c>
      <c r="N964" s="1" t="s">
        <v>74</v>
      </c>
      <c r="O964" s="1" t="s">
        <v>74</v>
      </c>
      <c r="P964" s="1" t="s">
        <v>74</v>
      </c>
      <c r="Q964" s="1" t="s">
        <v>74</v>
      </c>
      <c r="R964" s="1" t="s">
        <v>74</v>
      </c>
      <c r="S964" s="1" t="s">
        <v>74</v>
      </c>
      <c r="T964" s="1" t="s">
        <v>74</v>
      </c>
      <c r="U964" s="1" t="s">
        <v>74</v>
      </c>
      <c r="V964" s="1" t="s">
        <v>8977</v>
      </c>
      <c r="W964" s="1" t="s">
        <v>74</v>
      </c>
      <c r="X964" s="1" t="s">
        <v>74</v>
      </c>
      <c r="Y964" s="1" t="s">
        <v>74</v>
      </c>
      <c r="Z964" s="1" t="s">
        <v>74</v>
      </c>
      <c r="AA964" s="1" t="s">
        <v>8978</v>
      </c>
      <c r="AB964" s="1" t="s">
        <v>8979</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74</v>
      </c>
      <c r="AP964" s="1" t="s">
        <v>8980</v>
      </c>
      <c r="AQ964" s="1" t="s">
        <v>74</v>
      </c>
      <c r="AR964" s="1" t="s">
        <v>74</v>
      </c>
      <c r="AS964" s="1" t="s">
        <v>74</v>
      </c>
      <c r="AT964" s="1" t="s">
        <v>83</v>
      </c>
      <c r="AU964" s="1">
        <v>2023.0</v>
      </c>
      <c r="AV964" s="1">
        <v>13.0</v>
      </c>
      <c r="AW964" s="1">
        <v>3.0</v>
      </c>
      <c r="AX964" s="1" t="s">
        <v>74</v>
      </c>
      <c r="AY964" s="1" t="s">
        <v>74</v>
      </c>
      <c r="AZ964" s="1" t="s">
        <v>74</v>
      </c>
      <c r="BA964" s="1" t="s">
        <v>74</v>
      </c>
      <c r="BB964" s="1" t="s">
        <v>74</v>
      </c>
      <c r="BC964" s="1" t="s">
        <v>74</v>
      </c>
      <c r="BD964" s="1">
        <v>221.0</v>
      </c>
      <c r="BE964" s="1" t="s">
        <v>8981</v>
      </c>
      <c r="BF964" s="2" t="str">
        <f>HYPERLINK("http://dx.doi.org/10.3390/bs13030221","http://dx.doi.org/10.3390/bs13030221")</f>
        <v>http://dx.doi.org/10.3390/bs13030221</v>
      </c>
      <c r="BG964" s="1" t="s">
        <v>74</v>
      </c>
      <c r="BH964" s="1" t="s">
        <v>74</v>
      </c>
      <c r="BI964" s="1" t="s">
        <v>74</v>
      </c>
      <c r="BJ964" s="1" t="s">
        <v>74</v>
      </c>
      <c r="BK964" s="1" t="s">
        <v>74</v>
      </c>
      <c r="BL964" s="1" t="s">
        <v>74</v>
      </c>
      <c r="BM964" s="1" t="s">
        <v>74</v>
      </c>
      <c r="BN964" s="1">
        <v>3.6975246E7</v>
      </c>
      <c r="BO964" s="1" t="s">
        <v>74</v>
      </c>
      <c r="BP964" s="1" t="s">
        <v>74</v>
      </c>
      <c r="BQ964" s="1" t="s">
        <v>74</v>
      </c>
      <c r="BR964" s="1" t="s">
        <v>74</v>
      </c>
      <c r="BS964" s="1" t="s">
        <v>8982</v>
      </c>
      <c r="BT964" s="1" t="str">
        <f>HYPERLINK("https%3A%2F%2Fwww.webofscience.com%2Fwos%2Fwoscc%2Ffull-record%2FWOS:000954198100001","View Full Record in Web of Science")</f>
        <v>View Full Record in Web of Science</v>
      </c>
    </row>
    <row r="965" ht="12.75" customHeight="1">
      <c r="A965" s="1" t="s">
        <v>72</v>
      </c>
      <c r="B965" s="1" t="s">
        <v>8983</v>
      </c>
      <c r="C965" s="1" t="s">
        <v>74</v>
      </c>
      <c r="D965" s="1" t="s">
        <v>74</v>
      </c>
      <c r="E965" s="1" t="s">
        <v>74</v>
      </c>
      <c r="F965" s="1" t="s">
        <v>8984</v>
      </c>
      <c r="G965" s="1" t="s">
        <v>74</v>
      </c>
      <c r="H965" s="1" t="s">
        <v>74</v>
      </c>
      <c r="I965" s="1" t="s">
        <v>8985</v>
      </c>
      <c r="J965" s="1" t="s">
        <v>2386</v>
      </c>
      <c r="K965" s="1" t="s">
        <v>74</v>
      </c>
      <c r="L965" s="1" t="s">
        <v>74</v>
      </c>
      <c r="M965" s="1" t="s">
        <v>74</v>
      </c>
      <c r="N965" s="1" t="s">
        <v>74</v>
      </c>
      <c r="O965" s="1" t="s">
        <v>74</v>
      </c>
      <c r="P965" s="1" t="s">
        <v>74</v>
      </c>
      <c r="Q965" s="1" t="s">
        <v>74</v>
      </c>
      <c r="R965" s="1" t="s">
        <v>74</v>
      </c>
      <c r="S965" s="1" t="s">
        <v>74</v>
      </c>
      <c r="T965" s="1" t="s">
        <v>74</v>
      </c>
      <c r="U965" s="1" t="s">
        <v>74</v>
      </c>
      <c r="V965" s="1" t="s">
        <v>8986</v>
      </c>
      <c r="W965" s="1" t="s">
        <v>74</v>
      </c>
      <c r="X965" s="1" t="s">
        <v>74</v>
      </c>
      <c r="Y965" s="1" t="s">
        <v>74</v>
      </c>
      <c r="Z965" s="1" t="s">
        <v>74</v>
      </c>
      <c r="AA965" s="1" t="s">
        <v>8987</v>
      </c>
      <c r="AB965" s="1" t="s">
        <v>8988</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74</v>
      </c>
      <c r="AP965" s="1" t="s">
        <v>2389</v>
      </c>
      <c r="AQ965" s="1" t="s">
        <v>74</v>
      </c>
      <c r="AR965" s="1" t="s">
        <v>74</v>
      </c>
      <c r="AS965" s="1" t="s">
        <v>74</v>
      </c>
      <c r="AT965" s="1" t="s">
        <v>232</v>
      </c>
      <c r="AU965" s="1">
        <v>2022.0</v>
      </c>
      <c r="AV965" s="1">
        <v>19.0</v>
      </c>
      <c r="AW965" s="1">
        <v>19.0</v>
      </c>
      <c r="AX965" s="1" t="s">
        <v>74</v>
      </c>
      <c r="AY965" s="1" t="s">
        <v>74</v>
      </c>
      <c r="AZ965" s="1" t="s">
        <v>74</v>
      </c>
      <c r="BA965" s="1" t="s">
        <v>74</v>
      </c>
      <c r="BB965" s="1" t="s">
        <v>74</v>
      </c>
      <c r="BC965" s="1" t="s">
        <v>74</v>
      </c>
      <c r="BD965" s="1">
        <v>12439.0</v>
      </c>
      <c r="BE965" s="1" t="s">
        <v>8989</v>
      </c>
      <c r="BF965" s="2" t="str">
        <f>HYPERLINK("http://dx.doi.org/10.3390/ijerph191912439","http://dx.doi.org/10.3390/ijerph191912439")</f>
        <v>http://dx.doi.org/10.3390/ijerph191912439</v>
      </c>
      <c r="BG965" s="1" t="s">
        <v>74</v>
      </c>
      <c r="BH965" s="1" t="s">
        <v>74</v>
      </c>
      <c r="BI965" s="1" t="s">
        <v>74</v>
      </c>
      <c r="BJ965" s="1" t="s">
        <v>74</v>
      </c>
      <c r="BK965" s="1" t="s">
        <v>74</v>
      </c>
      <c r="BL965" s="1" t="s">
        <v>74</v>
      </c>
      <c r="BM965" s="1" t="s">
        <v>74</v>
      </c>
      <c r="BN965" s="1">
        <v>3.623174E7</v>
      </c>
      <c r="BO965" s="1" t="s">
        <v>74</v>
      </c>
      <c r="BP965" s="1" t="s">
        <v>74</v>
      </c>
      <c r="BQ965" s="1" t="s">
        <v>74</v>
      </c>
      <c r="BR965" s="1" t="s">
        <v>74</v>
      </c>
      <c r="BS965" s="1" t="s">
        <v>8990</v>
      </c>
      <c r="BT965" s="1" t="str">
        <f>HYPERLINK("https%3A%2F%2Fwww.webofscience.com%2Fwos%2Fwoscc%2Ffull-record%2FWOS:000866830400001","View Full Record in Web of Science")</f>
        <v>View Full Record in Web of Science</v>
      </c>
    </row>
    <row r="966" ht="12.75" customHeight="1">
      <c r="A966" s="1" t="s">
        <v>346</v>
      </c>
      <c r="B966" s="1" t="s">
        <v>8991</v>
      </c>
      <c r="C966" s="1" t="s">
        <v>74</v>
      </c>
      <c r="D966" s="1" t="s">
        <v>74</v>
      </c>
      <c r="E966" s="1" t="s">
        <v>348</v>
      </c>
      <c r="F966" s="1" t="s">
        <v>8992</v>
      </c>
      <c r="G966" s="1" t="s">
        <v>74</v>
      </c>
      <c r="H966" s="1" t="s">
        <v>74</v>
      </c>
      <c r="I966" s="1" t="s">
        <v>8993</v>
      </c>
      <c r="J966" s="1" t="s">
        <v>8994</v>
      </c>
      <c r="K966" s="1" t="s">
        <v>74</v>
      </c>
      <c r="L966" s="1" t="s">
        <v>74</v>
      </c>
      <c r="M966" s="1" t="s">
        <v>74</v>
      </c>
      <c r="N966" s="1" t="s">
        <v>74</v>
      </c>
      <c r="O966" s="1" t="s">
        <v>8995</v>
      </c>
      <c r="P966" s="1" t="s">
        <v>8996</v>
      </c>
      <c r="Q966" s="1" t="s">
        <v>566</v>
      </c>
      <c r="R966" s="1" t="s">
        <v>8997</v>
      </c>
      <c r="S966" s="1" t="s">
        <v>74</v>
      </c>
      <c r="T966" s="1" t="s">
        <v>74</v>
      </c>
      <c r="U966" s="1" t="s">
        <v>74</v>
      </c>
      <c r="V966" s="1" t="s">
        <v>8998</v>
      </c>
      <c r="W966" s="1" t="s">
        <v>74</v>
      </c>
      <c r="X966" s="1" t="s">
        <v>74</v>
      </c>
      <c r="Y966" s="1" t="s">
        <v>74</v>
      </c>
      <c r="Z966" s="1" t="s">
        <v>74</v>
      </c>
      <c r="AA966" s="1" t="s">
        <v>8495</v>
      </c>
      <c r="AB966" s="1" t="s">
        <v>74</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74</v>
      </c>
      <c r="AP966" s="1" t="s">
        <v>74</v>
      </c>
      <c r="AQ966" s="1" t="s">
        <v>8999</v>
      </c>
      <c r="AR966" s="1" t="s">
        <v>74</v>
      </c>
      <c r="AS966" s="1" t="s">
        <v>74</v>
      </c>
      <c r="AT966" s="1" t="s">
        <v>74</v>
      </c>
      <c r="AU966" s="1">
        <v>2021.0</v>
      </c>
      <c r="AV966" s="1" t="s">
        <v>74</v>
      </c>
      <c r="AW966" s="1" t="s">
        <v>74</v>
      </c>
      <c r="AX966" s="1" t="s">
        <v>74</v>
      </c>
      <c r="AY966" s="1" t="s">
        <v>74</v>
      </c>
      <c r="AZ966" s="1" t="s">
        <v>74</v>
      </c>
      <c r="BA966" s="1" t="s">
        <v>74</v>
      </c>
      <c r="BB966" s="1" t="s">
        <v>74</v>
      </c>
      <c r="BC966" s="1" t="s">
        <v>74</v>
      </c>
      <c r="BD966" s="1" t="s">
        <v>74</v>
      </c>
      <c r="BE966" s="1" t="s">
        <v>9000</v>
      </c>
      <c r="BF966" s="2" t="str">
        <f>HYPERLINK("http://dx.doi.org/10.1109/LAUS53676.2021.9639198","http://dx.doi.org/10.1109/LAUS53676.2021.9639198")</f>
        <v>http://dx.doi.org/10.1109/LAUS53676.2021.9639198</v>
      </c>
      <c r="BG966" s="1" t="s">
        <v>74</v>
      </c>
      <c r="BH966" s="1" t="s">
        <v>74</v>
      </c>
      <c r="BI966" s="1" t="s">
        <v>74</v>
      </c>
      <c r="BJ966" s="1" t="s">
        <v>74</v>
      </c>
      <c r="BK966" s="1" t="s">
        <v>74</v>
      </c>
      <c r="BL966" s="1" t="s">
        <v>74</v>
      </c>
      <c r="BM966" s="1" t="s">
        <v>74</v>
      </c>
      <c r="BN966" s="1" t="s">
        <v>74</v>
      </c>
      <c r="BO966" s="1" t="s">
        <v>74</v>
      </c>
      <c r="BP966" s="1" t="s">
        <v>74</v>
      </c>
      <c r="BQ966" s="1" t="s">
        <v>74</v>
      </c>
      <c r="BR966" s="1" t="s">
        <v>74</v>
      </c>
      <c r="BS966" s="1" t="s">
        <v>9001</v>
      </c>
      <c r="BT966" s="1" t="str">
        <f>HYPERLINK("https%3A%2F%2Fwww.webofscience.com%2Fwos%2Fwoscc%2Ffull-record%2FWOS:000766833900041","View Full Record in Web of Science")</f>
        <v>View Full Record in Web of Science</v>
      </c>
    </row>
    <row r="967" ht="12.75" customHeight="1">
      <c r="A967" s="1" t="s">
        <v>72</v>
      </c>
      <c r="B967" s="1" t="s">
        <v>9002</v>
      </c>
      <c r="C967" s="1" t="s">
        <v>74</v>
      </c>
      <c r="D967" s="1" t="s">
        <v>74</v>
      </c>
      <c r="E967" s="1" t="s">
        <v>74</v>
      </c>
      <c r="F967" s="1" t="s">
        <v>9003</v>
      </c>
      <c r="G967" s="1" t="s">
        <v>74</v>
      </c>
      <c r="H967" s="1" t="s">
        <v>74</v>
      </c>
      <c r="I967" s="1" t="s">
        <v>9004</v>
      </c>
      <c r="J967" s="1" t="s">
        <v>9005</v>
      </c>
      <c r="K967" s="1" t="s">
        <v>74</v>
      </c>
      <c r="L967" s="1" t="s">
        <v>74</v>
      </c>
      <c r="M967" s="1" t="s">
        <v>74</v>
      </c>
      <c r="N967" s="1" t="s">
        <v>74</v>
      </c>
      <c r="O967" s="1" t="s">
        <v>74</v>
      </c>
      <c r="P967" s="1" t="s">
        <v>74</v>
      </c>
      <c r="Q967" s="1" t="s">
        <v>74</v>
      </c>
      <c r="R967" s="1" t="s">
        <v>74</v>
      </c>
      <c r="S967" s="1" t="s">
        <v>74</v>
      </c>
      <c r="T967" s="1" t="s">
        <v>74</v>
      </c>
      <c r="U967" s="1" t="s">
        <v>74</v>
      </c>
      <c r="V967" s="1" t="s">
        <v>9006</v>
      </c>
      <c r="W967" s="1" t="s">
        <v>74</v>
      </c>
      <c r="X967" s="1" t="s">
        <v>74</v>
      </c>
      <c r="Y967" s="1" t="s">
        <v>74</v>
      </c>
      <c r="Z967" s="1" t="s">
        <v>74</v>
      </c>
      <c r="AA967" s="1" t="s">
        <v>9007</v>
      </c>
      <c r="AB967" s="1" t="s">
        <v>9008</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9009</v>
      </c>
      <c r="AP967" s="1" t="s">
        <v>9010</v>
      </c>
      <c r="AQ967" s="1" t="s">
        <v>74</v>
      </c>
      <c r="AR967" s="1" t="s">
        <v>74</v>
      </c>
      <c r="AS967" s="1" t="s">
        <v>74</v>
      </c>
      <c r="AT967" s="1" t="s">
        <v>95</v>
      </c>
      <c r="AU967" s="1">
        <v>2020.0</v>
      </c>
      <c r="AV967" s="1">
        <v>150.0</v>
      </c>
      <c r="AW967" s="1">
        <v>6.0</v>
      </c>
      <c r="AX967" s="1" t="s">
        <v>74</v>
      </c>
      <c r="AY967" s="1" t="s">
        <v>74</v>
      </c>
      <c r="AZ967" s="1" t="s">
        <v>74</v>
      </c>
      <c r="BA967" s="1" t="s">
        <v>74</v>
      </c>
      <c r="BB967" s="1">
        <v>3028.0</v>
      </c>
      <c r="BC967" s="1">
        <v>3059.0</v>
      </c>
      <c r="BD967" s="1" t="s">
        <v>9011</v>
      </c>
      <c r="BE967" s="1" t="s">
        <v>9012</v>
      </c>
      <c r="BF967" s="2" t="str">
        <f>HYPERLINK("http://dx.doi.org/10.1017/prm.2019.56","http://dx.doi.org/10.1017/prm.2019.56")</f>
        <v>http://dx.doi.org/10.1017/prm.2019.56</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9013</v>
      </c>
      <c r="BT967" s="1" t="str">
        <f>HYPERLINK("https%3A%2F%2Fwww.webofscience.com%2Fwos%2Fwoscc%2Ffull-record%2FWOS:000595576100013","View Full Record in Web of Science")</f>
        <v>View Full Record in Web of Science</v>
      </c>
    </row>
    <row r="968" ht="12.75" customHeight="1">
      <c r="A968" s="1" t="s">
        <v>346</v>
      </c>
      <c r="B968" s="1" t="s">
        <v>9014</v>
      </c>
      <c r="C968" s="1" t="s">
        <v>74</v>
      </c>
      <c r="D968" s="1" t="s">
        <v>74</v>
      </c>
      <c r="E968" s="1" t="s">
        <v>348</v>
      </c>
      <c r="F968" s="1" t="s">
        <v>9015</v>
      </c>
      <c r="G968" s="1" t="s">
        <v>74</v>
      </c>
      <c r="H968" s="1" t="s">
        <v>74</v>
      </c>
      <c r="I968" s="1" t="s">
        <v>9016</v>
      </c>
      <c r="J968" s="1" t="s">
        <v>9017</v>
      </c>
      <c r="K968" s="1" t="s">
        <v>74</v>
      </c>
      <c r="L968" s="1" t="s">
        <v>74</v>
      </c>
      <c r="M968" s="1" t="s">
        <v>74</v>
      </c>
      <c r="N968" s="1" t="s">
        <v>74</v>
      </c>
      <c r="O968" s="1" t="s">
        <v>9018</v>
      </c>
      <c r="P968" s="1" t="s">
        <v>9019</v>
      </c>
      <c r="Q968" s="1" t="s">
        <v>9020</v>
      </c>
      <c r="R968" s="1" t="s">
        <v>74</v>
      </c>
      <c r="S968" s="1" t="s">
        <v>74</v>
      </c>
      <c r="T968" s="1" t="s">
        <v>74</v>
      </c>
      <c r="U968" s="1" t="s">
        <v>74</v>
      </c>
      <c r="V968" s="1" t="s">
        <v>9021</v>
      </c>
      <c r="W968" s="1" t="s">
        <v>74</v>
      </c>
      <c r="X968" s="1" t="s">
        <v>74</v>
      </c>
      <c r="Y968" s="1" t="s">
        <v>74</v>
      </c>
      <c r="Z968" s="1" t="s">
        <v>74</v>
      </c>
      <c r="AA968" s="1" t="s">
        <v>9022</v>
      </c>
      <c r="AB968" s="1" t="s">
        <v>74</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74</v>
      </c>
      <c r="AP968" s="1" t="s">
        <v>74</v>
      </c>
      <c r="AQ968" s="1" t="s">
        <v>9023</v>
      </c>
      <c r="AR968" s="1" t="s">
        <v>74</v>
      </c>
      <c r="AS968" s="1" t="s">
        <v>74</v>
      </c>
      <c r="AT968" s="1" t="s">
        <v>74</v>
      </c>
      <c r="AU968" s="1">
        <v>2020.0</v>
      </c>
      <c r="AV968" s="1" t="s">
        <v>74</v>
      </c>
      <c r="AW968" s="1" t="s">
        <v>74</v>
      </c>
      <c r="AX968" s="1" t="s">
        <v>74</v>
      </c>
      <c r="AY968" s="1" t="s">
        <v>74</v>
      </c>
      <c r="AZ968" s="1" t="s">
        <v>74</v>
      </c>
      <c r="BA968" s="1" t="s">
        <v>74</v>
      </c>
      <c r="BB968" s="1" t="s">
        <v>74</v>
      </c>
      <c r="BC968" s="1" t="s">
        <v>74</v>
      </c>
      <c r="BD968" s="1" t="s">
        <v>74</v>
      </c>
      <c r="BE968" s="1" t="s">
        <v>74</v>
      </c>
      <c r="BF968" s="1" t="s">
        <v>74</v>
      </c>
      <c r="BG968" s="1" t="s">
        <v>74</v>
      </c>
      <c r="BH968" s="1" t="s">
        <v>74</v>
      </c>
      <c r="BI968" s="1" t="s">
        <v>74</v>
      </c>
      <c r="BJ968" s="1" t="s">
        <v>74</v>
      </c>
      <c r="BK968" s="1" t="s">
        <v>74</v>
      </c>
      <c r="BL968" s="1" t="s">
        <v>74</v>
      </c>
      <c r="BM968" s="1" t="s">
        <v>74</v>
      </c>
      <c r="BN968" s="1" t="s">
        <v>74</v>
      </c>
      <c r="BO968" s="1" t="s">
        <v>74</v>
      </c>
      <c r="BP968" s="1" t="s">
        <v>74</v>
      </c>
      <c r="BQ968" s="1" t="s">
        <v>74</v>
      </c>
      <c r="BR968" s="1" t="s">
        <v>74</v>
      </c>
      <c r="BS968" s="1" t="s">
        <v>9024</v>
      </c>
      <c r="BT968" s="1" t="str">
        <f>HYPERLINK("https%3A%2F%2Fwww.webofscience.com%2Fwos%2Fwoscc%2Ffull-record%2FWOS:001331796100051","View Full Record in Web of Science")</f>
        <v>View Full Record in Web of Science</v>
      </c>
    </row>
    <row r="969" ht="12.75" customHeight="1">
      <c r="A969" s="1" t="s">
        <v>72</v>
      </c>
      <c r="B969" s="1" t="s">
        <v>9025</v>
      </c>
      <c r="C969" s="1" t="s">
        <v>74</v>
      </c>
      <c r="D969" s="1" t="s">
        <v>74</v>
      </c>
      <c r="E969" s="1" t="s">
        <v>74</v>
      </c>
      <c r="F969" s="1" t="s">
        <v>9026</v>
      </c>
      <c r="G969" s="1" t="s">
        <v>74</v>
      </c>
      <c r="H969" s="1" t="s">
        <v>74</v>
      </c>
      <c r="I969" s="1" t="s">
        <v>9027</v>
      </c>
      <c r="J969" s="1" t="s">
        <v>9028</v>
      </c>
      <c r="K969" s="1" t="s">
        <v>74</v>
      </c>
      <c r="L969" s="1" t="s">
        <v>74</v>
      </c>
      <c r="M969" s="1" t="s">
        <v>74</v>
      </c>
      <c r="N969" s="1" t="s">
        <v>74</v>
      </c>
      <c r="O969" s="1" t="s">
        <v>74</v>
      </c>
      <c r="P969" s="1" t="s">
        <v>74</v>
      </c>
      <c r="Q969" s="1" t="s">
        <v>74</v>
      </c>
      <c r="R969" s="1" t="s">
        <v>74</v>
      </c>
      <c r="S969" s="1" t="s">
        <v>74</v>
      </c>
      <c r="T969" s="1" t="s">
        <v>74</v>
      </c>
      <c r="U969" s="1" t="s">
        <v>74</v>
      </c>
      <c r="V969" s="1" t="s">
        <v>9029</v>
      </c>
      <c r="W969" s="1" t="s">
        <v>74</v>
      </c>
      <c r="X969" s="1" t="s">
        <v>74</v>
      </c>
      <c r="Y969" s="1" t="s">
        <v>74</v>
      </c>
      <c r="Z969" s="1" t="s">
        <v>74</v>
      </c>
      <c r="AA969" s="1" t="s">
        <v>74</v>
      </c>
      <c r="AB969" s="1" t="s">
        <v>74</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9030</v>
      </c>
      <c r="AP969" s="1" t="s">
        <v>9031</v>
      </c>
      <c r="AQ969" s="1" t="s">
        <v>74</v>
      </c>
      <c r="AR969" s="1" t="s">
        <v>74</v>
      </c>
      <c r="AS969" s="1" t="s">
        <v>74</v>
      </c>
      <c r="AT969" s="1" t="s">
        <v>554</v>
      </c>
      <c r="AU969" s="1">
        <v>2019.0</v>
      </c>
      <c r="AV969" s="1">
        <v>104.0</v>
      </c>
      <c r="AW969" s="1" t="s">
        <v>74</v>
      </c>
      <c r="AX969" s="1" t="s">
        <v>74</v>
      </c>
      <c r="AY969" s="1" t="s">
        <v>74</v>
      </c>
      <c r="AZ969" s="1" t="s">
        <v>74</v>
      </c>
      <c r="BA969" s="1" t="s">
        <v>74</v>
      </c>
      <c r="BB969" s="1">
        <v>23.0</v>
      </c>
      <c r="BC969" s="1">
        <v>36.0</v>
      </c>
      <c r="BD969" s="1" t="s">
        <v>74</v>
      </c>
      <c r="BE969" s="1" t="s">
        <v>9032</v>
      </c>
      <c r="BF969" s="2" t="str">
        <f>HYPERLINK("http://dx.doi.org/10.1016/j.jmoneco.2018.09.003","http://dx.doi.org/10.1016/j.jmoneco.2018.09.003")</f>
        <v>http://dx.doi.org/10.1016/j.jmoneco.2018.09.003</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9033</v>
      </c>
      <c r="BT969" s="1" t="str">
        <f>HYPERLINK("https%3A%2F%2Fwww.webofscience.com%2Fwos%2Fwoscc%2Ffull-record%2FWOS:000473123000002","View Full Record in Web of Science")</f>
        <v>View Full Record in Web of Science</v>
      </c>
    </row>
    <row r="970" ht="12.75" customHeight="1">
      <c r="A970" s="1" t="s">
        <v>72</v>
      </c>
      <c r="B970" s="1" t="s">
        <v>9034</v>
      </c>
      <c r="C970" s="1" t="s">
        <v>74</v>
      </c>
      <c r="D970" s="1" t="s">
        <v>74</v>
      </c>
      <c r="E970" s="1" t="s">
        <v>74</v>
      </c>
      <c r="F970" s="1" t="s">
        <v>9035</v>
      </c>
      <c r="G970" s="1" t="s">
        <v>74</v>
      </c>
      <c r="H970" s="1" t="s">
        <v>74</v>
      </c>
      <c r="I970" s="1" t="s">
        <v>9036</v>
      </c>
      <c r="J970" s="1" t="s">
        <v>3697</v>
      </c>
      <c r="K970" s="1" t="s">
        <v>74</v>
      </c>
      <c r="L970" s="1" t="s">
        <v>74</v>
      </c>
      <c r="M970" s="1" t="s">
        <v>74</v>
      </c>
      <c r="N970" s="1" t="s">
        <v>74</v>
      </c>
      <c r="O970" s="1" t="s">
        <v>74</v>
      </c>
      <c r="P970" s="1" t="s">
        <v>74</v>
      </c>
      <c r="Q970" s="1" t="s">
        <v>74</v>
      </c>
      <c r="R970" s="1" t="s">
        <v>74</v>
      </c>
      <c r="S970" s="1" t="s">
        <v>74</v>
      </c>
      <c r="T970" s="1" t="s">
        <v>74</v>
      </c>
      <c r="U970" s="1" t="s">
        <v>74</v>
      </c>
      <c r="V970" s="1" t="s">
        <v>9037</v>
      </c>
      <c r="W970" s="1" t="s">
        <v>74</v>
      </c>
      <c r="X970" s="1" t="s">
        <v>74</v>
      </c>
      <c r="Y970" s="1" t="s">
        <v>74</v>
      </c>
      <c r="Z970" s="1" t="s">
        <v>74</v>
      </c>
      <c r="AA970" s="1" t="s">
        <v>9038</v>
      </c>
      <c r="AB970" s="1" t="s">
        <v>9039</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3701</v>
      </c>
      <c r="AP970" s="1" t="s">
        <v>9040</v>
      </c>
      <c r="AQ970" s="1" t="s">
        <v>74</v>
      </c>
      <c r="AR970" s="1" t="s">
        <v>74</v>
      </c>
      <c r="AS970" s="1" t="s">
        <v>74</v>
      </c>
      <c r="AT970" s="1" t="s">
        <v>496</v>
      </c>
      <c r="AU970" s="1">
        <v>2019.0</v>
      </c>
      <c r="AV970" s="1">
        <v>715.0</v>
      </c>
      <c r="AW970" s="1" t="s">
        <v>74</v>
      </c>
      <c r="AX970" s="1" t="s">
        <v>74</v>
      </c>
      <c r="AY970" s="1" t="s">
        <v>74</v>
      </c>
      <c r="AZ970" s="1" t="s">
        <v>74</v>
      </c>
      <c r="BA970" s="1" t="s">
        <v>74</v>
      </c>
      <c r="BB970" s="1">
        <v>231.0</v>
      </c>
      <c r="BC970" s="1">
        <v>238.0</v>
      </c>
      <c r="BD970" s="1" t="s">
        <v>74</v>
      </c>
      <c r="BE970" s="1" t="s">
        <v>9041</v>
      </c>
      <c r="BF970" s="2" t="str">
        <f>HYPERLINK("http://dx.doi.org/10.1016/j.cplett.2018.11.043","http://dx.doi.org/10.1016/j.cplett.2018.11.043")</f>
        <v>http://dx.doi.org/10.1016/j.cplett.2018.11.043</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9042</v>
      </c>
      <c r="BT970" s="1" t="str">
        <f>HYPERLINK("https%3A%2F%2Fwww.webofscience.com%2Fwos%2Fwoscc%2Ffull-record%2FWOS:000455097200037","View Full Record in Web of Science")</f>
        <v>View Full Record in Web of Science</v>
      </c>
    </row>
    <row r="971" ht="12.75" customHeight="1">
      <c r="A971" s="1" t="s">
        <v>72</v>
      </c>
      <c r="B971" s="1" t="s">
        <v>9043</v>
      </c>
      <c r="C971" s="1" t="s">
        <v>74</v>
      </c>
      <c r="D971" s="1" t="s">
        <v>74</v>
      </c>
      <c r="E971" s="1" t="s">
        <v>74</v>
      </c>
      <c r="F971" s="1" t="s">
        <v>9044</v>
      </c>
      <c r="G971" s="1" t="s">
        <v>74</v>
      </c>
      <c r="H971" s="1" t="s">
        <v>74</v>
      </c>
      <c r="I971" s="1" t="s">
        <v>9045</v>
      </c>
      <c r="J971" s="1" t="s">
        <v>836</v>
      </c>
      <c r="K971" s="1" t="s">
        <v>74</v>
      </c>
      <c r="L971" s="1" t="s">
        <v>74</v>
      </c>
      <c r="M971" s="1" t="s">
        <v>74</v>
      </c>
      <c r="N971" s="1" t="s">
        <v>74</v>
      </c>
      <c r="O971" s="1" t="s">
        <v>74</v>
      </c>
      <c r="P971" s="1" t="s">
        <v>74</v>
      </c>
      <c r="Q971" s="1" t="s">
        <v>74</v>
      </c>
      <c r="R971" s="1" t="s">
        <v>74</v>
      </c>
      <c r="S971" s="1" t="s">
        <v>74</v>
      </c>
      <c r="T971" s="1" t="s">
        <v>74</v>
      </c>
      <c r="U971" s="1" t="s">
        <v>74</v>
      </c>
      <c r="V971" s="1" t="s">
        <v>9046</v>
      </c>
      <c r="W971" s="1" t="s">
        <v>74</v>
      </c>
      <c r="X971" s="1" t="s">
        <v>74</v>
      </c>
      <c r="Y971" s="1" t="s">
        <v>74</v>
      </c>
      <c r="Z971" s="1" t="s">
        <v>74</v>
      </c>
      <c r="AA971" s="1" t="s">
        <v>9047</v>
      </c>
      <c r="AB971" s="1" t="s">
        <v>9048</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838</v>
      </c>
      <c r="AP971" s="1" t="s">
        <v>4141</v>
      </c>
      <c r="AQ971" s="1" t="s">
        <v>74</v>
      </c>
      <c r="AR971" s="1" t="s">
        <v>74</v>
      </c>
      <c r="AS971" s="1" t="s">
        <v>74</v>
      </c>
      <c r="AT971" s="1" t="s">
        <v>1397</v>
      </c>
      <c r="AU971" s="1">
        <v>2018.0</v>
      </c>
      <c r="AV971" s="1">
        <v>51.0</v>
      </c>
      <c r="AW971" s="1" t="s">
        <v>74</v>
      </c>
      <c r="AX971" s="1" t="s">
        <v>74</v>
      </c>
      <c r="AY971" s="1" t="s">
        <v>74</v>
      </c>
      <c r="AZ971" s="1" t="s">
        <v>74</v>
      </c>
      <c r="BA971" s="1" t="s">
        <v>74</v>
      </c>
      <c r="BB971" s="1" t="s">
        <v>74</v>
      </c>
      <c r="BC971" s="1" t="s">
        <v>74</v>
      </c>
      <c r="BD971" s="1">
        <v>28.0</v>
      </c>
      <c r="BE971" s="1" t="s">
        <v>9049</v>
      </c>
      <c r="BF971" s="2" t="str">
        <f>HYPERLINK("http://dx.doi.org/10.1186/s40659-018-0177-4","http://dx.doi.org/10.1186/s40659-018-0177-4")</f>
        <v>http://dx.doi.org/10.1186/s40659-018-0177-4</v>
      </c>
      <c r="BG971" s="1" t="s">
        <v>74</v>
      </c>
      <c r="BH971" s="1" t="s">
        <v>74</v>
      </c>
      <c r="BI971" s="1" t="s">
        <v>74</v>
      </c>
      <c r="BJ971" s="1" t="s">
        <v>74</v>
      </c>
      <c r="BK971" s="1" t="s">
        <v>74</v>
      </c>
      <c r="BL971" s="1" t="s">
        <v>74</v>
      </c>
      <c r="BM971" s="1" t="s">
        <v>74</v>
      </c>
      <c r="BN971" s="1">
        <v>3.0149803E7</v>
      </c>
      <c r="BO971" s="1" t="s">
        <v>74</v>
      </c>
      <c r="BP971" s="1" t="s">
        <v>74</v>
      </c>
      <c r="BQ971" s="1" t="s">
        <v>74</v>
      </c>
      <c r="BR971" s="1" t="s">
        <v>74</v>
      </c>
      <c r="BS971" s="1" t="s">
        <v>9050</v>
      </c>
      <c r="BT971" s="1" t="str">
        <f>HYPERLINK("https%3A%2F%2Fwww.webofscience.com%2Fwos%2Fwoscc%2Ffull-record%2FWOS:000442838400001","View Full Record in Web of Science")</f>
        <v>View Full Record in Web of Science</v>
      </c>
    </row>
    <row r="972" ht="12.75" customHeight="1">
      <c r="A972" s="1" t="s">
        <v>72</v>
      </c>
      <c r="B972" s="1" t="s">
        <v>9051</v>
      </c>
      <c r="C972" s="1" t="s">
        <v>74</v>
      </c>
      <c r="D972" s="1" t="s">
        <v>74</v>
      </c>
      <c r="E972" s="1" t="s">
        <v>74</v>
      </c>
      <c r="F972" s="1" t="s">
        <v>9052</v>
      </c>
      <c r="G972" s="1" t="s">
        <v>74</v>
      </c>
      <c r="H972" s="1" t="s">
        <v>74</v>
      </c>
      <c r="I972" s="1" t="s">
        <v>9053</v>
      </c>
      <c r="J972" s="1" t="s">
        <v>9054</v>
      </c>
      <c r="K972" s="1" t="s">
        <v>74</v>
      </c>
      <c r="L972" s="1" t="s">
        <v>74</v>
      </c>
      <c r="M972" s="1" t="s">
        <v>74</v>
      </c>
      <c r="N972" s="1" t="s">
        <v>74</v>
      </c>
      <c r="O972" s="1" t="s">
        <v>74</v>
      </c>
      <c r="P972" s="1" t="s">
        <v>74</v>
      </c>
      <c r="Q972" s="1" t="s">
        <v>74</v>
      </c>
      <c r="R972" s="1" t="s">
        <v>74</v>
      </c>
      <c r="S972" s="1" t="s">
        <v>74</v>
      </c>
      <c r="T972" s="1" t="s">
        <v>74</v>
      </c>
      <c r="U972" s="1" t="s">
        <v>74</v>
      </c>
      <c r="V972" s="1" t="s">
        <v>9055</v>
      </c>
      <c r="W972" s="1" t="s">
        <v>74</v>
      </c>
      <c r="X972" s="1" t="s">
        <v>74</v>
      </c>
      <c r="Y972" s="1" t="s">
        <v>74</v>
      </c>
      <c r="Z972" s="1" t="s">
        <v>74</v>
      </c>
      <c r="AA972" s="1" t="s">
        <v>9056</v>
      </c>
      <c r="AB972" s="1" t="s">
        <v>9057</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9058</v>
      </c>
      <c r="AP972" s="1" t="s">
        <v>9059</v>
      </c>
      <c r="AQ972" s="1" t="s">
        <v>74</v>
      </c>
      <c r="AR972" s="1" t="s">
        <v>74</v>
      </c>
      <c r="AS972" s="1" t="s">
        <v>74</v>
      </c>
      <c r="AT972" s="1" t="s">
        <v>83</v>
      </c>
      <c r="AU972" s="1">
        <v>2018.0</v>
      </c>
      <c r="AV972" s="1">
        <v>219.0</v>
      </c>
      <c r="AW972" s="1">
        <v>3.0</v>
      </c>
      <c r="AX972" s="1" t="s">
        <v>74</v>
      </c>
      <c r="AY972" s="1" t="s">
        <v>74</v>
      </c>
      <c r="AZ972" s="1" t="s">
        <v>74</v>
      </c>
      <c r="BA972" s="1" t="s">
        <v>74</v>
      </c>
      <c r="BB972" s="1">
        <v>231.0</v>
      </c>
      <c r="BC972" s="1">
        <v>240.0</v>
      </c>
      <c r="BD972" s="1" t="s">
        <v>74</v>
      </c>
      <c r="BE972" s="1" t="s">
        <v>9060</v>
      </c>
      <c r="BF972" s="2" t="str">
        <f>HYPERLINK("http://dx.doi.org/10.1007/s11258-017-0791-1","http://dx.doi.org/10.1007/s11258-017-0791-1")</f>
        <v>http://dx.doi.org/10.1007/s11258-017-0791-1</v>
      </c>
      <c r="BG972" s="1" t="s">
        <v>74</v>
      </c>
      <c r="BH972" s="1" t="s">
        <v>74</v>
      </c>
      <c r="BI972" s="1" t="s">
        <v>74</v>
      </c>
      <c r="BJ972" s="1" t="s">
        <v>74</v>
      </c>
      <c r="BK972" s="1" t="s">
        <v>74</v>
      </c>
      <c r="BL972" s="1" t="s">
        <v>74</v>
      </c>
      <c r="BM972" s="1" t="s">
        <v>74</v>
      </c>
      <c r="BN972" s="1" t="s">
        <v>74</v>
      </c>
      <c r="BO972" s="1" t="s">
        <v>74</v>
      </c>
      <c r="BP972" s="1" t="s">
        <v>74</v>
      </c>
      <c r="BQ972" s="1" t="s">
        <v>74</v>
      </c>
      <c r="BR972" s="1" t="s">
        <v>74</v>
      </c>
      <c r="BS972" s="1" t="s">
        <v>9061</v>
      </c>
      <c r="BT972" s="1" t="str">
        <f>HYPERLINK("https%3A%2F%2Fwww.webofscience.com%2Fwos%2Fwoscc%2Ffull-record%2FWOS:000425976700001","View Full Record in Web of Science")</f>
        <v>View Full Record in Web of Science</v>
      </c>
    </row>
    <row r="973" ht="12.75" customHeight="1">
      <c r="A973" s="1" t="s">
        <v>72</v>
      </c>
      <c r="B973" s="1" t="s">
        <v>9062</v>
      </c>
      <c r="C973" s="1" t="s">
        <v>74</v>
      </c>
      <c r="D973" s="1" t="s">
        <v>74</v>
      </c>
      <c r="E973" s="1" t="s">
        <v>74</v>
      </c>
      <c r="F973" s="1" t="s">
        <v>9063</v>
      </c>
      <c r="G973" s="1" t="s">
        <v>74</v>
      </c>
      <c r="H973" s="1" t="s">
        <v>74</v>
      </c>
      <c r="I973" s="1" t="s">
        <v>9064</v>
      </c>
      <c r="J973" s="1" t="s">
        <v>9065</v>
      </c>
      <c r="K973" s="1" t="s">
        <v>74</v>
      </c>
      <c r="L973" s="1" t="s">
        <v>74</v>
      </c>
      <c r="M973" s="1" t="s">
        <v>74</v>
      </c>
      <c r="N973" s="1" t="s">
        <v>74</v>
      </c>
      <c r="O973" s="1" t="s">
        <v>74</v>
      </c>
      <c r="P973" s="1" t="s">
        <v>74</v>
      </c>
      <c r="Q973" s="1" t="s">
        <v>74</v>
      </c>
      <c r="R973" s="1" t="s">
        <v>74</v>
      </c>
      <c r="S973" s="1" t="s">
        <v>74</v>
      </c>
      <c r="T973" s="1" t="s">
        <v>74</v>
      </c>
      <c r="U973" s="1" t="s">
        <v>74</v>
      </c>
      <c r="V973" s="1" t="s">
        <v>9066</v>
      </c>
      <c r="W973" s="1" t="s">
        <v>74</v>
      </c>
      <c r="X973" s="1" t="s">
        <v>74</v>
      </c>
      <c r="Y973" s="1" t="s">
        <v>74</v>
      </c>
      <c r="Z973" s="1" t="s">
        <v>74</v>
      </c>
      <c r="AA973" s="1" t="s">
        <v>9067</v>
      </c>
      <c r="AB973" s="1" t="s">
        <v>9068</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9069</v>
      </c>
      <c r="AP973" s="1" t="s">
        <v>74</v>
      </c>
      <c r="AQ973" s="1" t="s">
        <v>74</v>
      </c>
      <c r="AR973" s="1" t="s">
        <v>74</v>
      </c>
      <c r="AS973" s="1" t="s">
        <v>74</v>
      </c>
      <c r="AT973" s="1" t="s">
        <v>1778</v>
      </c>
      <c r="AU973" s="1">
        <v>2017.0</v>
      </c>
      <c r="AV973" s="1">
        <v>49.0</v>
      </c>
      <c r="AW973" s="1">
        <v>3.0</v>
      </c>
      <c r="AX973" s="1" t="s">
        <v>74</v>
      </c>
      <c r="AY973" s="1" t="s">
        <v>74</v>
      </c>
      <c r="AZ973" s="1" t="s">
        <v>74</v>
      </c>
      <c r="BA973" s="1" t="s">
        <v>74</v>
      </c>
      <c r="BB973" s="1">
        <v>213.0</v>
      </c>
      <c r="BC973" s="1">
        <v>221.0</v>
      </c>
      <c r="BD973" s="1" t="s">
        <v>74</v>
      </c>
      <c r="BE973" s="1" t="s">
        <v>9070</v>
      </c>
      <c r="BF973" s="2" t="str">
        <f>HYPERLINK("http://dx.doi.org/10.1016/j.rlp.2017.03.002","http://dx.doi.org/10.1016/j.rlp.2017.03.002")</f>
        <v>http://dx.doi.org/10.1016/j.rlp.2017.03.002</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9071</v>
      </c>
      <c r="BT973" s="1" t="str">
        <f>HYPERLINK("https%3A%2F%2Fwww.webofscience.com%2Fwos%2Fwoscc%2Ffull-record%2FWOS:000416752400007","View Full Record in Web of Science")</f>
        <v>View Full Record in Web of Science</v>
      </c>
    </row>
    <row r="974" ht="12.75" customHeight="1">
      <c r="A974" s="1" t="s">
        <v>72</v>
      </c>
      <c r="B974" s="1" t="s">
        <v>7817</v>
      </c>
      <c r="C974" s="1" t="s">
        <v>74</v>
      </c>
      <c r="D974" s="1" t="s">
        <v>74</v>
      </c>
      <c r="E974" s="1" t="s">
        <v>74</v>
      </c>
      <c r="F974" s="1" t="s">
        <v>9072</v>
      </c>
      <c r="G974" s="1" t="s">
        <v>74</v>
      </c>
      <c r="H974" s="1" t="s">
        <v>74</v>
      </c>
      <c r="I974" s="1" t="s">
        <v>9073</v>
      </c>
      <c r="J974" s="1" t="s">
        <v>9074</v>
      </c>
      <c r="K974" s="1" t="s">
        <v>74</v>
      </c>
      <c r="L974" s="1" t="s">
        <v>74</v>
      </c>
      <c r="M974" s="1" t="s">
        <v>74</v>
      </c>
      <c r="N974" s="1" t="s">
        <v>74</v>
      </c>
      <c r="O974" s="1" t="s">
        <v>74</v>
      </c>
      <c r="P974" s="1" t="s">
        <v>74</v>
      </c>
      <c r="Q974" s="1" t="s">
        <v>74</v>
      </c>
      <c r="R974" s="1" t="s">
        <v>74</v>
      </c>
      <c r="S974" s="1" t="s">
        <v>74</v>
      </c>
      <c r="T974" s="1" t="s">
        <v>74</v>
      </c>
      <c r="U974" s="1" t="s">
        <v>74</v>
      </c>
      <c r="V974" s="1" t="s">
        <v>9075</v>
      </c>
      <c r="W974" s="1" t="s">
        <v>74</v>
      </c>
      <c r="X974" s="1" t="s">
        <v>74</v>
      </c>
      <c r="Y974" s="1" t="s">
        <v>74</v>
      </c>
      <c r="Z974" s="1" t="s">
        <v>74</v>
      </c>
      <c r="AA974" s="1" t="s">
        <v>74</v>
      </c>
      <c r="AB974" s="1" t="s">
        <v>74</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9076</v>
      </c>
      <c r="AP974" s="1" t="s">
        <v>9077</v>
      </c>
      <c r="AQ974" s="1" t="s">
        <v>74</v>
      </c>
      <c r="AR974" s="1" t="s">
        <v>74</v>
      </c>
      <c r="AS974" s="1" t="s">
        <v>74</v>
      </c>
      <c r="AT974" s="1" t="s">
        <v>461</v>
      </c>
      <c r="AU974" s="1">
        <v>2016.0</v>
      </c>
      <c r="AV974" s="1">
        <v>27.0</v>
      </c>
      <c r="AW974" s="1">
        <v>3.0</v>
      </c>
      <c r="AX974" s="1" t="s">
        <v>74</v>
      </c>
      <c r="AY974" s="1" t="s">
        <v>74</v>
      </c>
      <c r="AZ974" s="1" t="s">
        <v>74</v>
      </c>
      <c r="BA974" s="1" t="s">
        <v>74</v>
      </c>
      <c r="BB974" s="1">
        <v>281.0</v>
      </c>
      <c r="BC974" s="1">
        <v>292.0</v>
      </c>
      <c r="BD974" s="1" t="s">
        <v>74</v>
      </c>
      <c r="BE974" s="1" t="s">
        <v>9078</v>
      </c>
      <c r="BF974" s="2" t="str">
        <f>HYPERLINK("http://dx.doi.org/10.1177/1035304616663354","http://dx.doi.org/10.1177/1035304616663354")</f>
        <v>http://dx.doi.org/10.1177/1035304616663354</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9079</v>
      </c>
      <c r="BT974" s="1" t="str">
        <f>HYPERLINK("https%3A%2F%2Fwww.webofscience.com%2Fwos%2Fwoscc%2Ffull-record%2FWOS:000382959100001","View Full Record in Web of Science")</f>
        <v>View Full Record in Web of Science</v>
      </c>
    </row>
    <row r="975" ht="12.75" customHeight="1">
      <c r="A975" s="1" t="s">
        <v>72</v>
      </c>
      <c r="B975" s="1" t="s">
        <v>9080</v>
      </c>
      <c r="C975" s="1" t="s">
        <v>74</v>
      </c>
      <c r="D975" s="1" t="s">
        <v>74</v>
      </c>
      <c r="E975" s="1" t="s">
        <v>74</v>
      </c>
      <c r="F975" s="1" t="s">
        <v>9081</v>
      </c>
      <c r="G975" s="1" t="s">
        <v>74</v>
      </c>
      <c r="H975" s="1" t="s">
        <v>74</v>
      </c>
      <c r="I975" s="1" t="s">
        <v>9082</v>
      </c>
      <c r="J975" s="1" t="s">
        <v>9083</v>
      </c>
      <c r="K975" s="1" t="s">
        <v>74</v>
      </c>
      <c r="L975" s="1" t="s">
        <v>74</v>
      </c>
      <c r="M975" s="1" t="s">
        <v>74</v>
      </c>
      <c r="N975" s="1" t="s">
        <v>74</v>
      </c>
      <c r="O975" s="1" t="s">
        <v>74</v>
      </c>
      <c r="P975" s="1" t="s">
        <v>74</v>
      </c>
      <c r="Q975" s="1" t="s">
        <v>74</v>
      </c>
      <c r="R975" s="1" t="s">
        <v>74</v>
      </c>
      <c r="S975" s="1" t="s">
        <v>74</v>
      </c>
      <c r="T975" s="1" t="s">
        <v>74</v>
      </c>
      <c r="U975" s="1" t="s">
        <v>74</v>
      </c>
      <c r="V975" s="1" t="s">
        <v>9084</v>
      </c>
      <c r="W975" s="1" t="s">
        <v>74</v>
      </c>
      <c r="X975" s="1" t="s">
        <v>74</v>
      </c>
      <c r="Y975" s="1" t="s">
        <v>74</v>
      </c>
      <c r="Z975" s="1" t="s">
        <v>74</v>
      </c>
      <c r="AA975" s="1" t="s">
        <v>9085</v>
      </c>
      <c r="AB975" s="1" t="s">
        <v>9086</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9087</v>
      </c>
      <c r="AP975" s="1" t="s">
        <v>9088</v>
      </c>
      <c r="AQ975" s="1" t="s">
        <v>74</v>
      </c>
      <c r="AR975" s="1" t="s">
        <v>74</v>
      </c>
      <c r="AS975" s="1" t="s">
        <v>74</v>
      </c>
      <c r="AT975" s="1" t="s">
        <v>461</v>
      </c>
      <c r="AU975" s="1">
        <v>2016.0</v>
      </c>
      <c r="AV975" s="1">
        <v>19.0</v>
      </c>
      <c r="AW975" s="1">
        <v>3.0</v>
      </c>
      <c r="AX975" s="1" t="s">
        <v>74</v>
      </c>
      <c r="AY975" s="1" t="s">
        <v>74</v>
      </c>
      <c r="AZ975" s="1" t="s">
        <v>74</v>
      </c>
      <c r="BA975" s="1" t="s">
        <v>74</v>
      </c>
      <c r="BB975" s="1">
        <v>1219.0</v>
      </c>
      <c r="BC975" s="1">
        <v>1225.0</v>
      </c>
      <c r="BD975" s="1" t="s">
        <v>74</v>
      </c>
      <c r="BE975" s="1" t="s">
        <v>9089</v>
      </c>
      <c r="BF975" s="2" t="str">
        <f>HYPERLINK("http://dx.doi.org/10.1007/s10586-016-0594-5","http://dx.doi.org/10.1007/s10586-016-0594-5")</f>
        <v>http://dx.doi.org/10.1007/s10586-016-0594-5</v>
      </c>
      <c r="BG975" s="1" t="s">
        <v>74</v>
      </c>
      <c r="BH975" s="1" t="s">
        <v>74</v>
      </c>
      <c r="BI975" s="1" t="s">
        <v>74</v>
      </c>
      <c r="BJ975" s="1" t="s">
        <v>74</v>
      </c>
      <c r="BK975" s="1" t="s">
        <v>74</v>
      </c>
      <c r="BL975" s="1" t="s">
        <v>74</v>
      </c>
      <c r="BM975" s="1" t="s">
        <v>74</v>
      </c>
      <c r="BN975" s="1" t="s">
        <v>74</v>
      </c>
      <c r="BO975" s="1" t="s">
        <v>74</v>
      </c>
      <c r="BP975" s="1" t="s">
        <v>74</v>
      </c>
      <c r="BQ975" s="1" t="s">
        <v>74</v>
      </c>
      <c r="BR975" s="1" t="s">
        <v>74</v>
      </c>
      <c r="BS975" s="1" t="s">
        <v>9090</v>
      </c>
      <c r="BT975" s="1" t="str">
        <f>HYPERLINK("https%3A%2F%2Fwww.webofscience.com%2Fwos%2Fwoscc%2Ffull-record%2FWOS:000382635400012","View Full Record in Web of Science")</f>
        <v>View Full Record in Web of Science</v>
      </c>
    </row>
    <row r="976" ht="12.75" customHeight="1">
      <c r="A976" s="1" t="s">
        <v>72</v>
      </c>
      <c r="B976" s="1" t="s">
        <v>9091</v>
      </c>
      <c r="C976" s="1" t="s">
        <v>74</v>
      </c>
      <c r="D976" s="1" t="s">
        <v>74</v>
      </c>
      <c r="E976" s="1" t="s">
        <v>74</v>
      </c>
      <c r="F976" s="1" t="s">
        <v>9092</v>
      </c>
      <c r="G976" s="1" t="s">
        <v>74</v>
      </c>
      <c r="H976" s="1" t="s">
        <v>74</v>
      </c>
      <c r="I976" s="1" t="s">
        <v>9093</v>
      </c>
      <c r="J976" s="1" t="s">
        <v>9094</v>
      </c>
      <c r="K976" s="1" t="s">
        <v>74</v>
      </c>
      <c r="L976" s="1" t="s">
        <v>74</v>
      </c>
      <c r="M976" s="1" t="s">
        <v>74</v>
      </c>
      <c r="N976" s="1" t="s">
        <v>74</v>
      </c>
      <c r="O976" s="1" t="s">
        <v>74</v>
      </c>
      <c r="P976" s="1" t="s">
        <v>74</v>
      </c>
      <c r="Q976" s="1" t="s">
        <v>74</v>
      </c>
      <c r="R976" s="1" t="s">
        <v>74</v>
      </c>
      <c r="S976" s="1" t="s">
        <v>74</v>
      </c>
      <c r="T976" s="1" t="s">
        <v>74</v>
      </c>
      <c r="U976" s="1" t="s">
        <v>74</v>
      </c>
      <c r="V976" s="1" t="s">
        <v>9095</v>
      </c>
      <c r="W976" s="1" t="s">
        <v>74</v>
      </c>
      <c r="X976" s="1" t="s">
        <v>74</v>
      </c>
      <c r="Y976" s="1" t="s">
        <v>74</v>
      </c>
      <c r="Z976" s="1" t="s">
        <v>74</v>
      </c>
      <c r="AA976" s="1" t="s">
        <v>9096</v>
      </c>
      <c r="AB976" s="1" t="s">
        <v>9097</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9098</v>
      </c>
      <c r="AP976" s="1" t="s">
        <v>9099</v>
      </c>
      <c r="AQ976" s="1" t="s">
        <v>74</v>
      </c>
      <c r="AR976" s="1" t="s">
        <v>74</v>
      </c>
      <c r="AS976" s="1" t="s">
        <v>74</v>
      </c>
      <c r="AT976" s="1" t="s">
        <v>187</v>
      </c>
      <c r="AU976" s="1">
        <v>2016.0</v>
      </c>
      <c r="AV976" s="1">
        <v>188.0</v>
      </c>
      <c r="AW976" s="1">
        <v>4.0</v>
      </c>
      <c r="AX976" s="1" t="s">
        <v>74</v>
      </c>
      <c r="AY976" s="1" t="s">
        <v>74</v>
      </c>
      <c r="AZ976" s="1" t="s">
        <v>74</v>
      </c>
      <c r="BA976" s="1" t="s">
        <v>74</v>
      </c>
      <c r="BB976" s="1" t="s">
        <v>74</v>
      </c>
      <c r="BC976" s="1" t="s">
        <v>74</v>
      </c>
      <c r="BD976" s="1">
        <v>235.0</v>
      </c>
      <c r="BE976" s="1" t="s">
        <v>9100</v>
      </c>
      <c r="BF976" s="2" t="str">
        <f>HYPERLINK("http://dx.doi.org/10.1007/s10661-016-5247-x","http://dx.doi.org/10.1007/s10661-016-5247-x")</f>
        <v>http://dx.doi.org/10.1007/s10661-016-5247-x</v>
      </c>
      <c r="BG976" s="1" t="s">
        <v>74</v>
      </c>
      <c r="BH976" s="1" t="s">
        <v>74</v>
      </c>
      <c r="BI976" s="1" t="s">
        <v>74</v>
      </c>
      <c r="BJ976" s="1" t="s">
        <v>74</v>
      </c>
      <c r="BK976" s="1" t="s">
        <v>74</v>
      </c>
      <c r="BL976" s="1" t="s">
        <v>74</v>
      </c>
      <c r="BM976" s="1" t="s">
        <v>74</v>
      </c>
      <c r="BN976" s="1">
        <v>2.700032E7</v>
      </c>
      <c r="BO976" s="1" t="s">
        <v>74</v>
      </c>
      <c r="BP976" s="1" t="s">
        <v>74</v>
      </c>
      <c r="BQ976" s="1" t="s">
        <v>74</v>
      </c>
      <c r="BR976" s="1" t="s">
        <v>74</v>
      </c>
      <c r="BS976" s="1" t="s">
        <v>9101</v>
      </c>
      <c r="BT976" s="1" t="str">
        <f>HYPERLINK("https%3A%2F%2Fwww.webofscience.com%2Fwos%2Fwoscc%2Ffull-record%2FWOS:000372750100034","View Full Record in Web of Science")</f>
        <v>View Full Record in Web of Science</v>
      </c>
    </row>
    <row r="977" ht="12.75" customHeight="1">
      <c r="A977" s="1" t="s">
        <v>72</v>
      </c>
      <c r="B977" s="1" t="s">
        <v>9102</v>
      </c>
      <c r="C977" s="1" t="s">
        <v>74</v>
      </c>
      <c r="D977" s="1" t="s">
        <v>74</v>
      </c>
      <c r="E977" s="1" t="s">
        <v>74</v>
      </c>
      <c r="F977" s="1" t="s">
        <v>9103</v>
      </c>
      <c r="G977" s="1" t="s">
        <v>74</v>
      </c>
      <c r="H977" s="1" t="s">
        <v>74</v>
      </c>
      <c r="I977" s="1" t="s">
        <v>9104</v>
      </c>
      <c r="J977" s="1" t="s">
        <v>9105</v>
      </c>
      <c r="K977" s="1" t="s">
        <v>74</v>
      </c>
      <c r="L977" s="1" t="s">
        <v>74</v>
      </c>
      <c r="M977" s="1" t="s">
        <v>74</v>
      </c>
      <c r="N977" s="1" t="s">
        <v>74</v>
      </c>
      <c r="O977" s="1" t="s">
        <v>9106</v>
      </c>
      <c r="P977" s="1" t="s">
        <v>9107</v>
      </c>
      <c r="Q977" s="1" t="s">
        <v>9108</v>
      </c>
      <c r="R977" s="1" t="s">
        <v>9109</v>
      </c>
      <c r="S977" s="1" t="s">
        <v>74</v>
      </c>
      <c r="T977" s="1" t="s">
        <v>74</v>
      </c>
      <c r="U977" s="1" t="s">
        <v>74</v>
      </c>
      <c r="V977" s="1" t="s">
        <v>74</v>
      </c>
      <c r="W977" s="1" t="s">
        <v>74</v>
      </c>
      <c r="X977" s="1" t="s">
        <v>74</v>
      </c>
      <c r="Y977" s="1" t="s">
        <v>74</v>
      </c>
      <c r="Z977" s="1" t="s">
        <v>74</v>
      </c>
      <c r="AA977" s="1" t="s">
        <v>8940</v>
      </c>
      <c r="AB977" s="1" t="s">
        <v>74</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9110</v>
      </c>
      <c r="AP977" s="1" t="s">
        <v>9111</v>
      </c>
      <c r="AQ977" s="1" t="s">
        <v>74</v>
      </c>
      <c r="AR977" s="1" t="s">
        <v>74</v>
      </c>
      <c r="AS977" s="1" t="s">
        <v>74</v>
      </c>
      <c r="AT977" s="1" t="s">
        <v>74</v>
      </c>
      <c r="AU977" s="1">
        <v>2016.0</v>
      </c>
      <c r="AV977" s="1">
        <v>27.0</v>
      </c>
      <c r="AW977" s="1" t="s">
        <v>74</v>
      </c>
      <c r="AX977" s="1" t="s">
        <v>74</v>
      </c>
      <c r="AY977" s="1" t="s">
        <v>74</v>
      </c>
      <c r="AZ977" s="1" t="s">
        <v>74</v>
      </c>
      <c r="BA977" s="1" t="s">
        <v>9112</v>
      </c>
      <c r="BB977" s="1" t="s">
        <v>74</v>
      </c>
      <c r="BC977" s="1" t="s">
        <v>74</v>
      </c>
      <c r="BD977" s="1" t="s">
        <v>74</v>
      </c>
      <c r="BE977" s="1" t="s">
        <v>74</v>
      </c>
      <c r="BF977" s="1" t="s">
        <v>74</v>
      </c>
      <c r="BG977" s="1" t="s">
        <v>74</v>
      </c>
      <c r="BH977" s="1" t="s">
        <v>74</v>
      </c>
      <c r="BI977" s="1" t="s">
        <v>74</v>
      </c>
      <c r="BJ977" s="1" t="s">
        <v>74</v>
      </c>
      <c r="BK977" s="1" t="s">
        <v>74</v>
      </c>
      <c r="BL977" s="1" t="s">
        <v>74</v>
      </c>
      <c r="BM977" s="1" t="s">
        <v>74</v>
      </c>
      <c r="BN977" s="1" t="s">
        <v>74</v>
      </c>
      <c r="BO977" s="1" t="s">
        <v>74</v>
      </c>
      <c r="BP977" s="1" t="s">
        <v>74</v>
      </c>
      <c r="BQ977" s="1" t="s">
        <v>74</v>
      </c>
      <c r="BR977" s="1" t="s">
        <v>74</v>
      </c>
      <c r="BS977" s="1" t="s">
        <v>9113</v>
      </c>
      <c r="BT977" s="1" t="str">
        <f>HYPERLINK("https%3A%2F%2Fwww.webofscience.com%2Fwos%2Fwoscc%2Ffull-record%2FWOS:000396047100438","View Full Record in Web of Science")</f>
        <v>View Full Record in Web of Science</v>
      </c>
    </row>
    <row r="978" ht="12.75" customHeight="1">
      <c r="A978" s="1" t="s">
        <v>72</v>
      </c>
      <c r="B978" s="1" t="s">
        <v>9114</v>
      </c>
      <c r="C978" s="1" t="s">
        <v>74</v>
      </c>
      <c r="D978" s="1" t="s">
        <v>74</v>
      </c>
      <c r="E978" s="1" t="s">
        <v>74</v>
      </c>
      <c r="F978" s="1" t="s">
        <v>9115</v>
      </c>
      <c r="G978" s="1" t="s">
        <v>74</v>
      </c>
      <c r="H978" s="1" t="s">
        <v>74</v>
      </c>
      <c r="I978" s="1" t="s">
        <v>9116</v>
      </c>
      <c r="J978" s="1" t="s">
        <v>6777</v>
      </c>
      <c r="K978" s="1" t="s">
        <v>74</v>
      </c>
      <c r="L978" s="1" t="s">
        <v>74</v>
      </c>
      <c r="M978" s="1" t="s">
        <v>74</v>
      </c>
      <c r="N978" s="1" t="s">
        <v>74</v>
      </c>
      <c r="O978" s="1" t="s">
        <v>74</v>
      </c>
      <c r="P978" s="1" t="s">
        <v>74</v>
      </c>
      <c r="Q978" s="1" t="s">
        <v>74</v>
      </c>
      <c r="R978" s="1" t="s">
        <v>74</v>
      </c>
      <c r="S978" s="1" t="s">
        <v>74</v>
      </c>
      <c r="T978" s="1" t="s">
        <v>74</v>
      </c>
      <c r="U978" s="1" t="s">
        <v>74</v>
      </c>
      <c r="V978" s="1" t="s">
        <v>9117</v>
      </c>
      <c r="W978" s="1" t="s">
        <v>74</v>
      </c>
      <c r="X978" s="1" t="s">
        <v>74</v>
      </c>
      <c r="Y978" s="1" t="s">
        <v>74</v>
      </c>
      <c r="Z978" s="1" t="s">
        <v>74</v>
      </c>
      <c r="AA978" s="1" t="s">
        <v>9118</v>
      </c>
      <c r="AB978" s="1" t="s">
        <v>9119</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6780</v>
      </c>
      <c r="AP978" s="1" t="s">
        <v>6781</v>
      </c>
      <c r="AQ978" s="1" t="s">
        <v>74</v>
      </c>
      <c r="AR978" s="1" t="s">
        <v>74</v>
      </c>
      <c r="AS978" s="1" t="s">
        <v>74</v>
      </c>
      <c r="AT978" s="1" t="s">
        <v>95</v>
      </c>
      <c r="AU978" s="1">
        <v>2015.0</v>
      </c>
      <c r="AV978" s="1">
        <v>47.0</v>
      </c>
      <c r="AW978" s="1">
        <v>12.0</v>
      </c>
      <c r="AX978" s="1" t="s">
        <v>74</v>
      </c>
      <c r="AY978" s="1" t="s">
        <v>74</v>
      </c>
      <c r="AZ978" s="1" t="s">
        <v>74</v>
      </c>
      <c r="BA978" s="1" t="s">
        <v>74</v>
      </c>
      <c r="BB978" s="1">
        <v>803.0</v>
      </c>
      <c r="BC978" s="1">
        <v>810.0</v>
      </c>
      <c r="BD978" s="1" t="s">
        <v>74</v>
      </c>
      <c r="BE978" s="1" t="s">
        <v>9120</v>
      </c>
      <c r="BF978" s="2" t="str">
        <f>HYPERLINK("http://dx.doi.org/10.1002/kin.20963","http://dx.doi.org/10.1002/kin.20963")</f>
        <v>http://dx.doi.org/10.1002/kin.20963</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9121</v>
      </c>
      <c r="BT978" s="1" t="str">
        <f>HYPERLINK("https%3A%2F%2Fwww.webofscience.com%2Fwos%2Fwoscc%2Ffull-record%2FWOS:000363684000006","View Full Record in Web of Science")</f>
        <v>View Full Record in Web of Science</v>
      </c>
    </row>
    <row r="979" ht="12.75" customHeight="1">
      <c r="A979" s="1" t="s">
        <v>72</v>
      </c>
      <c r="B979" s="1" t="s">
        <v>9122</v>
      </c>
      <c r="C979" s="1" t="s">
        <v>74</v>
      </c>
      <c r="D979" s="1" t="s">
        <v>74</v>
      </c>
      <c r="E979" s="1" t="s">
        <v>74</v>
      </c>
      <c r="F979" s="1" t="s">
        <v>9123</v>
      </c>
      <c r="G979" s="1" t="s">
        <v>74</v>
      </c>
      <c r="H979" s="1" t="s">
        <v>74</v>
      </c>
      <c r="I979" s="1" t="s">
        <v>9124</v>
      </c>
      <c r="J979" s="1" t="s">
        <v>2674</v>
      </c>
      <c r="K979" s="1" t="s">
        <v>74</v>
      </c>
      <c r="L979" s="1" t="s">
        <v>74</v>
      </c>
      <c r="M979" s="1" t="s">
        <v>74</v>
      </c>
      <c r="N979" s="1" t="s">
        <v>74</v>
      </c>
      <c r="O979" s="1" t="s">
        <v>74</v>
      </c>
      <c r="P979" s="1" t="s">
        <v>74</v>
      </c>
      <c r="Q979" s="1" t="s">
        <v>74</v>
      </c>
      <c r="R979" s="1" t="s">
        <v>74</v>
      </c>
      <c r="S979" s="1" t="s">
        <v>74</v>
      </c>
      <c r="T979" s="1" t="s">
        <v>74</v>
      </c>
      <c r="U979" s="1" t="s">
        <v>74</v>
      </c>
      <c r="V979" s="1" t="s">
        <v>9125</v>
      </c>
      <c r="W979" s="1" t="s">
        <v>74</v>
      </c>
      <c r="X979" s="1" t="s">
        <v>74</v>
      </c>
      <c r="Y979" s="1" t="s">
        <v>74</v>
      </c>
      <c r="Z979" s="1" t="s">
        <v>74</v>
      </c>
      <c r="AA979" s="1" t="s">
        <v>9126</v>
      </c>
      <c r="AB979" s="1" t="s">
        <v>9127</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74</v>
      </c>
      <c r="AP979" s="1" t="s">
        <v>2678</v>
      </c>
      <c r="AQ979" s="1" t="s">
        <v>74</v>
      </c>
      <c r="AR979" s="1" t="s">
        <v>74</v>
      </c>
      <c r="AS979" s="1" t="s">
        <v>74</v>
      </c>
      <c r="AT979" s="1" t="s">
        <v>95</v>
      </c>
      <c r="AU979" s="1">
        <v>2015.0</v>
      </c>
      <c r="AV979" s="1">
        <v>5.0</v>
      </c>
      <c r="AW979" s="1">
        <v>4.0</v>
      </c>
      <c r="AX979" s="1" t="s">
        <v>74</v>
      </c>
      <c r="AY979" s="1" t="s">
        <v>74</v>
      </c>
      <c r="AZ979" s="1" t="s">
        <v>74</v>
      </c>
      <c r="BA979" s="1" t="s">
        <v>74</v>
      </c>
      <c r="BB979" s="1">
        <v>1995.0</v>
      </c>
      <c r="BC979" s="1">
        <v>2006.0</v>
      </c>
      <c r="BD979" s="1" t="s">
        <v>74</v>
      </c>
      <c r="BE979" s="1" t="s">
        <v>9128</v>
      </c>
      <c r="BF979" s="2" t="str">
        <f>HYPERLINK("http://dx.doi.org/10.3390/nano5041995","http://dx.doi.org/10.3390/nano5041995")</f>
        <v>http://dx.doi.org/10.3390/nano5041995</v>
      </c>
      <c r="BG979" s="1" t="s">
        <v>74</v>
      </c>
      <c r="BH979" s="1" t="s">
        <v>74</v>
      </c>
      <c r="BI979" s="1" t="s">
        <v>74</v>
      </c>
      <c r="BJ979" s="1" t="s">
        <v>74</v>
      </c>
      <c r="BK979" s="1" t="s">
        <v>74</v>
      </c>
      <c r="BL979" s="1" t="s">
        <v>74</v>
      </c>
      <c r="BM979" s="1" t="s">
        <v>74</v>
      </c>
      <c r="BN979" s="1">
        <v>2.8347108E7</v>
      </c>
      <c r="BO979" s="1" t="s">
        <v>74</v>
      </c>
      <c r="BP979" s="1" t="s">
        <v>74</v>
      </c>
      <c r="BQ979" s="1" t="s">
        <v>74</v>
      </c>
      <c r="BR979" s="1" t="s">
        <v>74</v>
      </c>
      <c r="BS979" s="1" t="s">
        <v>9129</v>
      </c>
      <c r="BT979" s="1" t="str">
        <f>HYPERLINK("https%3A%2F%2Fwww.webofscience.com%2Fwos%2Fwoscc%2Ffull-record%2FWOS:000367615500028","View Full Record in Web of Science")</f>
        <v>View Full Record in Web of Science</v>
      </c>
    </row>
    <row r="980" ht="12.75" customHeight="1">
      <c r="A980" s="1" t="s">
        <v>72</v>
      </c>
      <c r="B980" s="1" t="s">
        <v>9130</v>
      </c>
      <c r="C980" s="1" t="s">
        <v>74</v>
      </c>
      <c r="D980" s="1" t="s">
        <v>74</v>
      </c>
      <c r="E980" s="1" t="s">
        <v>74</v>
      </c>
      <c r="F980" s="1" t="s">
        <v>9131</v>
      </c>
      <c r="G980" s="1" t="s">
        <v>74</v>
      </c>
      <c r="H980" s="1" t="s">
        <v>74</v>
      </c>
      <c r="I980" s="1" t="s">
        <v>9132</v>
      </c>
      <c r="J980" s="1" t="s">
        <v>9133</v>
      </c>
      <c r="K980" s="1" t="s">
        <v>74</v>
      </c>
      <c r="L980" s="1" t="s">
        <v>74</v>
      </c>
      <c r="M980" s="1" t="s">
        <v>74</v>
      </c>
      <c r="N980" s="1" t="s">
        <v>74</v>
      </c>
      <c r="O980" s="1" t="s">
        <v>74</v>
      </c>
      <c r="P980" s="1" t="s">
        <v>74</v>
      </c>
      <c r="Q980" s="1" t="s">
        <v>74</v>
      </c>
      <c r="R980" s="1" t="s">
        <v>74</v>
      </c>
      <c r="S980" s="1" t="s">
        <v>74</v>
      </c>
      <c r="T980" s="1" t="s">
        <v>74</v>
      </c>
      <c r="U980" s="1" t="s">
        <v>74</v>
      </c>
      <c r="V980" s="1" t="s">
        <v>9134</v>
      </c>
      <c r="W980" s="1" t="s">
        <v>74</v>
      </c>
      <c r="X980" s="1" t="s">
        <v>74</v>
      </c>
      <c r="Y980" s="1" t="s">
        <v>74</v>
      </c>
      <c r="Z980" s="1" t="s">
        <v>74</v>
      </c>
      <c r="AA980" s="1" t="s">
        <v>9135</v>
      </c>
      <c r="AB980" s="1" t="s">
        <v>9136</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9137</v>
      </c>
      <c r="AP980" s="1" t="s">
        <v>9138</v>
      </c>
      <c r="AQ980" s="1" t="s">
        <v>74</v>
      </c>
      <c r="AR980" s="1" t="s">
        <v>74</v>
      </c>
      <c r="AS980" s="1" t="s">
        <v>74</v>
      </c>
      <c r="AT980" s="1" t="s">
        <v>3129</v>
      </c>
      <c r="AU980" s="1">
        <v>2015.0</v>
      </c>
      <c r="AV980" s="1">
        <v>50.0</v>
      </c>
      <c r="AW980" s="1">
        <v>10.0</v>
      </c>
      <c r="AX980" s="1" t="s">
        <v>74</v>
      </c>
      <c r="AY980" s="1" t="s">
        <v>74</v>
      </c>
      <c r="AZ980" s="1" t="s">
        <v>74</v>
      </c>
      <c r="BA980" s="1" t="s">
        <v>74</v>
      </c>
      <c r="BB980" s="1">
        <v>1523.0</v>
      </c>
      <c r="BC980" s="1">
        <v>1531.0</v>
      </c>
      <c r="BD980" s="1" t="s">
        <v>74</v>
      </c>
      <c r="BE980" s="1" t="s">
        <v>9139</v>
      </c>
      <c r="BF980" s="2" t="str">
        <f>HYPERLINK("http://dx.doi.org/10.1080/01496395.2014.978943","http://dx.doi.org/10.1080/01496395.2014.978943")</f>
        <v>http://dx.doi.org/10.1080/01496395.2014.978943</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9140</v>
      </c>
      <c r="BT980" s="1" t="str">
        <f>HYPERLINK("https%3A%2F%2Fwww.webofscience.com%2Fwos%2Fwoscc%2Ffull-record%2FWOS:000355660000010","View Full Record in Web of Science")</f>
        <v>View Full Record in Web of Science</v>
      </c>
    </row>
    <row r="981" ht="12.75" customHeight="1">
      <c r="A981" s="1" t="s">
        <v>72</v>
      </c>
      <c r="B981" s="1" t="s">
        <v>9141</v>
      </c>
      <c r="C981" s="1" t="s">
        <v>74</v>
      </c>
      <c r="D981" s="1" t="s">
        <v>74</v>
      </c>
      <c r="E981" s="1" t="s">
        <v>74</v>
      </c>
      <c r="F981" s="1" t="s">
        <v>9142</v>
      </c>
      <c r="G981" s="1" t="s">
        <v>74</v>
      </c>
      <c r="H981" s="1" t="s">
        <v>74</v>
      </c>
      <c r="I981" s="1" t="s">
        <v>9143</v>
      </c>
      <c r="J981" s="1" t="s">
        <v>1440</v>
      </c>
      <c r="K981" s="1" t="s">
        <v>74</v>
      </c>
      <c r="L981" s="1" t="s">
        <v>74</v>
      </c>
      <c r="M981" s="1" t="s">
        <v>74</v>
      </c>
      <c r="N981" s="1" t="s">
        <v>74</v>
      </c>
      <c r="O981" s="1" t="s">
        <v>74</v>
      </c>
      <c r="P981" s="1" t="s">
        <v>74</v>
      </c>
      <c r="Q981" s="1" t="s">
        <v>74</v>
      </c>
      <c r="R981" s="1" t="s">
        <v>74</v>
      </c>
      <c r="S981" s="1" t="s">
        <v>74</v>
      </c>
      <c r="T981" s="1" t="s">
        <v>74</v>
      </c>
      <c r="U981" s="1" t="s">
        <v>74</v>
      </c>
      <c r="V981" s="1" t="s">
        <v>9144</v>
      </c>
      <c r="W981" s="1" t="s">
        <v>74</v>
      </c>
      <c r="X981" s="1" t="s">
        <v>74</v>
      </c>
      <c r="Y981" s="1" t="s">
        <v>74</v>
      </c>
      <c r="Z981" s="1" t="s">
        <v>74</v>
      </c>
      <c r="AA981" s="1" t="s">
        <v>74</v>
      </c>
      <c r="AB981" s="1" t="s">
        <v>74</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1443</v>
      </c>
      <c r="AP981" s="1" t="s">
        <v>1444</v>
      </c>
      <c r="AQ981" s="1" t="s">
        <v>74</v>
      </c>
      <c r="AR981" s="1" t="s">
        <v>74</v>
      </c>
      <c r="AS981" s="1" t="s">
        <v>74</v>
      </c>
      <c r="AT981" s="1" t="s">
        <v>164</v>
      </c>
      <c r="AU981" s="1">
        <v>2015.0</v>
      </c>
      <c r="AV981" s="1">
        <v>143.0</v>
      </c>
      <c r="AW981" s="1">
        <v>7.0</v>
      </c>
      <c r="AX981" s="1" t="s">
        <v>74</v>
      </c>
      <c r="AY981" s="1" t="s">
        <v>74</v>
      </c>
      <c r="AZ981" s="1" t="s">
        <v>74</v>
      </c>
      <c r="BA981" s="1" t="s">
        <v>74</v>
      </c>
      <c r="BB981" s="1">
        <v>870.0</v>
      </c>
      <c r="BC981" s="1">
        <v>873.0</v>
      </c>
      <c r="BD981" s="1" t="s">
        <v>74</v>
      </c>
      <c r="BE981" s="1" t="s">
        <v>9145</v>
      </c>
      <c r="BF981" s="2" t="str">
        <f>HYPERLINK("http://dx.doi.org/10.4067/S0034-98872015000700007","http://dx.doi.org/10.4067/S0034-98872015000700007")</f>
        <v>http://dx.doi.org/10.4067/S0034-98872015000700007</v>
      </c>
      <c r="BG981" s="1" t="s">
        <v>74</v>
      </c>
      <c r="BH981" s="1" t="s">
        <v>74</v>
      </c>
      <c r="BI981" s="1" t="s">
        <v>74</v>
      </c>
      <c r="BJ981" s="1" t="s">
        <v>74</v>
      </c>
      <c r="BK981" s="1" t="s">
        <v>74</v>
      </c>
      <c r="BL981" s="1" t="s">
        <v>74</v>
      </c>
      <c r="BM981" s="1" t="s">
        <v>74</v>
      </c>
      <c r="BN981" s="1">
        <v>2.6361023E7</v>
      </c>
      <c r="BO981" s="1" t="s">
        <v>74</v>
      </c>
      <c r="BP981" s="1" t="s">
        <v>74</v>
      </c>
      <c r="BQ981" s="1" t="s">
        <v>74</v>
      </c>
      <c r="BR981" s="1" t="s">
        <v>74</v>
      </c>
      <c r="BS981" s="1" t="s">
        <v>9146</v>
      </c>
      <c r="BT981" s="1" t="str">
        <f>HYPERLINK("https%3A%2F%2Fwww.webofscience.com%2Fwos%2Fwoscc%2Ffull-record%2FWOS:000360321800007","View Full Record in Web of Science")</f>
        <v>View Full Record in Web of Science</v>
      </c>
    </row>
    <row r="982" ht="12.75" customHeight="1">
      <c r="A982" s="1" t="s">
        <v>72</v>
      </c>
      <c r="B982" s="1" t="s">
        <v>9147</v>
      </c>
      <c r="C982" s="1" t="s">
        <v>74</v>
      </c>
      <c r="D982" s="1" t="s">
        <v>74</v>
      </c>
      <c r="E982" s="1" t="s">
        <v>74</v>
      </c>
      <c r="F982" s="1" t="s">
        <v>9148</v>
      </c>
      <c r="G982" s="1" t="s">
        <v>74</v>
      </c>
      <c r="H982" s="1" t="s">
        <v>74</v>
      </c>
      <c r="I982" s="1" t="s">
        <v>9149</v>
      </c>
      <c r="J982" s="1" t="s">
        <v>6291</v>
      </c>
      <c r="K982" s="1" t="s">
        <v>74</v>
      </c>
      <c r="L982" s="1" t="s">
        <v>74</v>
      </c>
      <c r="M982" s="1" t="s">
        <v>74</v>
      </c>
      <c r="N982" s="1" t="s">
        <v>74</v>
      </c>
      <c r="O982" s="1" t="s">
        <v>74</v>
      </c>
      <c r="P982" s="1" t="s">
        <v>74</v>
      </c>
      <c r="Q982" s="1" t="s">
        <v>74</v>
      </c>
      <c r="R982" s="1" t="s">
        <v>74</v>
      </c>
      <c r="S982" s="1" t="s">
        <v>74</v>
      </c>
      <c r="T982" s="1" t="s">
        <v>74</v>
      </c>
      <c r="U982" s="1" t="s">
        <v>74</v>
      </c>
      <c r="V982" s="1" t="s">
        <v>9150</v>
      </c>
      <c r="W982" s="1" t="s">
        <v>74</v>
      </c>
      <c r="X982" s="1" t="s">
        <v>74</v>
      </c>
      <c r="Y982" s="1" t="s">
        <v>74</v>
      </c>
      <c r="Z982" s="1" t="s">
        <v>74</v>
      </c>
      <c r="AA982" s="1" t="s">
        <v>9151</v>
      </c>
      <c r="AB982" s="1" t="s">
        <v>9152</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6295</v>
      </c>
      <c r="AP982" s="1" t="s">
        <v>6296</v>
      </c>
      <c r="AQ982" s="1" t="s">
        <v>74</v>
      </c>
      <c r="AR982" s="1" t="s">
        <v>74</v>
      </c>
      <c r="AS982" s="1" t="s">
        <v>74</v>
      </c>
      <c r="AT982" s="1" t="s">
        <v>9153</v>
      </c>
      <c r="AU982" s="1">
        <v>2015.0</v>
      </c>
      <c r="AV982" s="1">
        <v>17.0</v>
      </c>
      <c r="AW982" s="1">
        <v>5.0</v>
      </c>
      <c r="AX982" s="1" t="s">
        <v>74</v>
      </c>
      <c r="AY982" s="1" t="s">
        <v>74</v>
      </c>
      <c r="AZ982" s="1" t="s">
        <v>74</v>
      </c>
      <c r="BA982" s="1" t="s">
        <v>74</v>
      </c>
      <c r="BB982" s="1" t="s">
        <v>74</v>
      </c>
      <c r="BC982" s="1" t="s">
        <v>74</v>
      </c>
      <c r="BD982" s="1">
        <v>212.0</v>
      </c>
      <c r="BE982" s="1" t="s">
        <v>9154</v>
      </c>
      <c r="BF982" s="2" t="str">
        <f>HYPERLINK("http://dx.doi.org/10.1007/s11051-015-3016-3","http://dx.doi.org/10.1007/s11051-015-3016-3")</f>
        <v>http://dx.doi.org/10.1007/s11051-015-3016-3</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9155</v>
      </c>
      <c r="BT982" s="1" t="str">
        <f>HYPERLINK("https%3A%2F%2Fwww.webofscience.com%2Fwos%2Fwoscc%2Ffull-record%2FWOS:000355690200001","View Full Record in Web of Science")</f>
        <v>View Full Record in Web of Science</v>
      </c>
    </row>
    <row r="983" ht="12.75" customHeight="1">
      <c r="A983" s="1" t="s">
        <v>72</v>
      </c>
      <c r="B983" s="1" t="s">
        <v>9156</v>
      </c>
      <c r="C983" s="1" t="s">
        <v>74</v>
      </c>
      <c r="D983" s="1" t="s">
        <v>74</v>
      </c>
      <c r="E983" s="1" t="s">
        <v>74</v>
      </c>
      <c r="F983" s="1" t="s">
        <v>9157</v>
      </c>
      <c r="G983" s="1" t="s">
        <v>74</v>
      </c>
      <c r="H983" s="1" t="s">
        <v>74</v>
      </c>
      <c r="I983" s="1" t="s">
        <v>9158</v>
      </c>
      <c r="J983" s="1" t="s">
        <v>194</v>
      </c>
      <c r="K983" s="1" t="s">
        <v>74</v>
      </c>
      <c r="L983" s="1" t="s">
        <v>74</v>
      </c>
      <c r="M983" s="1" t="s">
        <v>74</v>
      </c>
      <c r="N983" s="1" t="s">
        <v>74</v>
      </c>
      <c r="O983" s="1" t="s">
        <v>74</v>
      </c>
      <c r="P983" s="1" t="s">
        <v>74</v>
      </c>
      <c r="Q983" s="1" t="s">
        <v>74</v>
      </c>
      <c r="R983" s="1" t="s">
        <v>74</v>
      </c>
      <c r="S983" s="1" t="s">
        <v>74</v>
      </c>
      <c r="T983" s="1" t="s">
        <v>74</v>
      </c>
      <c r="U983" s="1" t="s">
        <v>74</v>
      </c>
      <c r="V983" s="1" t="s">
        <v>9159</v>
      </c>
      <c r="W983" s="1" t="s">
        <v>74</v>
      </c>
      <c r="X983" s="1" t="s">
        <v>74</v>
      </c>
      <c r="Y983" s="1" t="s">
        <v>74</v>
      </c>
      <c r="Z983" s="1" t="s">
        <v>74</v>
      </c>
      <c r="AA983" s="1" t="s">
        <v>9160</v>
      </c>
      <c r="AB983" s="1" t="s">
        <v>9161</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198</v>
      </c>
      <c r="AP983" s="1" t="s">
        <v>199</v>
      </c>
      <c r="AQ983" s="1" t="s">
        <v>74</v>
      </c>
      <c r="AR983" s="1" t="s">
        <v>74</v>
      </c>
      <c r="AS983" s="1" t="s">
        <v>74</v>
      </c>
      <c r="AT983" s="1" t="s">
        <v>9162</v>
      </c>
      <c r="AU983" s="1">
        <v>2015.0</v>
      </c>
      <c r="AV983" s="1">
        <v>54.0</v>
      </c>
      <c r="AW983" s="1">
        <v>4.0</v>
      </c>
      <c r="AX983" s="1" t="s">
        <v>74</v>
      </c>
      <c r="AY983" s="1" t="s">
        <v>74</v>
      </c>
      <c r="AZ983" s="1" t="s">
        <v>74</v>
      </c>
      <c r="BA983" s="1" t="s">
        <v>74</v>
      </c>
      <c r="BB983" s="1">
        <v>1223.0</v>
      </c>
      <c r="BC983" s="1">
        <v>1231.0</v>
      </c>
      <c r="BD983" s="1" t="s">
        <v>74</v>
      </c>
      <c r="BE983" s="1" t="s">
        <v>9163</v>
      </c>
      <c r="BF983" s="2" t="str">
        <f>HYPERLINK("http://dx.doi.org/10.1021/ic501416u","http://dx.doi.org/10.1021/ic501416u")</f>
        <v>http://dx.doi.org/10.1021/ic501416u</v>
      </c>
      <c r="BG983" s="1" t="s">
        <v>74</v>
      </c>
      <c r="BH983" s="1" t="s">
        <v>74</v>
      </c>
      <c r="BI983" s="1" t="s">
        <v>74</v>
      </c>
      <c r="BJ983" s="1" t="s">
        <v>74</v>
      </c>
      <c r="BK983" s="1" t="s">
        <v>74</v>
      </c>
      <c r="BL983" s="1" t="s">
        <v>74</v>
      </c>
      <c r="BM983" s="1" t="s">
        <v>74</v>
      </c>
      <c r="BN983" s="1">
        <v>2.5634296E7</v>
      </c>
      <c r="BO983" s="1" t="s">
        <v>74</v>
      </c>
      <c r="BP983" s="1" t="s">
        <v>74</v>
      </c>
      <c r="BQ983" s="1" t="s">
        <v>74</v>
      </c>
      <c r="BR983" s="1" t="s">
        <v>74</v>
      </c>
      <c r="BS983" s="1" t="s">
        <v>9164</v>
      </c>
      <c r="BT983" s="1" t="str">
        <f>HYPERLINK("https%3A%2F%2Fwww.webofscience.com%2Fwos%2Fwoscc%2Ffull-record%2FWOS:000349656600013","View Full Record in Web of Science")</f>
        <v>View Full Record in Web of Science</v>
      </c>
    </row>
    <row r="984" ht="12.75" customHeight="1">
      <c r="A984" s="1" t="s">
        <v>72</v>
      </c>
      <c r="B984" s="1" t="s">
        <v>9165</v>
      </c>
      <c r="C984" s="1" t="s">
        <v>74</v>
      </c>
      <c r="D984" s="1" t="s">
        <v>74</v>
      </c>
      <c r="E984" s="1" t="s">
        <v>74</v>
      </c>
      <c r="F984" s="1" t="s">
        <v>9166</v>
      </c>
      <c r="G984" s="1" t="s">
        <v>74</v>
      </c>
      <c r="H984" s="1" t="s">
        <v>74</v>
      </c>
      <c r="I984" s="1" t="s">
        <v>9167</v>
      </c>
      <c r="J984" s="1" t="s">
        <v>326</v>
      </c>
      <c r="K984" s="1" t="s">
        <v>74</v>
      </c>
      <c r="L984" s="1" t="s">
        <v>74</v>
      </c>
      <c r="M984" s="1" t="s">
        <v>74</v>
      </c>
      <c r="N984" s="1" t="s">
        <v>74</v>
      </c>
      <c r="O984" s="1" t="s">
        <v>74</v>
      </c>
      <c r="P984" s="1" t="s">
        <v>74</v>
      </c>
      <c r="Q984" s="1" t="s">
        <v>74</v>
      </c>
      <c r="R984" s="1" t="s">
        <v>74</v>
      </c>
      <c r="S984" s="1" t="s">
        <v>74</v>
      </c>
      <c r="T984" s="1" t="s">
        <v>74</v>
      </c>
      <c r="U984" s="1" t="s">
        <v>74</v>
      </c>
      <c r="V984" s="1" t="s">
        <v>9168</v>
      </c>
      <c r="W984" s="1" t="s">
        <v>74</v>
      </c>
      <c r="X984" s="1" t="s">
        <v>74</v>
      </c>
      <c r="Y984" s="1" t="s">
        <v>74</v>
      </c>
      <c r="Z984" s="1" t="s">
        <v>74</v>
      </c>
      <c r="AA984" s="1" t="s">
        <v>9169</v>
      </c>
      <c r="AB984" s="1" t="s">
        <v>9170</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330</v>
      </c>
      <c r="AP984" s="1" t="s">
        <v>331</v>
      </c>
      <c r="AQ984" s="1" t="s">
        <v>74</v>
      </c>
      <c r="AR984" s="1" t="s">
        <v>74</v>
      </c>
      <c r="AS984" s="1" t="s">
        <v>74</v>
      </c>
      <c r="AT984" s="1" t="s">
        <v>332</v>
      </c>
      <c r="AU984" s="1">
        <v>2014.0</v>
      </c>
      <c r="AV984" s="1">
        <v>140.0</v>
      </c>
      <c r="AW984" s="1" t="s">
        <v>74</v>
      </c>
      <c r="AX984" s="1" t="s">
        <v>74</v>
      </c>
      <c r="AY984" s="1" t="s">
        <v>74</v>
      </c>
      <c r="AZ984" s="1" t="s">
        <v>297</v>
      </c>
      <c r="BA984" s="1" t="s">
        <v>74</v>
      </c>
      <c r="BB984" s="1">
        <v>482.0</v>
      </c>
      <c r="BC984" s="1">
        <v>488.0</v>
      </c>
      <c r="BD984" s="1" t="s">
        <v>74</v>
      </c>
      <c r="BE984" s="1" t="s">
        <v>9171</v>
      </c>
      <c r="BF984" s="2" t="str">
        <f>HYPERLINK("http://dx.doi.org/10.1016/j.electacta.2014.04.098","http://dx.doi.org/10.1016/j.electacta.2014.04.098")</f>
        <v>http://dx.doi.org/10.1016/j.electacta.2014.04.098</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9172</v>
      </c>
      <c r="BT984" s="1" t="str">
        <f>HYPERLINK("https%3A%2F%2Fwww.webofscience.com%2Fwos%2Fwoscc%2Ffull-record%2FWOS:000342528600062","View Full Record in Web of Science")</f>
        <v>View Full Record in Web of Science</v>
      </c>
    </row>
    <row r="985" ht="12.75" customHeight="1">
      <c r="A985" s="1" t="s">
        <v>346</v>
      </c>
      <c r="B985" s="1" t="s">
        <v>7065</v>
      </c>
      <c r="C985" s="1" t="s">
        <v>74</v>
      </c>
      <c r="D985" s="1" t="s">
        <v>74</v>
      </c>
      <c r="E985" s="1" t="s">
        <v>348</v>
      </c>
      <c r="F985" s="1" t="s">
        <v>7066</v>
      </c>
      <c r="G985" s="1" t="s">
        <v>74</v>
      </c>
      <c r="H985" s="1" t="s">
        <v>74</v>
      </c>
      <c r="I985" s="1" t="s">
        <v>9173</v>
      </c>
      <c r="J985" s="1" t="s">
        <v>9174</v>
      </c>
      <c r="K985" s="1" t="s">
        <v>9175</v>
      </c>
      <c r="L985" s="1" t="s">
        <v>74</v>
      </c>
      <c r="M985" s="1" t="s">
        <v>74</v>
      </c>
      <c r="N985" s="1" t="s">
        <v>74</v>
      </c>
      <c r="O985" s="1" t="s">
        <v>9176</v>
      </c>
      <c r="P985" s="1" t="s">
        <v>9177</v>
      </c>
      <c r="Q985" s="1" t="s">
        <v>9178</v>
      </c>
      <c r="R985" s="1" t="s">
        <v>9179</v>
      </c>
      <c r="S985" s="1" t="s">
        <v>74</v>
      </c>
      <c r="T985" s="1" t="s">
        <v>74</v>
      </c>
      <c r="U985" s="1" t="s">
        <v>74</v>
      </c>
      <c r="V985" s="1" t="s">
        <v>9180</v>
      </c>
      <c r="W985" s="1" t="s">
        <v>74</v>
      </c>
      <c r="X985" s="1" t="s">
        <v>74</v>
      </c>
      <c r="Y985" s="1" t="s">
        <v>74</v>
      </c>
      <c r="Z985" s="1" t="s">
        <v>74</v>
      </c>
      <c r="AA985" s="1" t="s">
        <v>9181</v>
      </c>
      <c r="AB985" s="1" t="s">
        <v>3450</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9182</v>
      </c>
      <c r="AP985" s="1" t="s">
        <v>74</v>
      </c>
      <c r="AQ985" s="1" t="s">
        <v>9183</v>
      </c>
      <c r="AR985" s="1" t="s">
        <v>74</v>
      </c>
      <c r="AS985" s="1" t="s">
        <v>74</v>
      </c>
      <c r="AT985" s="1" t="s">
        <v>74</v>
      </c>
      <c r="AU985" s="1">
        <v>2013.0</v>
      </c>
      <c r="AV985" s="1" t="s">
        <v>74</v>
      </c>
      <c r="AW985" s="1" t="s">
        <v>74</v>
      </c>
      <c r="AX985" s="1" t="s">
        <v>74</v>
      </c>
      <c r="AY985" s="1" t="s">
        <v>74</v>
      </c>
      <c r="AZ985" s="1" t="s">
        <v>74</v>
      </c>
      <c r="BA985" s="1" t="s">
        <v>74</v>
      </c>
      <c r="BB985" s="1">
        <v>1138.0</v>
      </c>
      <c r="BC985" s="1">
        <v>1143.0</v>
      </c>
      <c r="BD985" s="1" t="s">
        <v>74</v>
      </c>
      <c r="BE985" s="1" t="s">
        <v>74</v>
      </c>
      <c r="BF985" s="1" t="s">
        <v>74</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9184</v>
      </c>
      <c r="BT985" s="1" t="str">
        <f>HYPERLINK("https%3A%2F%2Fwww.webofscience.com%2Fwos%2Fwoscc%2Ffull-record%2FWOS:000324335200200","View Full Record in Web of Science")</f>
        <v>View Full Record in Web of Science</v>
      </c>
    </row>
    <row r="986" ht="12.75" customHeight="1">
      <c r="A986" s="1" t="s">
        <v>72</v>
      </c>
      <c r="B986" s="1" t="s">
        <v>9185</v>
      </c>
      <c r="C986" s="1" t="s">
        <v>74</v>
      </c>
      <c r="D986" s="1" t="s">
        <v>74</v>
      </c>
      <c r="E986" s="1" t="s">
        <v>74</v>
      </c>
      <c r="F986" s="1" t="s">
        <v>9186</v>
      </c>
      <c r="G986" s="1" t="s">
        <v>74</v>
      </c>
      <c r="H986" s="1" t="s">
        <v>74</v>
      </c>
      <c r="I986" s="1" t="s">
        <v>9187</v>
      </c>
      <c r="J986" s="1" t="s">
        <v>1793</v>
      </c>
      <c r="K986" s="1" t="s">
        <v>74</v>
      </c>
      <c r="L986" s="1" t="s">
        <v>74</v>
      </c>
      <c r="M986" s="1" t="s">
        <v>74</v>
      </c>
      <c r="N986" s="1" t="s">
        <v>74</v>
      </c>
      <c r="O986" s="1" t="s">
        <v>74</v>
      </c>
      <c r="P986" s="1" t="s">
        <v>74</v>
      </c>
      <c r="Q986" s="1" t="s">
        <v>74</v>
      </c>
      <c r="R986" s="1" t="s">
        <v>74</v>
      </c>
      <c r="S986" s="1" t="s">
        <v>74</v>
      </c>
      <c r="T986" s="1" t="s">
        <v>74</v>
      </c>
      <c r="U986" s="1" t="s">
        <v>74</v>
      </c>
      <c r="V986" s="1" t="s">
        <v>9188</v>
      </c>
      <c r="W986" s="1" t="s">
        <v>74</v>
      </c>
      <c r="X986" s="1" t="s">
        <v>74</v>
      </c>
      <c r="Y986" s="1" t="s">
        <v>74</v>
      </c>
      <c r="Z986" s="1" t="s">
        <v>74</v>
      </c>
      <c r="AA986" s="1" t="s">
        <v>5437</v>
      </c>
      <c r="AB986" s="1" t="s">
        <v>9189</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1797</v>
      </c>
      <c r="AP986" s="1" t="s">
        <v>1798</v>
      </c>
      <c r="AQ986" s="1" t="s">
        <v>74</v>
      </c>
      <c r="AR986" s="1" t="s">
        <v>74</v>
      </c>
      <c r="AS986" s="1" t="s">
        <v>74</v>
      </c>
      <c r="AT986" s="1" t="s">
        <v>74</v>
      </c>
      <c r="AU986" s="1">
        <v>2013.0</v>
      </c>
      <c r="AV986" s="1">
        <v>42.0</v>
      </c>
      <c r="AW986" s="1">
        <v>32.0</v>
      </c>
      <c r="AX986" s="1" t="s">
        <v>74</v>
      </c>
      <c r="AY986" s="1" t="s">
        <v>74</v>
      </c>
      <c r="AZ986" s="1" t="s">
        <v>74</v>
      </c>
      <c r="BA986" s="1" t="s">
        <v>74</v>
      </c>
      <c r="BB986" s="1">
        <v>11426.0</v>
      </c>
      <c r="BC986" s="1">
        <v>11435.0</v>
      </c>
      <c r="BD986" s="1" t="s">
        <v>74</v>
      </c>
      <c r="BE986" s="1" t="s">
        <v>9190</v>
      </c>
      <c r="BF986" s="2" t="str">
        <f>HYPERLINK("http://dx.doi.org/10.1039/c3dt50971k","http://dx.doi.org/10.1039/c3dt50971k")</f>
        <v>http://dx.doi.org/10.1039/c3dt50971k</v>
      </c>
      <c r="BG986" s="1" t="s">
        <v>74</v>
      </c>
      <c r="BH986" s="1" t="s">
        <v>74</v>
      </c>
      <c r="BI986" s="1" t="s">
        <v>74</v>
      </c>
      <c r="BJ986" s="1" t="s">
        <v>74</v>
      </c>
      <c r="BK986" s="1" t="s">
        <v>74</v>
      </c>
      <c r="BL986" s="1" t="s">
        <v>74</v>
      </c>
      <c r="BM986" s="1" t="s">
        <v>74</v>
      </c>
      <c r="BN986" s="1">
        <v>2.3824074E7</v>
      </c>
      <c r="BO986" s="1" t="s">
        <v>74</v>
      </c>
      <c r="BP986" s="1" t="s">
        <v>74</v>
      </c>
      <c r="BQ986" s="1" t="s">
        <v>74</v>
      </c>
      <c r="BR986" s="1" t="s">
        <v>74</v>
      </c>
      <c r="BS986" s="1" t="s">
        <v>9191</v>
      </c>
      <c r="BT986" s="1" t="str">
        <f>HYPERLINK("https%3A%2F%2Fwww.webofscience.com%2Fwos%2Fwoscc%2Ffull-record%2FWOS:000322121200012","View Full Record in Web of Science")</f>
        <v>View Full Record in Web of Science</v>
      </c>
    </row>
    <row r="987" ht="12.75" customHeight="1">
      <c r="A987" s="1" t="s">
        <v>72</v>
      </c>
      <c r="B987" s="1" t="s">
        <v>9192</v>
      </c>
      <c r="C987" s="1" t="s">
        <v>74</v>
      </c>
      <c r="D987" s="1" t="s">
        <v>74</v>
      </c>
      <c r="E987" s="1" t="s">
        <v>74</v>
      </c>
      <c r="F987" s="1" t="s">
        <v>9193</v>
      </c>
      <c r="G987" s="1" t="s">
        <v>74</v>
      </c>
      <c r="H987" s="1" t="s">
        <v>74</v>
      </c>
      <c r="I987" s="1" t="s">
        <v>9194</v>
      </c>
      <c r="J987" s="1" t="s">
        <v>9195</v>
      </c>
      <c r="K987" s="1" t="s">
        <v>74</v>
      </c>
      <c r="L987" s="1" t="s">
        <v>74</v>
      </c>
      <c r="M987" s="1" t="s">
        <v>74</v>
      </c>
      <c r="N987" s="1" t="s">
        <v>74</v>
      </c>
      <c r="O987" s="1" t="s">
        <v>74</v>
      </c>
      <c r="P987" s="1" t="s">
        <v>74</v>
      </c>
      <c r="Q987" s="1" t="s">
        <v>74</v>
      </c>
      <c r="R987" s="1" t="s">
        <v>74</v>
      </c>
      <c r="S987" s="1" t="s">
        <v>74</v>
      </c>
      <c r="T987" s="1" t="s">
        <v>74</v>
      </c>
      <c r="U987" s="1" t="s">
        <v>74</v>
      </c>
      <c r="V987" s="1" t="s">
        <v>9196</v>
      </c>
      <c r="W987" s="1" t="s">
        <v>74</v>
      </c>
      <c r="X987" s="1" t="s">
        <v>74</v>
      </c>
      <c r="Y987" s="1" t="s">
        <v>74</v>
      </c>
      <c r="Z987" s="1" t="s">
        <v>74</v>
      </c>
      <c r="AA987" s="1" t="s">
        <v>9197</v>
      </c>
      <c r="AB987" s="1" t="s">
        <v>9198</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9199</v>
      </c>
      <c r="AP987" s="1" t="s">
        <v>9200</v>
      </c>
      <c r="AQ987" s="1" t="s">
        <v>74</v>
      </c>
      <c r="AR987" s="1" t="s">
        <v>74</v>
      </c>
      <c r="AS987" s="1" t="s">
        <v>74</v>
      </c>
      <c r="AT987" s="1" t="s">
        <v>74</v>
      </c>
      <c r="AU987" s="1">
        <v>2013.0</v>
      </c>
      <c r="AV987" s="1">
        <v>2013.0</v>
      </c>
      <c r="AW987" s="1" t="s">
        <v>74</v>
      </c>
      <c r="AX987" s="1" t="s">
        <v>74</v>
      </c>
      <c r="AY987" s="1" t="s">
        <v>74</v>
      </c>
      <c r="AZ987" s="1" t="s">
        <v>74</v>
      </c>
      <c r="BA987" s="1" t="s">
        <v>74</v>
      </c>
      <c r="BB987" s="1" t="s">
        <v>74</v>
      </c>
      <c r="BC987" s="1" t="s">
        <v>74</v>
      </c>
      <c r="BD987" s="1">
        <v>563756.0</v>
      </c>
      <c r="BE987" s="1" t="s">
        <v>9201</v>
      </c>
      <c r="BF987" s="2" t="str">
        <f>HYPERLINK("http://dx.doi.org/10.1155/2013/563756","http://dx.doi.org/10.1155/2013/563756")</f>
        <v>http://dx.doi.org/10.1155/2013/563756</v>
      </c>
      <c r="BG987" s="1" t="s">
        <v>74</v>
      </c>
      <c r="BH987" s="1" t="s">
        <v>74</v>
      </c>
      <c r="BI987" s="1" t="s">
        <v>74</v>
      </c>
      <c r="BJ987" s="1" t="s">
        <v>74</v>
      </c>
      <c r="BK987" s="1" t="s">
        <v>74</v>
      </c>
      <c r="BL987" s="1" t="s">
        <v>74</v>
      </c>
      <c r="BM987" s="1" t="s">
        <v>74</v>
      </c>
      <c r="BN987" s="1">
        <v>2.399142E7</v>
      </c>
      <c r="BO987" s="1" t="s">
        <v>74</v>
      </c>
      <c r="BP987" s="1" t="s">
        <v>74</v>
      </c>
      <c r="BQ987" s="1" t="s">
        <v>74</v>
      </c>
      <c r="BR987" s="1" t="s">
        <v>74</v>
      </c>
      <c r="BS987" s="1" t="s">
        <v>9202</v>
      </c>
      <c r="BT987" s="1" t="str">
        <f>HYPERLINK("https%3A%2F%2Fwww.webofscience.com%2Fwos%2Fwoscc%2Ffull-record%2FWOS:000323285800001","View Full Record in Web of Science")</f>
        <v>View Full Record in Web of Science</v>
      </c>
    </row>
    <row r="988" ht="12.75" customHeight="1">
      <c r="A988" s="1" t="s">
        <v>72</v>
      </c>
      <c r="B988" s="1" t="s">
        <v>9203</v>
      </c>
      <c r="C988" s="1" t="s">
        <v>74</v>
      </c>
      <c r="D988" s="1" t="s">
        <v>74</v>
      </c>
      <c r="E988" s="1" t="s">
        <v>74</v>
      </c>
      <c r="F988" s="1" t="s">
        <v>9204</v>
      </c>
      <c r="G988" s="1" t="s">
        <v>74</v>
      </c>
      <c r="H988" s="1" t="s">
        <v>74</v>
      </c>
      <c r="I988" s="1" t="s">
        <v>9205</v>
      </c>
      <c r="J988" s="1" t="s">
        <v>9206</v>
      </c>
      <c r="K988" s="1" t="s">
        <v>74</v>
      </c>
      <c r="L988" s="1" t="s">
        <v>74</v>
      </c>
      <c r="M988" s="1" t="s">
        <v>74</v>
      </c>
      <c r="N988" s="1" t="s">
        <v>74</v>
      </c>
      <c r="O988" s="1" t="s">
        <v>74</v>
      </c>
      <c r="P988" s="1" t="s">
        <v>74</v>
      </c>
      <c r="Q988" s="1" t="s">
        <v>74</v>
      </c>
      <c r="R988" s="1" t="s">
        <v>74</v>
      </c>
      <c r="S988" s="1" t="s">
        <v>74</v>
      </c>
      <c r="T988" s="1" t="s">
        <v>74</v>
      </c>
      <c r="U988" s="1" t="s">
        <v>74</v>
      </c>
      <c r="V988" s="1" t="s">
        <v>9207</v>
      </c>
      <c r="W988" s="1" t="s">
        <v>74</v>
      </c>
      <c r="X988" s="1" t="s">
        <v>74</v>
      </c>
      <c r="Y988" s="1" t="s">
        <v>74</v>
      </c>
      <c r="Z988" s="1" t="s">
        <v>74</v>
      </c>
      <c r="AA988" s="1" t="s">
        <v>9208</v>
      </c>
      <c r="AB988" s="1" t="s">
        <v>74</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9209</v>
      </c>
      <c r="AP988" s="1" t="s">
        <v>74</v>
      </c>
      <c r="AQ988" s="1" t="s">
        <v>74</v>
      </c>
      <c r="AR988" s="1" t="s">
        <v>74</v>
      </c>
      <c r="AS988" s="1" t="s">
        <v>74</v>
      </c>
      <c r="AT988" s="1" t="s">
        <v>232</v>
      </c>
      <c r="AU988" s="1">
        <v>2012.0</v>
      </c>
      <c r="AV988" s="1">
        <v>64.0</v>
      </c>
      <c r="AW988" s="1">
        <v>5.0</v>
      </c>
      <c r="AX988" s="1" t="s">
        <v>74</v>
      </c>
      <c r="AY988" s="1" t="s">
        <v>74</v>
      </c>
      <c r="AZ988" s="1" t="s">
        <v>74</v>
      </c>
      <c r="BA988" s="1" t="s">
        <v>74</v>
      </c>
      <c r="BB988" s="1">
        <v>442.0</v>
      </c>
      <c r="BC988" s="1">
        <v>446.0</v>
      </c>
      <c r="BD988" s="1" t="s">
        <v>74</v>
      </c>
      <c r="BE988" s="1" t="s">
        <v>9210</v>
      </c>
      <c r="BF988" s="2" t="str">
        <f>HYPERLINK("http://dx.doi.org/10.4067/S0718-40262012000500005","http://dx.doi.org/10.4067/S0718-40262012000500005")</f>
        <v>http://dx.doi.org/10.4067/S0718-40262012000500005</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9211</v>
      </c>
      <c r="BT988" s="1" t="str">
        <f>HYPERLINK("https%3A%2F%2Fwww.webofscience.com%2Fwos%2Fwoscc%2Ffull-record%2FWOS:000308787900005","View Full Record in Web of Science")</f>
        <v>View Full Record in Web of Science</v>
      </c>
    </row>
    <row r="989" ht="12.75" customHeight="1">
      <c r="A989" s="1" t="s">
        <v>72</v>
      </c>
      <c r="B989" s="1" t="s">
        <v>9212</v>
      </c>
      <c r="C989" s="1" t="s">
        <v>74</v>
      </c>
      <c r="D989" s="1" t="s">
        <v>74</v>
      </c>
      <c r="E989" s="1" t="s">
        <v>74</v>
      </c>
      <c r="F989" s="1" t="s">
        <v>9213</v>
      </c>
      <c r="G989" s="1" t="s">
        <v>74</v>
      </c>
      <c r="H989" s="1" t="s">
        <v>74</v>
      </c>
      <c r="I989" s="1" t="s">
        <v>9214</v>
      </c>
      <c r="J989" s="1" t="s">
        <v>9215</v>
      </c>
      <c r="K989" s="1" t="s">
        <v>74</v>
      </c>
      <c r="L989" s="1" t="s">
        <v>74</v>
      </c>
      <c r="M989" s="1" t="s">
        <v>74</v>
      </c>
      <c r="N989" s="1" t="s">
        <v>74</v>
      </c>
      <c r="O989" s="1" t="s">
        <v>74</v>
      </c>
      <c r="P989" s="1" t="s">
        <v>74</v>
      </c>
      <c r="Q989" s="1" t="s">
        <v>74</v>
      </c>
      <c r="R989" s="1" t="s">
        <v>74</v>
      </c>
      <c r="S989" s="1" t="s">
        <v>74</v>
      </c>
      <c r="T989" s="1" t="s">
        <v>74</v>
      </c>
      <c r="U989" s="1" t="s">
        <v>74</v>
      </c>
      <c r="V989" s="1" t="s">
        <v>9216</v>
      </c>
      <c r="W989" s="1" t="s">
        <v>74</v>
      </c>
      <c r="X989" s="1" t="s">
        <v>74</v>
      </c>
      <c r="Y989" s="1" t="s">
        <v>74</v>
      </c>
      <c r="Z989" s="1" t="s">
        <v>74</v>
      </c>
      <c r="AA989" s="1" t="s">
        <v>9217</v>
      </c>
      <c r="AB989" s="1" t="s">
        <v>9218</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9219</v>
      </c>
      <c r="AP989" s="1" t="s">
        <v>9220</v>
      </c>
      <c r="AQ989" s="1" t="s">
        <v>74</v>
      </c>
      <c r="AR989" s="1" t="s">
        <v>74</v>
      </c>
      <c r="AS989" s="1" t="s">
        <v>74</v>
      </c>
      <c r="AT989" s="1" t="s">
        <v>74</v>
      </c>
      <c r="AU989" s="1">
        <v>2012.0</v>
      </c>
      <c r="AV989" s="1">
        <v>23.0</v>
      </c>
      <c r="AW989" s="1">
        <v>15.0</v>
      </c>
      <c r="AX989" s="1" t="s">
        <v>74</v>
      </c>
      <c r="AY989" s="1" t="s">
        <v>74</v>
      </c>
      <c r="AZ989" s="1" t="s">
        <v>74</v>
      </c>
      <c r="BA989" s="1" t="s">
        <v>74</v>
      </c>
      <c r="BB989" s="1">
        <v>3133.0</v>
      </c>
      <c r="BC989" s="1">
        <v>3150.0</v>
      </c>
      <c r="BD989" s="1" t="s">
        <v>74</v>
      </c>
      <c r="BE989" s="1" t="s">
        <v>9221</v>
      </c>
      <c r="BF989" s="2" t="str">
        <f>HYPERLINK("http://dx.doi.org/10.1080/09585192.2011.639547","http://dx.doi.org/10.1080/09585192.2011.639547")</f>
        <v>http://dx.doi.org/10.1080/09585192.2011.639547</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9222</v>
      </c>
      <c r="BT989" s="1" t="str">
        <f>HYPERLINK("https%3A%2F%2Fwww.webofscience.com%2Fwos%2Fwoscc%2Ffull-record%2FWOS:000305077800006","View Full Record in Web of Science")</f>
        <v>View Full Record in Web of Science</v>
      </c>
    </row>
    <row r="990" ht="12.75" customHeight="1">
      <c r="A990" s="1" t="s">
        <v>72</v>
      </c>
      <c r="B990" s="1" t="s">
        <v>9223</v>
      </c>
      <c r="C990" s="1" t="s">
        <v>74</v>
      </c>
      <c r="D990" s="1" t="s">
        <v>74</v>
      </c>
      <c r="E990" s="1" t="s">
        <v>74</v>
      </c>
      <c r="F990" s="1" t="s">
        <v>9224</v>
      </c>
      <c r="G990" s="1" t="s">
        <v>74</v>
      </c>
      <c r="H990" s="1" t="s">
        <v>74</v>
      </c>
      <c r="I990" s="1" t="s">
        <v>9225</v>
      </c>
      <c r="J990" s="1" t="s">
        <v>3076</v>
      </c>
      <c r="K990" s="1" t="s">
        <v>74</v>
      </c>
      <c r="L990" s="1" t="s">
        <v>74</v>
      </c>
      <c r="M990" s="1" t="s">
        <v>74</v>
      </c>
      <c r="N990" s="1" t="s">
        <v>74</v>
      </c>
      <c r="O990" s="1" t="s">
        <v>74</v>
      </c>
      <c r="P990" s="1" t="s">
        <v>74</v>
      </c>
      <c r="Q990" s="1" t="s">
        <v>74</v>
      </c>
      <c r="R990" s="1" t="s">
        <v>74</v>
      </c>
      <c r="S990" s="1" t="s">
        <v>74</v>
      </c>
      <c r="T990" s="1" t="s">
        <v>74</v>
      </c>
      <c r="U990" s="1" t="s">
        <v>74</v>
      </c>
      <c r="V990" s="1" t="s">
        <v>9226</v>
      </c>
      <c r="W990" s="1" t="s">
        <v>74</v>
      </c>
      <c r="X990" s="1" t="s">
        <v>74</v>
      </c>
      <c r="Y990" s="1" t="s">
        <v>74</v>
      </c>
      <c r="Z990" s="1" t="s">
        <v>74</v>
      </c>
      <c r="AA990" s="1" t="s">
        <v>9227</v>
      </c>
      <c r="AB990" s="1" t="s">
        <v>9228</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3083</v>
      </c>
      <c r="AP990" s="1" t="s">
        <v>74</v>
      </c>
      <c r="AQ990" s="1" t="s">
        <v>74</v>
      </c>
      <c r="AR990" s="1" t="s">
        <v>74</v>
      </c>
      <c r="AS990" s="1" t="s">
        <v>74</v>
      </c>
      <c r="AT990" s="1" t="s">
        <v>95</v>
      </c>
      <c r="AU990" s="1">
        <v>2011.0</v>
      </c>
      <c r="AV990" s="1">
        <v>57.0</v>
      </c>
      <c r="AW990" s="1">
        <v>6.0</v>
      </c>
      <c r="AX990" s="1" t="s">
        <v>74</v>
      </c>
      <c r="AY990" s="1" t="s">
        <v>74</v>
      </c>
      <c r="AZ990" s="1" t="s">
        <v>74</v>
      </c>
      <c r="BA990" s="1" t="s">
        <v>74</v>
      </c>
      <c r="BB990" s="1">
        <v>518.0</v>
      </c>
      <c r="BC990" s="1">
        <v>523.0</v>
      </c>
      <c r="BD990" s="1" t="s">
        <v>74</v>
      </c>
      <c r="BE990" s="1" t="s">
        <v>74</v>
      </c>
      <c r="BF990" s="1" t="s">
        <v>74</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9229</v>
      </c>
      <c r="BT990" s="1" t="str">
        <f>HYPERLINK("https%3A%2F%2Fwww.webofscience.com%2Fwos%2Fwoscc%2Ffull-record%2FWOS:000298267100008","View Full Record in Web of Science")</f>
        <v>View Full Record in Web of Science</v>
      </c>
    </row>
    <row r="991" ht="12.75" customHeight="1">
      <c r="A991" s="1" t="s">
        <v>72</v>
      </c>
      <c r="B991" s="1" t="s">
        <v>9230</v>
      </c>
      <c r="C991" s="1" t="s">
        <v>74</v>
      </c>
      <c r="D991" s="1" t="s">
        <v>74</v>
      </c>
      <c r="E991" s="1" t="s">
        <v>74</v>
      </c>
      <c r="F991" s="1" t="s">
        <v>9231</v>
      </c>
      <c r="G991" s="1" t="s">
        <v>74</v>
      </c>
      <c r="H991" s="1" t="s">
        <v>74</v>
      </c>
      <c r="I991" s="1" t="s">
        <v>9232</v>
      </c>
      <c r="J991" s="1" t="s">
        <v>465</v>
      </c>
      <c r="K991" s="1" t="s">
        <v>74</v>
      </c>
      <c r="L991" s="1" t="s">
        <v>74</v>
      </c>
      <c r="M991" s="1" t="s">
        <v>74</v>
      </c>
      <c r="N991" s="1" t="s">
        <v>74</v>
      </c>
      <c r="O991" s="1" t="s">
        <v>74</v>
      </c>
      <c r="P991" s="1" t="s">
        <v>74</v>
      </c>
      <c r="Q991" s="1" t="s">
        <v>74</v>
      </c>
      <c r="R991" s="1" t="s">
        <v>74</v>
      </c>
      <c r="S991" s="1" t="s">
        <v>74</v>
      </c>
      <c r="T991" s="1" t="s">
        <v>74</v>
      </c>
      <c r="U991" s="1" t="s">
        <v>74</v>
      </c>
      <c r="V991" s="1" t="s">
        <v>9233</v>
      </c>
      <c r="W991" s="1" t="s">
        <v>74</v>
      </c>
      <c r="X991" s="1" t="s">
        <v>74</v>
      </c>
      <c r="Y991" s="1" t="s">
        <v>74</v>
      </c>
      <c r="Z991" s="1" t="s">
        <v>74</v>
      </c>
      <c r="AA991" s="1" t="s">
        <v>74</v>
      </c>
      <c r="AB991" s="1" t="s">
        <v>9234</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468</v>
      </c>
      <c r="AP991" s="1" t="s">
        <v>74</v>
      </c>
      <c r="AQ991" s="1" t="s">
        <v>74</v>
      </c>
      <c r="AR991" s="1" t="s">
        <v>74</v>
      </c>
      <c r="AS991" s="1" t="s">
        <v>74</v>
      </c>
      <c r="AT991" s="1" t="s">
        <v>554</v>
      </c>
      <c r="AU991" s="1">
        <v>2011.0</v>
      </c>
      <c r="AV991" s="1">
        <v>14.0</v>
      </c>
      <c r="AW991" s="1">
        <v>6.0</v>
      </c>
      <c r="AX991" s="1" t="s">
        <v>74</v>
      </c>
      <c r="AY991" s="1" t="s">
        <v>74</v>
      </c>
      <c r="AZ991" s="1" t="s">
        <v>74</v>
      </c>
      <c r="BA991" s="1" t="s">
        <v>74</v>
      </c>
      <c r="BB991" s="1">
        <v>961.0</v>
      </c>
      <c r="BC991" s="1">
        <v>963.0</v>
      </c>
      <c r="BD991" s="1" t="s">
        <v>74</v>
      </c>
      <c r="BE991" s="1" t="s">
        <v>9235</v>
      </c>
      <c r="BF991" s="2" t="str">
        <f>HYPERLINK("http://dx.doi.org/10.1016/j.inoche.2011.03.042","http://dx.doi.org/10.1016/j.inoche.2011.03.042")</f>
        <v>http://dx.doi.org/10.1016/j.inoche.2011.03.042</v>
      </c>
      <c r="BG991" s="1" t="s">
        <v>74</v>
      </c>
      <c r="BH991" s="1" t="s">
        <v>74</v>
      </c>
      <c r="BI991" s="1" t="s">
        <v>74</v>
      </c>
      <c r="BJ991" s="1" t="s">
        <v>74</v>
      </c>
      <c r="BK991" s="1" t="s">
        <v>74</v>
      </c>
      <c r="BL991" s="1" t="s">
        <v>74</v>
      </c>
      <c r="BM991" s="1" t="s">
        <v>74</v>
      </c>
      <c r="BN991" s="1" t="s">
        <v>74</v>
      </c>
      <c r="BO991" s="1" t="s">
        <v>74</v>
      </c>
      <c r="BP991" s="1" t="s">
        <v>74</v>
      </c>
      <c r="BQ991" s="1" t="s">
        <v>74</v>
      </c>
      <c r="BR991" s="1" t="s">
        <v>74</v>
      </c>
      <c r="BS991" s="1" t="s">
        <v>9236</v>
      </c>
      <c r="BT991" s="1" t="str">
        <f>HYPERLINK("https%3A%2F%2Fwww.webofscience.com%2Fwos%2Fwoscc%2Ffull-record%2FWOS:000291835600039","View Full Record in Web of Science")</f>
        <v>View Full Record in Web of Science</v>
      </c>
    </row>
    <row r="992" ht="12.75" customHeight="1">
      <c r="A992" s="1" t="s">
        <v>72</v>
      </c>
      <c r="B992" s="1" t="s">
        <v>9237</v>
      </c>
      <c r="C992" s="1" t="s">
        <v>74</v>
      </c>
      <c r="D992" s="1" t="s">
        <v>74</v>
      </c>
      <c r="E992" s="1" t="s">
        <v>74</v>
      </c>
      <c r="F992" s="1" t="s">
        <v>9238</v>
      </c>
      <c r="G992" s="1" t="s">
        <v>74</v>
      </c>
      <c r="H992" s="1" t="s">
        <v>74</v>
      </c>
      <c r="I992" s="1" t="s">
        <v>9239</v>
      </c>
      <c r="J992" s="1" t="s">
        <v>602</v>
      </c>
      <c r="K992" s="1" t="s">
        <v>74</v>
      </c>
      <c r="L992" s="1" t="s">
        <v>74</v>
      </c>
      <c r="M992" s="1" t="s">
        <v>74</v>
      </c>
      <c r="N992" s="1" t="s">
        <v>74</v>
      </c>
      <c r="O992" s="1" t="s">
        <v>74</v>
      </c>
      <c r="P992" s="1" t="s">
        <v>74</v>
      </c>
      <c r="Q992" s="1" t="s">
        <v>74</v>
      </c>
      <c r="R992" s="1" t="s">
        <v>74</v>
      </c>
      <c r="S992" s="1" t="s">
        <v>74</v>
      </c>
      <c r="T992" s="1" t="s">
        <v>74</v>
      </c>
      <c r="U992" s="1" t="s">
        <v>74</v>
      </c>
      <c r="V992" s="1" t="s">
        <v>9240</v>
      </c>
      <c r="W992" s="1" t="s">
        <v>74</v>
      </c>
      <c r="X992" s="1" t="s">
        <v>74</v>
      </c>
      <c r="Y992" s="1" t="s">
        <v>74</v>
      </c>
      <c r="Z992" s="1" t="s">
        <v>74</v>
      </c>
      <c r="AA992" s="1" t="s">
        <v>9241</v>
      </c>
      <c r="AB992" s="1" t="s">
        <v>74</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605</v>
      </c>
      <c r="AP992" s="1" t="s">
        <v>74</v>
      </c>
      <c r="AQ992" s="1" t="s">
        <v>74</v>
      </c>
      <c r="AR992" s="1" t="s">
        <v>74</v>
      </c>
      <c r="AS992" s="1" t="s">
        <v>74</v>
      </c>
      <c r="AT992" s="1" t="s">
        <v>107</v>
      </c>
      <c r="AU992" s="1">
        <v>2011.0</v>
      </c>
      <c r="AV992" s="1">
        <v>10.0</v>
      </c>
      <c r="AW992" s="1">
        <v>3.0</v>
      </c>
      <c r="AX992" s="1" t="s">
        <v>74</v>
      </c>
      <c r="AY992" s="1" t="s">
        <v>74</v>
      </c>
      <c r="AZ992" s="1" t="s">
        <v>74</v>
      </c>
      <c r="BA992" s="1" t="s">
        <v>74</v>
      </c>
      <c r="BB992" s="1">
        <v>281.0</v>
      </c>
      <c r="BC992" s="1">
        <v>288.0</v>
      </c>
      <c r="BD992" s="1" t="s">
        <v>74</v>
      </c>
      <c r="BE992" s="1" t="s">
        <v>74</v>
      </c>
      <c r="BF992" s="1" t="s">
        <v>74</v>
      </c>
      <c r="BG992" s="1" t="s">
        <v>74</v>
      </c>
      <c r="BH992" s="1" t="s">
        <v>74</v>
      </c>
      <c r="BI992" s="1" t="s">
        <v>74</v>
      </c>
      <c r="BJ992" s="1" t="s">
        <v>74</v>
      </c>
      <c r="BK992" s="1" t="s">
        <v>74</v>
      </c>
      <c r="BL992" s="1" t="s">
        <v>74</v>
      </c>
      <c r="BM992" s="1" t="s">
        <v>74</v>
      </c>
      <c r="BN992" s="1" t="s">
        <v>74</v>
      </c>
      <c r="BO992" s="1" t="s">
        <v>74</v>
      </c>
      <c r="BP992" s="1" t="s">
        <v>74</v>
      </c>
      <c r="BQ992" s="1" t="s">
        <v>74</v>
      </c>
      <c r="BR992" s="1" t="s">
        <v>74</v>
      </c>
      <c r="BS992" s="1" t="s">
        <v>9242</v>
      </c>
      <c r="BT992" s="1" t="str">
        <f>HYPERLINK("https%3A%2F%2Fwww.webofscience.com%2Fwos%2Fwoscc%2Ffull-record%2FWOS:000291641700011","View Full Record in Web of Science")</f>
        <v>View Full Record in Web of Science</v>
      </c>
    </row>
    <row r="993" ht="12.75" customHeight="1">
      <c r="A993" s="1" t="s">
        <v>346</v>
      </c>
      <c r="B993" s="1" t="s">
        <v>9243</v>
      </c>
      <c r="C993" s="1" t="s">
        <v>74</v>
      </c>
      <c r="D993" s="1" t="s">
        <v>74</v>
      </c>
      <c r="E993" s="1" t="s">
        <v>348</v>
      </c>
      <c r="F993" s="1" t="s">
        <v>9244</v>
      </c>
      <c r="G993" s="1" t="s">
        <v>74</v>
      </c>
      <c r="H993" s="1" t="s">
        <v>74</v>
      </c>
      <c r="I993" s="1" t="s">
        <v>9245</v>
      </c>
      <c r="J993" s="1" t="s">
        <v>9246</v>
      </c>
      <c r="K993" s="1" t="s">
        <v>9247</v>
      </c>
      <c r="L993" s="1" t="s">
        <v>74</v>
      </c>
      <c r="M993" s="1" t="s">
        <v>74</v>
      </c>
      <c r="N993" s="1" t="s">
        <v>74</v>
      </c>
      <c r="O993" s="1" t="s">
        <v>9248</v>
      </c>
      <c r="P993" s="1" t="s">
        <v>9249</v>
      </c>
      <c r="Q993" s="1" t="s">
        <v>9250</v>
      </c>
      <c r="R993" s="1" t="s">
        <v>9251</v>
      </c>
      <c r="S993" s="1" t="s">
        <v>74</v>
      </c>
      <c r="T993" s="1" t="s">
        <v>74</v>
      </c>
      <c r="U993" s="1" t="s">
        <v>74</v>
      </c>
      <c r="V993" s="1" t="s">
        <v>9252</v>
      </c>
      <c r="W993" s="1" t="s">
        <v>74</v>
      </c>
      <c r="X993" s="1" t="s">
        <v>74</v>
      </c>
      <c r="Y993" s="1" t="s">
        <v>74</v>
      </c>
      <c r="Z993" s="1" t="s">
        <v>74</v>
      </c>
      <c r="AA993" s="1" t="s">
        <v>74</v>
      </c>
      <c r="AB993" s="1" t="s">
        <v>9253</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9254</v>
      </c>
      <c r="AP993" s="1" t="s">
        <v>9255</v>
      </c>
      <c r="AQ993" s="1" t="s">
        <v>9256</v>
      </c>
      <c r="AR993" s="1" t="s">
        <v>74</v>
      </c>
      <c r="AS993" s="1" t="s">
        <v>74</v>
      </c>
      <c r="AT993" s="1" t="s">
        <v>74</v>
      </c>
      <c r="AU993" s="1">
        <v>2010.0</v>
      </c>
      <c r="AV993" s="1" t="s">
        <v>74</v>
      </c>
      <c r="AW993" s="1" t="s">
        <v>74</v>
      </c>
      <c r="AX993" s="1" t="s">
        <v>74</v>
      </c>
      <c r="AY993" s="1" t="s">
        <v>74</v>
      </c>
      <c r="AZ993" s="1" t="s">
        <v>74</v>
      </c>
      <c r="BA993" s="1" t="s">
        <v>74</v>
      </c>
      <c r="BB993" s="1">
        <v>2774.0</v>
      </c>
      <c r="BC993" s="1">
        <v>2777.0</v>
      </c>
      <c r="BD993" s="1" t="s">
        <v>74</v>
      </c>
      <c r="BE993" s="1" t="s">
        <v>9257</v>
      </c>
      <c r="BF993" s="2" t="str">
        <f>HYPERLINK("http://dx.doi.org/10.1109/IEMBS.2010.5626362","http://dx.doi.org/10.1109/IEMBS.2010.5626362")</f>
        <v>http://dx.doi.org/10.1109/IEMBS.2010.5626362</v>
      </c>
      <c r="BG993" s="1" t="s">
        <v>74</v>
      </c>
      <c r="BH993" s="1" t="s">
        <v>74</v>
      </c>
      <c r="BI993" s="1" t="s">
        <v>74</v>
      </c>
      <c r="BJ993" s="1" t="s">
        <v>74</v>
      </c>
      <c r="BK993" s="1" t="s">
        <v>74</v>
      </c>
      <c r="BL993" s="1" t="s">
        <v>74</v>
      </c>
      <c r="BM993" s="1" t="s">
        <v>74</v>
      </c>
      <c r="BN993" s="1">
        <v>2.1095965E7</v>
      </c>
      <c r="BO993" s="1" t="s">
        <v>74</v>
      </c>
      <c r="BP993" s="1" t="s">
        <v>74</v>
      </c>
      <c r="BQ993" s="1" t="s">
        <v>74</v>
      </c>
      <c r="BR993" s="1" t="s">
        <v>74</v>
      </c>
      <c r="BS993" s="1" t="s">
        <v>9258</v>
      </c>
      <c r="BT993" s="1" t="str">
        <f>HYPERLINK("https%3A%2F%2Fwww.webofscience.com%2Fwos%2Fwoscc%2Ffull-record%2FWOS:000287964003045","View Full Record in Web of Science")</f>
        <v>View Full Record in Web of Science</v>
      </c>
    </row>
    <row r="994" ht="12.75" customHeight="1">
      <c r="A994" s="1" t="s">
        <v>72</v>
      </c>
      <c r="B994" s="1" t="s">
        <v>9259</v>
      </c>
      <c r="C994" s="1" t="s">
        <v>74</v>
      </c>
      <c r="D994" s="1" t="s">
        <v>74</v>
      </c>
      <c r="E994" s="1" t="s">
        <v>74</v>
      </c>
      <c r="F994" s="1" t="s">
        <v>9260</v>
      </c>
      <c r="G994" s="1" t="s">
        <v>74</v>
      </c>
      <c r="H994" s="1" t="s">
        <v>74</v>
      </c>
      <c r="I994" s="1" t="s">
        <v>9261</v>
      </c>
      <c r="J994" s="1" t="s">
        <v>1200</v>
      </c>
      <c r="K994" s="1" t="s">
        <v>74</v>
      </c>
      <c r="L994" s="1" t="s">
        <v>74</v>
      </c>
      <c r="M994" s="1" t="s">
        <v>74</v>
      </c>
      <c r="N994" s="1" t="s">
        <v>74</v>
      </c>
      <c r="O994" s="1" t="s">
        <v>74</v>
      </c>
      <c r="P994" s="1" t="s">
        <v>74</v>
      </c>
      <c r="Q994" s="1" t="s">
        <v>74</v>
      </c>
      <c r="R994" s="1" t="s">
        <v>74</v>
      </c>
      <c r="S994" s="1" t="s">
        <v>74</v>
      </c>
      <c r="T994" s="1" t="s">
        <v>74</v>
      </c>
      <c r="U994" s="1" t="s">
        <v>74</v>
      </c>
      <c r="V994" s="1" t="s">
        <v>9262</v>
      </c>
      <c r="W994" s="1" t="s">
        <v>74</v>
      </c>
      <c r="X994" s="1" t="s">
        <v>74</v>
      </c>
      <c r="Y994" s="1" t="s">
        <v>74</v>
      </c>
      <c r="Z994" s="1" t="s">
        <v>74</v>
      </c>
      <c r="AA994" s="1" t="s">
        <v>9263</v>
      </c>
      <c r="AB994" s="1" t="s">
        <v>9264</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1202</v>
      </c>
      <c r="AP994" s="1" t="s">
        <v>1203</v>
      </c>
      <c r="AQ994" s="1" t="s">
        <v>74</v>
      </c>
      <c r="AR994" s="1" t="s">
        <v>74</v>
      </c>
      <c r="AS994" s="1" t="s">
        <v>74</v>
      </c>
      <c r="AT994" s="1" t="s">
        <v>4284</v>
      </c>
      <c r="AU994" s="1">
        <v>2009.0</v>
      </c>
      <c r="AV994" s="1">
        <v>810.0</v>
      </c>
      <c r="AW994" s="1" t="s">
        <v>428</v>
      </c>
      <c r="AX994" s="1" t="s">
        <v>74</v>
      </c>
      <c r="AY994" s="1" t="s">
        <v>74</v>
      </c>
      <c r="AZ994" s="1" t="s">
        <v>74</v>
      </c>
      <c r="BA994" s="1" t="s">
        <v>74</v>
      </c>
      <c r="BB994" s="1">
        <v>246.0</v>
      </c>
      <c r="BC994" s="1">
        <v>265.0</v>
      </c>
      <c r="BD994" s="1" t="s">
        <v>74</v>
      </c>
      <c r="BE994" s="1" t="s">
        <v>9265</v>
      </c>
      <c r="BF994" s="2" t="str">
        <f>HYPERLINK("http://dx.doi.org/10.1016/j.nuclphysb.2008.11.003","http://dx.doi.org/10.1016/j.nuclphysb.2008.11.003")</f>
        <v>http://dx.doi.org/10.1016/j.nuclphysb.2008.11.003</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9266</v>
      </c>
      <c r="BT994" s="1" t="str">
        <f>HYPERLINK("https%3A%2F%2Fwww.webofscience.com%2Fwos%2Fwoscc%2Ffull-record%2FWOS:000262824200012","View Full Record in Web of Science")</f>
        <v>View Full Record in Web of Science</v>
      </c>
    </row>
    <row r="995" ht="12.75" customHeight="1">
      <c r="A995" s="1" t="s">
        <v>72</v>
      </c>
      <c r="B995" s="1" t="s">
        <v>9267</v>
      </c>
      <c r="C995" s="1" t="s">
        <v>74</v>
      </c>
      <c r="D995" s="1" t="s">
        <v>74</v>
      </c>
      <c r="E995" s="1" t="s">
        <v>74</v>
      </c>
      <c r="F995" s="1" t="s">
        <v>9268</v>
      </c>
      <c r="G995" s="1" t="s">
        <v>74</v>
      </c>
      <c r="H995" s="1" t="s">
        <v>74</v>
      </c>
      <c r="I995" s="1" t="s">
        <v>9269</v>
      </c>
      <c r="J995" s="1" t="s">
        <v>9270</v>
      </c>
      <c r="K995" s="1" t="s">
        <v>74</v>
      </c>
      <c r="L995" s="1" t="s">
        <v>74</v>
      </c>
      <c r="M995" s="1" t="s">
        <v>74</v>
      </c>
      <c r="N995" s="1" t="s">
        <v>74</v>
      </c>
      <c r="O995" s="1" t="s">
        <v>74</v>
      </c>
      <c r="P995" s="1" t="s">
        <v>74</v>
      </c>
      <c r="Q995" s="1" t="s">
        <v>74</v>
      </c>
      <c r="R995" s="1" t="s">
        <v>74</v>
      </c>
      <c r="S995" s="1" t="s">
        <v>74</v>
      </c>
      <c r="T995" s="1" t="s">
        <v>74</v>
      </c>
      <c r="U995" s="1" t="s">
        <v>74</v>
      </c>
      <c r="V995" s="1" t="s">
        <v>9271</v>
      </c>
      <c r="W995" s="1" t="s">
        <v>74</v>
      </c>
      <c r="X995" s="1" t="s">
        <v>74</v>
      </c>
      <c r="Y995" s="1" t="s">
        <v>74</v>
      </c>
      <c r="Z995" s="1" t="s">
        <v>74</v>
      </c>
      <c r="AA995" s="1" t="s">
        <v>9272</v>
      </c>
      <c r="AB995" s="1" t="s">
        <v>74</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9273</v>
      </c>
      <c r="AP995" s="1" t="s">
        <v>9274</v>
      </c>
      <c r="AQ995" s="1" t="s">
        <v>74</v>
      </c>
      <c r="AR995" s="1" t="s">
        <v>74</v>
      </c>
      <c r="AS995" s="1" t="s">
        <v>74</v>
      </c>
      <c r="AT995" s="1" t="s">
        <v>74</v>
      </c>
      <c r="AU995" s="1">
        <v>2009.0</v>
      </c>
      <c r="AV995" s="1">
        <v>9.0</v>
      </c>
      <c r="AW995" s="1">
        <v>3.0</v>
      </c>
      <c r="AX995" s="1" t="s">
        <v>74</v>
      </c>
      <c r="AY995" s="1" t="s">
        <v>74</v>
      </c>
      <c r="AZ995" s="1" t="s">
        <v>74</v>
      </c>
      <c r="BA995" s="1" t="s">
        <v>74</v>
      </c>
      <c r="BB995" s="1">
        <v>236.0</v>
      </c>
      <c r="BC995" s="1">
        <v>244.0</v>
      </c>
      <c r="BD995" s="1" t="s">
        <v>74</v>
      </c>
      <c r="BE995" s="1" t="s">
        <v>74</v>
      </c>
      <c r="BF995" s="1" t="s">
        <v>74</v>
      </c>
      <c r="BG995" s="1" t="s">
        <v>74</v>
      </c>
      <c r="BH995" s="1" t="s">
        <v>74</v>
      </c>
      <c r="BI995" s="1" t="s">
        <v>74</v>
      </c>
      <c r="BJ995" s="1" t="s">
        <v>74</v>
      </c>
      <c r="BK995" s="1" t="s">
        <v>74</v>
      </c>
      <c r="BL995" s="1" t="s">
        <v>74</v>
      </c>
      <c r="BM995" s="1" t="s">
        <v>74</v>
      </c>
      <c r="BN995" s="1" t="s">
        <v>74</v>
      </c>
      <c r="BO995" s="1" t="s">
        <v>74</v>
      </c>
      <c r="BP995" s="1" t="s">
        <v>74</v>
      </c>
      <c r="BQ995" s="1" t="s">
        <v>74</v>
      </c>
      <c r="BR995" s="1" t="s">
        <v>74</v>
      </c>
      <c r="BS995" s="1" t="s">
        <v>9275</v>
      </c>
      <c r="BT995" s="1" t="str">
        <f>HYPERLINK("https%3A%2F%2Fwww.webofscience.com%2Fwos%2Fwoscc%2Ffull-record%2FWOS:000273003400006","View Full Record in Web of Science")</f>
        <v>View Full Record in Web of Science</v>
      </c>
    </row>
    <row r="996" ht="12.75" customHeight="1">
      <c r="A996" s="1" t="s">
        <v>72</v>
      </c>
      <c r="B996" s="1" t="s">
        <v>9276</v>
      </c>
      <c r="C996" s="1" t="s">
        <v>74</v>
      </c>
      <c r="D996" s="1" t="s">
        <v>74</v>
      </c>
      <c r="E996" s="1" t="s">
        <v>74</v>
      </c>
      <c r="F996" s="1" t="s">
        <v>9277</v>
      </c>
      <c r="G996" s="1" t="s">
        <v>74</v>
      </c>
      <c r="H996" s="1" t="s">
        <v>74</v>
      </c>
      <c r="I996" s="1" t="s">
        <v>9278</v>
      </c>
      <c r="J996" s="1" t="s">
        <v>4326</v>
      </c>
      <c r="K996" s="1" t="s">
        <v>74</v>
      </c>
      <c r="L996" s="1" t="s">
        <v>74</v>
      </c>
      <c r="M996" s="1" t="s">
        <v>74</v>
      </c>
      <c r="N996" s="1" t="s">
        <v>74</v>
      </c>
      <c r="O996" s="1" t="s">
        <v>74</v>
      </c>
      <c r="P996" s="1" t="s">
        <v>74</v>
      </c>
      <c r="Q996" s="1" t="s">
        <v>74</v>
      </c>
      <c r="R996" s="1" t="s">
        <v>74</v>
      </c>
      <c r="S996" s="1" t="s">
        <v>74</v>
      </c>
      <c r="T996" s="1" t="s">
        <v>74</v>
      </c>
      <c r="U996" s="1" t="s">
        <v>74</v>
      </c>
      <c r="V996" s="1" t="s">
        <v>9279</v>
      </c>
      <c r="W996" s="1" t="s">
        <v>74</v>
      </c>
      <c r="X996" s="1" t="s">
        <v>74</v>
      </c>
      <c r="Y996" s="1" t="s">
        <v>74</v>
      </c>
      <c r="Z996" s="1" t="s">
        <v>74</v>
      </c>
      <c r="AA996" s="1" t="s">
        <v>9280</v>
      </c>
      <c r="AB996" s="1" t="s">
        <v>9281</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4328</v>
      </c>
      <c r="AP996" s="1" t="s">
        <v>74</v>
      </c>
      <c r="AQ996" s="1" t="s">
        <v>74</v>
      </c>
      <c r="AR996" s="1" t="s">
        <v>74</v>
      </c>
      <c r="AS996" s="1" t="s">
        <v>74</v>
      </c>
      <c r="AT996" s="1" t="s">
        <v>2610</v>
      </c>
      <c r="AU996" s="1">
        <v>2007.0</v>
      </c>
      <c r="AV996" s="1">
        <v>99.0</v>
      </c>
      <c r="AW996" s="1">
        <v>25.0</v>
      </c>
      <c r="AX996" s="1" t="s">
        <v>74</v>
      </c>
      <c r="AY996" s="1" t="s">
        <v>74</v>
      </c>
      <c r="AZ996" s="1" t="s">
        <v>74</v>
      </c>
      <c r="BA996" s="1" t="s">
        <v>74</v>
      </c>
      <c r="BB996" s="1" t="s">
        <v>74</v>
      </c>
      <c r="BC996" s="1" t="s">
        <v>74</v>
      </c>
      <c r="BD996" s="1">
        <v>254301.0</v>
      </c>
      <c r="BE996" s="1" t="s">
        <v>9282</v>
      </c>
      <c r="BF996" s="2" t="str">
        <f>HYPERLINK("http://dx.doi.org/10.1103/PhysRevLett.99.254301","http://dx.doi.org/10.1103/PhysRevLett.99.254301")</f>
        <v>http://dx.doi.org/10.1103/PhysRevLett.99.254301</v>
      </c>
      <c r="BG996" s="1" t="s">
        <v>74</v>
      </c>
      <c r="BH996" s="1" t="s">
        <v>74</v>
      </c>
      <c r="BI996" s="1" t="s">
        <v>74</v>
      </c>
      <c r="BJ996" s="1" t="s">
        <v>74</v>
      </c>
      <c r="BK996" s="1" t="s">
        <v>74</v>
      </c>
      <c r="BL996" s="1" t="s">
        <v>74</v>
      </c>
      <c r="BM996" s="1" t="s">
        <v>74</v>
      </c>
      <c r="BN996" s="1">
        <v>1.8233523E7</v>
      </c>
      <c r="BO996" s="1" t="s">
        <v>74</v>
      </c>
      <c r="BP996" s="1" t="s">
        <v>74</v>
      </c>
      <c r="BQ996" s="1" t="s">
        <v>74</v>
      </c>
      <c r="BR996" s="1" t="s">
        <v>74</v>
      </c>
      <c r="BS996" s="1" t="s">
        <v>9283</v>
      </c>
      <c r="BT996" s="1" t="str">
        <f>HYPERLINK("https%3A%2F%2Fwww.webofscience.com%2Fwos%2Fwoscc%2Ffull-record%2FWOS:000251887100026","View Full Record in Web of Science")</f>
        <v>View Full Record in Web of Science</v>
      </c>
    </row>
    <row r="997" ht="12.75" customHeight="1">
      <c r="A997" s="1" t="s">
        <v>72</v>
      </c>
      <c r="B997" s="1" t="s">
        <v>9284</v>
      </c>
      <c r="C997" s="1" t="s">
        <v>74</v>
      </c>
      <c r="D997" s="1" t="s">
        <v>74</v>
      </c>
      <c r="E997" s="1" t="s">
        <v>74</v>
      </c>
      <c r="F997" s="1" t="s">
        <v>9285</v>
      </c>
      <c r="G997" s="1" t="s">
        <v>74</v>
      </c>
      <c r="H997" s="1" t="s">
        <v>74</v>
      </c>
      <c r="I997" s="1" t="s">
        <v>9286</v>
      </c>
      <c r="J997" s="1" t="s">
        <v>664</v>
      </c>
      <c r="K997" s="1" t="s">
        <v>74</v>
      </c>
      <c r="L997" s="1" t="s">
        <v>74</v>
      </c>
      <c r="M997" s="1" t="s">
        <v>74</v>
      </c>
      <c r="N997" s="1" t="s">
        <v>74</v>
      </c>
      <c r="O997" s="1" t="s">
        <v>74</v>
      </c>
      <c r="P997" s="1" t="s">
        <v>74</v>
      </c>
      <c r="Q997" s="1" t="s">
        <v>74</v>
      </c>
      <c r="R997" s="1" t="s">
        <v>74</v>
      </c>
      <c r="S997" s="1" t="s">
        <v>74</v>
      </c>
      <c r="T997" s="1" t="s">
        <v>74</v>
      </c>
      <c r="U997" s="1" t="s">
        <v>74</v>
      </c>
      <c r="V997" s="1" t="s">
        <v>9287</v>
      </c>
      <c r="W997" s="1" t="s">
        <v>74</v>
      </c>
      <c r="X997" s="1" t="s">
        <v>74</v>
      </c>
      <c r="Y997" s="1" t="s">
        <v>74</v>
      </c>
      <c r="Z997" s="1" t="s">
        <v>74</v>
      </c>
      <c r="AA997" s="1" t="s">
        <v>9288</v>
      </c>
      <c r="AB997" s="1" t="s">
        <v>9289</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2531</v>
      </c>
      <c r="AP997" s="1" t="s">
        <v>2532</v>
      </c>
      <c r="AQ997" s="1" t="s">
        <v>74</v>
      </c>
      <c r="AR997" s="1" t="s">
        <v>74</v>
      </c>
      <c r="AS997" s="1" t="s">
        <v>74</v>
      </c>
      <c r="AT997" s="1" t="s">
        <v>95</v>
      </c>
      <c r="AU997" s="1">
        <v>2006.0</v>
      </c>
      <c r="AV997" s="1">
        <v>74.0</v>
      </c>
      <c r="AW997" s="1">
        <v>6.0</v>
      </c>
      <c r="AX997" s="1" t="s">
        <v>74</v>
      </c>
      <c r="AY997" s="1" t="s">
        <v>74</v>
      </c>
      <c r="AZ997" s="1" t="s">
        <v>74</v>
      </c>
      <c r="BA997" s="1" t="s">
        <v>74</v>
      </c>
      <c r="BB997" s="1" t="s">
        <v>74</v>
      </c>
      <c r="BC997" s="1" t="s">
        <v>74</v>
      </c>
      <c r="BD997" s="1">
        <v>60303.0</v>
      </c>
      <c r="BE997" s="1" t="s">
        <v>9290</v>
      </c>
      <c r="BF997" s="2" t="str">
        <f>HYPERLINK("http://dx.doi.org/10.1103/PhysRevA.74.060303","http://dx.doi.org/10.1103/PhysRevA.74.060303")</f>
        <v>http://dx.doi.org/10.1103/PhysRevA.74.060303</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9291</v>
      </c>
      <c r="BT997" s="1" t="str">
        <f>HYPERLINK("https%3A%2F%2Fwww.webofscience.com%2Fwos%2Fwoscc%2Ffull-record%2FWOS:000243166700004","View Full Record in Web of Science")</f>
        <v>View Full Record in Web of Science</v>
      </c>
    </row>
    <row r="998" ht="12.75" customHeight="1">
      <c r="A998" s="1" t="s">
        <v>72</v>
      </c>
      <c r="B998" s="1" t="s">
        <v>9292</v>
      </c>
      <c r="C998" s="1" t="s">
        <v>74</v>
      </c>
      <c r="D998" s="1" t="s">
        <v>74</v>
      </c>
      <c r="E998" s="1" t="s">
        <v>74</v>
      </c>
      <c r="F998" s="1" t="s">
        <v>9292</v>
      </c>
      <c r="G998" s="1" t="s">
        <v>74</v>
      </c>
      <c r="H998" s="1" t="s">
        <v>74</v>
      </c>
      <c r="I998" s="1" t="s">
        <v>9293</v>
      </c>
      <c r="J998" s="1" t="s">
        <v>9294</v>
      </c>
      <c r="K998" s="1" t="s">
        <v>74</v>
      </c>
      <c r="L998" s="1" t="s">
        <v>74</v>
      </c>
      <c r="M998" s="1" t="s">
        <v>74</v>
      </c>
      <c r="N998" s="1" t="s">
        <v>74</v>
      </c>
      <c r="O998" s="1" t="s">
        <v>74</v>
      </c>
      <c r="P998" s="1" t="s">
        <v>74</v>
      </c>
      <c r="Q998" s="1" t="s">
        <v>74</v>
      </c>
      <c r="R998" s="1" t="s">
        <v>74</v>
      </c>
      <c r="S998" s="1" t="s">
        <v>74</v>
      </c>
      <c r="T998" s="1" t="s">
        <v>74</v>
      </c>
      <c r="U998" s="1" t="s">
        <v>74</v>
      </c>
      <c r="V998" s="1" t="s">
        <v>9295</v>
      </c>
      <c r="W998" s="1" t="s">
        <v>74</v>
      </c>
      <c r="X998" s="1" t="s">
        <v>74</v>
      </c>
      <c r="Y998" s="1" t="s">
        <v>74</v>
      </c>
      <c r="Z998" s="1" t="s">
        <v>74</v>
      </c>
      <c r="AA998" s="1" t="s">
        <v>9296</v>
      </c>
      <c r="AB998" s="1" t="s">
        <v>8353</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9297</v>
      </c>
      <c r="AP998" s="1" t="s">
        <v>9298</v>
      </c>
      <c r="AQ998" s="1" t="s">
        <v>74</v>
      </c>
      <c r="AR998" s="1" t="s">
        <v>74</v>
      </c>
      <c r="AS998" s="1" t="s">
        <v>74</v>
      </c>
      <c r="AT998" s="1" t="s">
        <v>461</v>
      </c>
      <c r="AU998" s="1">
        <v>2005.0</v>
      </c>
      <c r="AV998" s="1">
        <v>117.0</v>
      </c>
      <c r="AW998" s="1">
        <v>5.0</v>
      </c>
      <c r="AX998" s="1" t="s">
        <v>74</v>
      </c>
      <c r="AY998" s="1" t="s">
        <v>74</v>
      </c>
      <c r="AZ998" s="1" t="s">
        <v>74</v>
      </c>
      <c r="BA998" s="1" t="s">
        <v>74</v>
      </c>
      <c r="BB998" s="1">
        <v>515.0</v>
      </c>
      <c r="BC998" s="1">
        <v>524.0</v>
      </c>
      <c r="BD998" s="1" t="s">
        <v>74</v>
      </c>
      <c r="BE998" s="1" t="s">
        <v>9299</v>
      </c>
      <c r="BF998" s="2" t="str">
        <f>HYPERLINK("http://dx.doi.org/10.1007/BF02708357","http://dx.doi.org/10.1007/BF02708357")</f>
        <v>http://dx.doi.org/10.1007/BF02708357</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9300</v>
      </c>
      <c r="BT998" s="1" t="str">
        <f>HYPERLINK("https%3A%2F%2Fwww.webofscience.com%2Fwos%2Fwoscc%2Ffull-record%2FWOS:000232909100019","View Full Record in Web of Science")</f>
        <v>View Full Record in Web of Science</v>
      </c>
    </row>
    <row r="999" ht="12.75" customHeight="1">
      <c r="A999" s="1" t="s">
        <v>72</v>
      </c>
      <c r="B999" s="1" t="s">
        <v>9301</v>
      </c>
      <c r="C999" s="1" t="s">
        <v>74</v>
      </c>
      <c r="D999" s="1" t="s">
        <v>74</v>
      </c>
      <c r="E999" s="1" t="s">
        <v>74</v>
      </c>
      <c r="F999" s="1" t="s">
        <v>9301</v>
      </c>
      <c r="G999" s="1" t="s">
        <v>74</v>
      </c>
      <c r="H999" s="1" t="s">
        <v>74</v>
      </c>
      <c r="I999" s="1" t="s">
        <v>9302</v>
      </c>
      <c r="J999" s="1" t="s">
        <v>9303</v>
      </c>
      <c r="K999" s="1" t="s">
        <v>74</v>
      </c>
      <c r="L999" s="1" t="s">
        <v>74</v>
      </c>
      <c r="M999" s="1" t="s">
        <v>74</v>
      </c>
      <c r="N999" s="1" t="s">
        <v>74</v>
      </c>
      <c r="O999" s="1" t="s">
        <v>74</v>
      </c>
      <c r="P999" s="1" t="s">
        <v>74</v>
      </c>
      <c r="Q999" s="1" t="s">
        <v>74</v>
      </c>
      <c r="R999" s="1" t="s">
        <v>74</v>
      </c>
      <c r="S999" s="1" t="s">
        <v>74</v>
      </c>
      <c r="T999" s="1" t="s">
        <v>74</v>
      </c>
      <c r="U999" s="1" t="s">
        <v>74</v>
      </c>
      <c r="V999" s="1" t="s">
        <v>9304</v>
      </c>
      <c r="W999" s="1" t="s">
        <v>74</v>
      </c>
      <c r="X999" s="1" t="s">
        <v>74</v>
      </c>
      <c r="Y999" s="1" t="s">
        <v>74</v>
      </c>
      <c r="Z999" s="1" t="s">
        <v>74</v>
      </c>
      <c r="AA999" s="1" t="s">
        <v>9305</v>
      </c>
      <c r="AB999" s="1" t="s">
        <v>9306</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9307</v>
      </c>
      <c r="AP999" s="1" t="s">
        <v>9308</v>
      </c>
      <c r="AQ999" s="1" t="s">
        <v>74</v>
      </c>
      <c r="AR999" s="1" t="s">
        <v>74</v>
      </c>
      <c r="AS999" s="1" t="s">
        <v>74</v>
      </c>
      <c r="AT999" s="1" t="s">
        <v>107</v>
      </c>
      <c r="AU999" s="1">
        <v>2005.0</v>
      </c>
      <c r="AV999" s="1">
        <v>163.0</v>
      </c>
      <c r="AW999" s="1" t="s">
        <v>9309</v>
      </c>
      <c r="AX999" s="1" t="s">
        <v>74</v>
      </c>
      <c r="AY999" s="1" t="s">
        <v>74</v>
      </c>
      <c r="AZ999" s="1" t="s">
        <v>74</v>
      </c>
      <c r="BA999" s="1" t="s">
        <v>74</v>
      </c>
      <c r="BB999" s="1">
        <v>325.0</v>
      </c>
      <c r="BC999" s="1">
        <v>339.0</v>
      </c>
      <c r="BD999" s="1" t="s">
        <v>74</v>
      </c>
      <c r="BE999" s="1" t="s">
        <v>9310</v>
      </c>
      <c r="BF999" s="2" t="str">
        <f>HYPERLINK("http://dx.doi.org/10.1007/s11270-005-1295-5","http://dx.doi.org/10.1007/s11270-005-1295-5")</f>
        <v>http://dx.doi.org/10.1007/s11270-005-1295-5</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9311</v>
      </c>
      <c r="BT999" s="1" t="str">
        <f>HYPERLINK("https%3A%2F%2Fwww.webofscience.com%2Fwos%2Fwoscc%2Ffull-record%2FWOS:000229973400020","View Full Record in Web of Science")</f>
        <v>View Full Record in Web of Science</v>
      </c>
    </row>
    <row r="1000" ht="12.75" customHeight="1">
      <c r="A1000" s="1" t="s">
        <v>72</v>
      </c>
      <c r="B1000" s="1" t="s">
        <v>9312</v>
      </c>
      <c r="C1000" s="1" t="s">
        <v>74</v>
      </c>
      <c r="D1000" s="1" t="s">
        <v>74</v>
      </c>
      <c r="E1000" s="1" t="s">
        <v>74</v>
      </c>
      <c r="F1000" s="1" t="s">
        <v>9312</v>
      </c>
      <c r="G1000" s="1" t="s">
        <v>74</v>
      </c>
      <c r="H1000" s="1" t="s">
        <v>74</v>
      </c>
      <c r="I1000" s="1" t="s">
        <v>9313</v>
      </c>
      <c r="J1000" s="1" t="s">
        <v>1085</v>
      </c>
      <c r="K1000" s="1" t="s">
        <v>74</v>
      </c>
      <c r="L1000" s="1" t="s">
        <v>74</v>
      </c>
      <c r="M1000" s="1" t="s">
        <v>74</v>
      </c>
      <c r="N1000" s="1" t="s">
        <v>74</v>
      </c>
      <c r="O1000" s="1" t="s">
        <v>74</v>
      </c>
      <c r="P1000" s="1" t="s">
        <v>74</v>
      </c>
      <c r="Q1000" s="1" t="s">
        <v>74</v>
      </c>
      <c r="R1000" s="1" t="s">
        <v>74</v>
      </c>
      <c r="S1000" s="1" t="s">
        <v>74</v>
      </c>
      <c r="T1000" s="1" t="s">
        <v>74</v>
      </c>
      <c r="U1000" s="1" t="s">
        <v>74</v>
      </c>
      <c r="V1000" s="1" t="s">
        <v>9314</v>
      </c>
      <c r="W1000" s="1" t="s">
        <v>74</v>
      </c>
      <c r="X1000" s="1" t="s">
        <v>74</v>
      </c>
      <c r="Y1000" s="1" t="s">
        <v>74</v>
      </c>
      <c r="Z1000" s="1" t="s">
        <v>74</v>
      </c>
      <c r="AA1000" s="1" t="s">
        <v>9315</v>
      </c>
      <c r="AB1000" s="1" t="s">
        <v>9316</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1089</v>
      </c>
      <c r="AP1000" s="1" t="s">
        <v>1090</v>
      </c>
      <c r="AQ1000" s="1" t="s">
        <v>74</v>
      </c>
      <c r="AR1000" s="1" t="s">
        <v>74</v>
      </c>
      <c r="AS1000" s="1" t="s">
        <v>74</v>
      </c>
      <c r="AT1000" s="1" t="s">
        <v>461</v>
      </c>
      <c r="AU1000" s="1">
        <v>1999.0</v>
      </c>
      <c r="AV1000" s="1">
        <v>60.0</v>
      </c>
      <c r="AW1000" s="1">
        <v>3.0</v>
      </c>
      <c r="AX1000" s="1" t="s">
        <v>74</v>
      </c>
      <c r="AY1000" s="1" t="s">
        <v>74</v>
      </c>
      <c r="AZ1000" s="1" t="s">
        <v>74</v>
      </c>
      <c r="BA1000" s="1" t="s">
        <v>74</v>
      </c>
      <c r="BB1000" s="1" t="s">
        <v>9317</v>
      </c>
      <c r="BC1000" s="1" t="s">
        <v>9318</v>
      </c>
      <c r="BD1000" s="1" t="s">
        <v>74</v>
      </c>
      <c r="BE1000" s="1" t="s">
        <v>9319</v>
      </c>
      <c r="BF1000" s="2" t="str">
        <f>HYPERLINK("http://dx.doi.org/10.1103/PhysRevE.60.R2452","http://dx.doi.org/10.1103/PhysRevE.60.R2452")</f>
        <v>http://dx.doi.org/10.1103/PhysRevE.60.R2452</v>
      </c>
      <c r="BG1000" s="1" t="s">
        <v>74</v>
      </c>
      <c r="BH1000" s="1" t="s">
        <v>74</v>
      </c>
      <c r="BI1000" s="1" t="s">
        <v>74</v>
      </c>
      <c r="BJ1000" s="1" t="s">
        <v>74</v>
      </c>
      <c r="BK1000" s="1" t="s">
        <v>74</v>
      </c>
      <c r="BL1000" s="1" t="s">
        <v>74</v>
      </c>
      <c r="BM1000" s="1" t="s">
        <v>74</v>
      </c>
      <c r="BN1000" s="1">
        <v>1.1970174E7</v>
      </c>
      <c r="BO1000" s="1" t="s">
        <v>74</v>
      </c>
      <c r="BP1000" s="1" t="s">
        <v>74</v>
      </c>
      <c r="BQ1000" s="1" t="s">
        <v>74</v>
      </c>
      <c r="BR1000" s="1" t="s">
        <v>74</v>
      </c>
      <c r="BS1000" s="1" t="s">
        <v>9320</v>
      </c>
      <c r="BT1000" s="1" t="str">
        <f>HYPERLINK("https%3A%2F%2Fwww.webofscience.com%2Fwos%2Fwoscc%2Ffull-record%2FWOS:000082778200005","View Full Record in Web of Science")</f>
        <v>View Full Record in Web of Science</v>
      </c>
    </row>
    <row r="1001" ht="12.75" customHeight="1">
      <c r="A1001" s="1" t="s">
        <v>72</v>
      </c>
      <c r="B1001" s="1" t="s">
        <v>9321</v>
      </c>
      <c r="C1001" s="1" t="s">
        <v>74</v>
      </c>
      <c r="D1001" s="1" t="s">
        <v>74</v>
      </c>
      <c r="E1001" s="1" t="s">
        <v>74</v>
      </c>
      <c r="F1001" s="1" t="s">
        <v>9321</v>
      </c>
      <c r="G1001" s="1" t="s">
        <v>74</v>
      </c>
      <c r="H1001" s="1" t="s">
        <v>74</v>
      </c>
      <c r="I1001" s="1" t="s">
        <v>9322</v>
      </c>
      <c r="J1001" s="1" t="s">
        <v>9323</v>
      </c>
      <c r="K1001" s="1" t="s">
        <v>74</v>
      </c>
      <c r="L1001" s="1" t="s">
        <v>74</v>
      </c>
      <c r="M1001" s="1" t="s">
        <v>74</v>
      </c>
      <c r="N1001" s="1" t="s">
        <v>74</v>
      </c>
      <c r="O1001" s="1" t="s">
        <v>74</v>
      </c>
      <c r="P1001" s="1" t="s">
        <v>74</v>
      </c>
      <c r="Q1001" s="1" t="s">
        <v>74</v>
      </c>
      <c r="R1001" s="1" t="s">
        <v>74</v>
      </c>
      <c r="S1001" s="1" t="s">
        <v>74</v>
      </c>
      <c r="T1001" s="1" t="s">
        <v>74</v>
      </c>
      <c r="U1001" s="1" t="s">
        <v>74</v>
      </c>
      <c r="V1001" s="1" t="s">
        <v>9324</v>
      </c>
      <c r="W1001" s="1" t="s">
        <v>74</v>
      </c>
      <c r="X1001" s="1" t="s">
        <v>74</v>
      </c>
      <c r="Y1001" s="1" t="s">
        <v>74</v>
      </c>
      <c r="Z1001" s="1" t="s">
        <v>74</v>
      </c>
      <c r="AA1001" s="1" t="s">
        <v>74</v>
      </c>
      <c r="AB1001" s="1" t="s">
        <v>9325</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9326</v>
      </c>
      <c r="AP1001" s="1" t="s">
        <v>74</v>
      </c>
      <c r="AQ1001" s="1" t="s">
        <v>74</v>
      </c>
      <c r="AR1001" s="1" t="s">
        <v>74</v>
      </c>
      <c r="AS1001" s="1" t="s">
        <v>74</v>
      </c>
      <c r="AT1001" s="1" t="s">
        <v>164</v>
      </c>
      <c r="AU1001" s="1">
        <v>1996.0</v>
      </c>
      <c r="AV1001" s="1">
        <v>36.0</v>
      </c>
      <c r="AW1001" s="1">
        <v>7.0</v>
      </c>
      <c r="AX1001" s="1" t="s">
        <v>74</v>
      </c>
      <c r="AY1001" s="1" t="s">
        <v>74</v>
      </c>
      <c r="AZ1001" s="1" t="s">
        <v>74</v>
      </c>
      <c r="BA1001" s="1" t="s">
        <v>74</v>
      </c>
      <c r="BB1001" s="1">
        <v>610.0</v>
      </c>
      <c r="BC1001" s="1">
        <v>616.0</v>
      </c>
      <c r="BD1001" s="1" t="s">
        <v>74</v>
      </c>
      <c r="BE1001" s="1" t="s">
        <v>9327</v>
      </c>
      <c r="BF1001" s="2" t="str">
        <f>HYPERLINK("http://dx.doi.org/10.1002/j.1552-4604.1996.tb04225.x","http://dx.doi.org/10.1002/j.1552-4604.1996.tb04225.x")</f>
        <v>http://dx.doi.org/10.1002/j.1552-4604.1996.tb04225.x</v>
      </c>
      <c r="BG1001" s="1" t="s">
        <v>74</v>
      </c>
      <c r="BH1001" s="1" t="s">
        <v>74</v>
      </c>
      <c r="BI1001" s="1" t="s">
        <v>74</v>
      </c>
      <c r="BJ1001" s="1" t="s">
        <v>74</v>
      </c>
      <c r="BK1001" s="1" t="s">
        <v>74</v>
      </c>
      <c r="BL1001" s="1" t="s">
        <v>74</v>
      </c>
      <c r="BM1001" s="1" t="s">
        <v>74</v>
      </c>
      <c r="BN1001" s="1">
        <v>8844443.0</v>
      </c>
      <c r="BO1001" s="1" t="s">
        <v>74</v>
      </c>
      <c r="BP1001" s="1" t="s">
        <v>74</v>
      </c>
      <c r="BQ1001" s="1" t="s">
        <v>74</v>
      </c>
      <c r="BR1001" s="1" t="s">
        <v>74</v>
      </c>
      <c r="BS1001" s="1" t="s">
        <v>9328</v>
      </c>
      <c r="BT1001" s="1" t="str">
        <f>HYPERLINK("https%3A%2F%2Fwww.webofscience.com%2Fwos%2Fwoscc%2Ffull-record%2FWOS:A1996VA01000007","View Full Record in Web of Science")</f>
        <v>View Full Record in Web of Science</v>
      </c>
    </row>
  </sheetData>
  <printOptions/>
  <pageMargins bottom="0.75" footer="0.0" header="0.0" left="0.7" right="0.7" top="0.75"/>
  <pageSetup orientation="landscape"/>
  <drawing r:id="rId1"/>
</worksheet>
</file>